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435" tabRatio="868"/>
  </bookViews>
  <sheets>
    <sheet name="Sheet2" sheetId="21" r:id="rId1"/>
    <sheet name="GROUND FLOOR " sheetId="20" r:id="rId2"/>
    <sheet name="post2post" sheetId="2" r:id="rId3"/>
    <sheet name="carenderia" sheetId="3" r:id="rId4"/>
    <sheet name="fresh fruit" sheetId="4" r:id="rId5"/>
    <sheet name="dry good I" sheetId="5" r:id="rId6"/>
    <sheet name="dry goods II" sheetId="11" r:id="rId7"/>
    <sheet name="checheria" sheetId="19" r:id="rId8"/>
    <sheet name="dried fish" sheetId="6" r:id="rId9"/>
    <sheet name="meat &amp; chicken" sheetId="7" r:id="rId10"/>
    <sheet name="maritatas" sheetId="8" r:id="rId11"/>
    <sheet name="sari-sari 1" sheetId="9" r:id="rId12"/>
    <sheet name="sari-sari 2" sheetId="10" r:id="rId13"/>
    <sheet name="fresh fish" sheetId="12" r:id="rId14"/>
    <sheet name="pavenas (2)" sheetId="17" r:id="rId15"/>
    <sheet name="Sheet1" sheetId="15" state="hidden" r:id="rId16"/>
  </sheets>
  <definedNames>
    <definedName name="_xlnm._FilterDatabase" localSheetId="1" hidden="1">'GROUND FLOOR '!$L$1:$L$545</definedName>
    <definedName name="_xlnm.Print_Area" localSheetId="5">'dry good I'!$A$1:$L$128</definedName>
    <definedName name="_xlnm.Print_Titles" localSheetId="7">checheria!$1:$2</definedName>
    <definedName name="_xlnm.Print_Titles" localSheetId="8">'dried fish'!$1:$2</definedName>
    <definedName name="_xlnm.Print_Titles" localSheetId="5">'dry good I'!$1:$2</definedName>
    <definedName name="_xlnm.Print_Titles" localSheetId="6">'dry goods II'!$1:$2</definedName>
    <definedName name="_xlnm.Print_Titles" localSheetId="13">'fresh fish'!$1:$2</definedName>
    <definedName name="_xlnm.Print_Titles" localSheetId="1">'GROUND FLOOR '!$1:$2</definedName>
    <definedName name="_xlnm.Print_Titles" localSheetId="10">maritatas!$1:$2</definedName>
    <definedName name="_xlnm.Print_Titles" localSheetId="9">'meat &amp; chicken'!$1:$2</definedName>
    <definedName name="_xlnm.Print_Titles" localSheetId="14">'pavenas (2)'!$1:$2</definedName>
    <definedName name="_xlnm.Print_Titles" localSheetId="11">'sari-sari 1'!$1:$2</definedName>
    <definedName name="_xlnm.Print_Titles" localSheetId="12">'sari-sari 2'!$1:$2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21" l="1"/>
  <c r="B74" i="21"/>
  <c r="C62" i="21"/>
  <c r="D62" i="21" s="1"/>
  <c r="B62" i="21"/>
  <c r="C57" i="21"/>
  <c r="B57" i="21"/>
  <c r="C44" i="21"/>
  <c r="B44" i="21"/>
  <c r="C28" i="21"/>
  <c r="B28" i="21"/>
  <c r="C23" i="21"/>
  <c r="B23" i="21"/>
  <c r="C10" i="21"/>
  <c r="B10" i="21"/>
  <c r="D61" i="21"/>
  <c r="D56" i="21"/>
  <c r="D55" i="21"/>
  <c r="D54" i="21"/>
  <c r="D53" i="21"/>
  <c r="D52" i="21"/>
  <c r="D51" i="21"/>
  <c r="D50" i="21"/>
  <c r="D49" i="21"/>
  <c r="D48" i="21"/>
  <c r="D43" i="21"/>
  <c r="D42" i="21"/>
  <c r="D41" i="21"/>
  <c r="C30" i="21"/>
  <c r="B30" i="21"/>
  <c r="D7" i="21"/>
  <c r="C61" i="2"/>
  <c r="C89" i="2"/>
  <c r="D8" i="21"/>
  <c r="D9" i="21"/>
  <c r="D14" i="21"/>
  <c r="D15" i="21"/>
  <c r="D16" i="21"/>
  <c r="D17" i="21"/>
  <c r="D18" i="21"/>
  <c r="D19" i="21"/>
  <c r="D20" i="21"/>
  <c r="D21" i="21"/>
  <c r="D22" i="21"/>
  <c r="D27" i="21"/>
  <c r="D28" i="21" s="1"/>
  <c r="D142" i="12"/>
  <c r="D6" i="21"/>
  <c r="D10" i="21" l="1"/>
  <c r="D57" i="21"/>
  <c r="B64" i="21"/>
  <c r="D23" i="21"/>
  <c r="D44" i="21"/>
  <c r="D30" i="21"/>
  <c r="C64" i="21"/>
  <c r="F82" i="12"/>
  <c r="G82" i="12"/>
  <c r="H82" i="12" s="1"/>
  <c r="I82" i="12"/>
  <c r="K106" i="5"/>
  <c r="F106" i="5"/>
  <c r="G106" i="5" s="1"/>
  <c r="H106" i="5" s="1"/>
  <c r="I106" i="5"/>
  <c r="J106" i="5" s="1"/>
  <c r="K82" i="12"/>
  <c r="D64" i="21" l="1"/>
  <c r="C512" i="17"/>
  <c r="D126" i="10"/>
  <c r="D60" i="9"/>
  <c r="D48" i="8"/>
  <c r="D107" i="7"/>
  <c r="D58" i="6"/>
  <c r="D81" i="19"/>
  <c r="D107" i="11"/>
  <c r="D128" i="5"/>
  <c r="C16" i="4"/>
  <c r="D23" i="3"/>
  <c r="C544" i="20"/>
  <c r="F22" i="11" l="1"/>
  <c r="H511" i="17" l="1"/>
  <c r="I511" i="17" s="1"/>
  <c r="J511" i="17" s="1"/>
  <c r="E511" i="17"/>
  <c r="F511" i="17" s="1"/>
  <c r="G511" i="17" s="1"/>
  <c r="H510" i="17"/>
  <c r="I510" i="17" s="1"/>
  <c r="J510" i="17" s="1"/>
  <c r="E510" i="17"/>
  <c r="F510" i="17" s="1"/>
  <c r="G510" i="17" s="1"/>
  <c r="H509" i="17"/>
  <c r="I509" i="17" s="1"/>
  <c r="J509" i="17" s="1"/>
  <c r="E509" i="17"/>
  <c r="F509" i="17" s="1"/>
  <c r="G509" i="17" s="1"/>
  <c r="I508" i="17"/>
  <c r="J508" i="17" s="1"/>
  <c r="H508" i="17"/>
  <c r="E508" i="17"/>
  <c r="F508" i="17" s="1"/>
  <c r="G508" i="17" s="1"/>
  <c r="H507" i="17"/>
  <c r="I507" i="17" s="1"/>
  <c r="J507" i="17" s="1"/>
  <c r="E507" i="17"/>
  <c r="F507" i="17" s="1"/>
  <c r="G507" i="17" s="1"/>
  <c r="H506" i="17"/>
  <c r="I506" i="17" s="1"/>
  <c r="J506" i="17" s="1"/>
  <c r="E506" i="17"/>
  <c r="F506" i="17" s="1"/>
  <c r="G506" i="17" s="1"/>
  <c r="H505" i="17"/>
  <c r="I505" i="17" s="1"/>
  <c r="J505" i="17" s="1"/>
  <c r="E505" i="17"/>
  <c r="F505" i="17" s="1"/>
  <c r="G505" i="17" s="1"/>
  <c r="H504" i="17"/>
  <c r="I504" i="17" s="1"/>
  <c r="J504" i="17" s="1"/>
  <c r="E504" i="17"/>
  <c r="F504" i="17" s="1"/>
  <c r="G504" i="17" s="1"/>
  <c r="H502" i="17"/>
  <c r="I502" i="17" s="1"/>
  <c r="J502" i="17" s="1"/>
  <c r="E502" i="17"/>
  <c r="F502" i="17" s="1"/>
  <c r="G502" i="17" s="1"/>
  <c r="H501" i="17"/>
  <c r="I501" i="17" s="1"/>
  <c r="J501" i="17" s="1"/>
  <c r="E501" i="17"/>
  <c r="F501" i="17" s="1"/>
  <c r="G501" i="17" s="1"/>
  <c r="H500" i="17"/>
  <c r="I500" i="17" s="1"/>
  <c r="J500" i="17" s="1"/>
  <c r="E500" i="17"/>
  <c r="F500" i="17" s="1"/>
  <c r="G500" i="17" s="1"/>
  <c r="H499" i="17"/>
  <c r="I499" i="17" s="1"/>
  <c r="J499" i="17" s="1"/>
  <c r="G499" i="17"/>
  <c r="E499" i="17"/>
  <c r="F499" i="17" s="1"/>
  <c r="H498" i="17"/>
  <c r="I498" i="17" s="1"/>
  <c r="J498" i="17" s="1"/>
  <c r="E498" i="17"/>
  <c r="F498" i="17" s="1"/>
  <c r="G498" i="17" s="1"/>
  <c r="H497" i="17"/>
  <c r="I497" i="17" s="1"/>
  <c r="J497" i="17" s="1"/>
  <c r="E497" i="17"/>
  <c r="F497" i="17" s="1"/>
  <c r="G497" i="17" s="1"/>
  <c r="H496" i="17"/>
  <c r="I496" i="17" s="1"/>
  <c r="J496" i="17" s="1"/>
  <c r="E496" i="17"/>
  <c r="F496" i="17" s="1"/>
  <c r="G496" i="17" s="1"/>
  <c r="H495" i="17"/>
  <c r="I495" i="17" s="1"/>
  <c r="J495" i="17" s="1"/>
  <c r="E495" i="17"/>
  <c r="F495" i="17" s="1"/>
  <c r="G495" i="17" s="1"/>
  <c r="H494" i="17"/>
  <c r="I494" i="17" s="1"/>
  <c r="J494" i="17" s="1"/>
  <c r="E494" i="17"/>
  <c r="F494" i="17" s="1"/>
  <c r="G494" i="17" s="1"/>
  <c r="H493" i="17"/>
  <c r="I493" i="17" s="1"/>
  <c r="J493" i="17" s="1"/>
  <c r="E493" i="17"/>
  <c r="F493" i="17" s="1"/>
  <c r="G493" i="17" s="1"/>
  <c r="H492" i="17"/>
  <c r="I492" i="17" s="1"/>
  <c r="J492" i="17" s="1"/>
  <c r="E492" i="17"/>
  <c r="F492" i="17" s="1"/>
  <c r="G492" i="17" s="1"/>
  <c r="H491" i="17"/>
  <c r="I491" i="17" s="1"/>
  <c r="J491" i="17" s="1"/>
  <c r="E491" i="17"/>
  <c r="F491" i="17" s="1"/>
  <c r="G491" i="17" s="1"/>
  <c r="H490" i="17"/>
  <c r="I490" i="17" s="1"/>
  <c r="J490" i="17" s="1"/>
  <c r="E490" i="17"/>
  <c r="F490" i="17" s="1"/>
  <c r="G490" i="17" s="1"/>
  <c r="H489" i="17"/>
  <c r="I489" i="17" s="1"/>
  <c r="J489" i="17" s="1"/>
  <c r="E489" i="17"/>
  <c r="F489" i="17" s="1"/>
  <c r="G489" i="17" s="1"/>
  <c r="H487" i="17"/>
  <c r="I487" i="17" s="1"/>
  <c r="J487" i="17" s="1"/>
  <c r="E487" i="17"/>
  <c r="F487" i="17" s="1"/>
  <c r="G487" i="17" s="1"/>
  <c r="H486" i="17"/>
  <c r="I486" i="17" s="1"/>
  <c r="J486" i="17" s="1"/>
  <c r="E486" i="17"/>
  <c r="F486" i="17" s="1"/>
  <c r="G486" i="17" s="1"/>
  <c r="H485" i="17"/>
  <c r="I485" i="17" s="1"/>
  <c r="J485" i="17" s="1"/>
  <c r="E485" i="17"/>
  <c r="F485" i="17" s="1"/>
  <c r="G485" i="17" s="1"/>
  <c r="H484" i="17"/>
  <c r="I484" i="17" s="1"/>
  <c r="J484" i="17" s="1"/>
  <c r="E484" i="17"/>
  <c r="F484" i="17" s="1"/>
  <c r="G484" i="17" s="1"/>
  <c r="H483" i="17"/>
  <c r="I483" i="17" s="1"/>
  <c r="J483" i="17" s="1"/>
  <c r="E483" i="17"/>
  <c r="F483" i="17" s="1"/>
  <c r="G483" i="17" s="1"/>
  <c r="I482" i="17"/>
  <c r="J482" i="17" s="1"/>
  <c r="H482" i="17"/>
  <c r="E482" i="17"/>
  <c r="F482" i="17" s="1"/>
  <c r="G482" i="17" s="1"/>
  <c r="H481" i="17"/>
  <c r="I481" i="17" s="1"/>
  <c r="J481" i="17" s="1"/>
  <c r="E481" i="17"/>
  <c r="F481" i="17" s="1"/>
  <c r="G481" i="17" s="1"/>
  <c r="H480" i="17"/>
  <c r="I480" i="17" s="1"/>
  <c r="J480" i="17" s="1"/>
  <c r="E480" i="17"/>
  <c r="F480" i="17" s="1"/>
  <c r="G480" i="17" s="1"/>
  <c r="H479" i="17"/>
  <c r="I479" i="17" s="1"/>
  <c r="J479" i="17" s="1"/>
  <c r="E479" i="17"/>
  <c r="F479" i="17" s="1"/>
  <c r="G479" i="17" s="1"/>
  <c r="H478" i="17"/>
  <c r="I478" i="17" s="1"/>
  <c r="J478" i="17" s="1"/>
  <c r="E478" i="17"/>
  <c r="F478" i="17" s="1"/>
  <c r="G478" i="17" s="1"/>
  <c r="H477" i="17"/>
  <c r="I477" i="17" s="1"/>
  <c r="J477" i="17" s="1"/>
  <c r="E477" i="17"/>
  <c r="F477" i="17" s="1"/>
  <c r="G477" i="17" s="1"/>
  <c r="H476" i="17"/>
  <c r="I476" i="17" s="1"/>
  <c r="J476" i="17" s="1"/>
  <c r="E476" i="17"/>
  <c r="F476" i="17" s="1"/>
  <c r="G476" i="17" s="1"/>
  <c r="H474" i="17"/>
  <c r="I474" i="17" s="1"/>
  <c r="J474" i="17" s="1"/>
  <c r="E474" i="17"/>
  <c r="F474" i="17" s="1"/>
  <c r="G474" i="17" s="1"/>
  <c r="H473" i="17"/>
  <c r="I473" i="17" s="1"/>
  <c r="J473" i="17" s="1"/>
  <c r="E473" i="17"/>
  <c r="F473" i="17" s="1"/>
  <c r="G473" i="17" s="1"/>
  <c r="H472" i="17"/>
  <c r="I472" i="17" s="1"/>
  <c r="J472" i="17" s="1"/>
  <c r="E472" i="17"/>
  <c r="F472" i="17" s="1"/>
  <c r="G472" i="17" s="1"/>
  <c r="H471" i="17"/>
  <c r="I471" i="17" s="1"/>
  <c r="J471" i="17" s="1"/>
  <c r="E471" i="17"/>
  <c r="F471" i="17" s="1"/>
  <c r="G471" i="17" s="1"/>
  <c r="H470" i="17"/>
  <c r="I470" i="17" s="1"/>
  <c r="J470" i="17" s="1"/>
  <c r="E470" i="17"/>
  <c r="F470" i="17" s="1"/>
  <c r="G470" i="17" s="1"/>
  <c r="H469" i="17"/>
  <c r="I469" i="17" s="1"/>
  <c r="J469" i="17" s="1"/>
  <c r="E469" i="17"/>
  <c r="F469" i="17" s="1"/>
  <c r="G469" i="17" s="1"/>
  <c r="H468" i="17"/>
  <c r="I468" i="17" s="1"/>
  <c r="J468" i="17" s="1"/>
  <c r="E468" i="17"/>
  <c r="F468" i="17" s="1"/>
  <c r="G468" i="17" s="1"/>
  <c r="H467" i="17"/>
  <c r="I467" i="17" s="1"/>
  <c r="J467" i="17" s="1"/>
  <c r="E467" i="17"/>
  <c r="F467" i="17" s="1"/>
  <c r="G467" i="17" s="1"/>
  <c r="H466" i="17"/>
  <c r="I466" i="17" s="1"/>
  <c r="J466" i="17" s="1"/>
  <c r="E466" i="17"/>
  <c r="F466" i="17" s="1"/>
  <c r="G466" i="17" s="1"/>
  <c r="H465" i="17"/>
  <c r="I465" i="17" s="1"/>
  <c r="J465" i="17" s="1"/>
  <c r="E465" i="17"/>
  <c r="F465" i="17" s="1"/>
  <c r="G465" i="17" s="1"/>
  <c r="H463" i="17"/>
  <c r="I463" i="17" s="1"/>
  <c r="J463" i="17" s="1"/>
  <c r="E463" i="17"/>
  <c r="F463" i="17" s="1"/>
  <c r="G463" i="17" s="1"/>
  <c r="H462" i="17"/>
  <c r="I462" i="17" s="1"/>
  <c r="J462" i="17" s="1"/>
  <c r="E462" i="17"/>
  <c r="F462" i="17" s="1"/>
  <c r="G462" i="17" s="1"/>
  <c r="H461" i="17"/>
  <c r="I461" i="17" s="1"/>
  <c r="J461" i="17" s="1"/>
  <c r="E461" i="17"/>
  <c r="F461" i="17" s="1"/>
  <c r="G461" i="17" s="1"/>
  <c r="H460" i="17"/>
  <c r="I460" i="17" s="1"/>
  <c r="J460" i="17" s="1"/>
  <c r="E460" i="17"/>
  <c r="F460" i="17" s="1"/>
  <c r="G460" i="17" s="1"/>
  <c r="H459" i="17"/>
  <c r="I459" i="17" s="1"/>
  <c r="J459" i="17" s="1"/>
  <c r="E459" i="17"/>
  <c r="F459" i="17" s="1"/>
  <c r="G459" i="17" s="1"/>
  <c r="H458" i="17"/>
  <c r="I458" i="17" s="1"/>
  <c r="J458" i="17" s="1"/>
  <c r="E458" i="17"/>
  <c r="F458" i="17" s="1"/>
  <c r="G458" i="17" s="1"/>
  <c r="H457" i="17"/>
  <c r="I457" i="17" s="1"/>
  <c r="J457" i="17" s="1"/>
  <c r="E457" i="17"/>
  <c r="F457" i="17" s="1"/>
  <c r="G457" i="17" s="1"/>
  <c r="H456" i="17"/>
  <c r="I456" i="17" s="1"/>
  <c r="J456" i="17" s="1"/>
  <c r="E456" i="17"/>
  <c r="F456" i="17" s="1"/>
  <c r="G456" i="17" s="1"/>
  <c r="H455" i="17"/>
  <c r="I455" i="17" s="1"/>
  <c r="J455" i="17" s="1"/>
  <c r="E455" i="17"/>
  <c r="F455" i="17" s="1"/>
  <c r="G455" i="17" s="1"/>
  <c r="H454" i="17"/>
  <c r="I454" i="17" s="1"/>
  <c r="J454" i="17" s="1"/>
  <c r="E454" i="17"/>
  <c r="F454" i="17" s="1"/>
  <c r="G454" i="17" s="1"/>
  <c r="H453" i="17"/>
  <c r="I453" i="17" s="1"/>
  <c r="J453" i="17" s="1"/>
  <c r="E453" i="17"/>
  <c r="F453" i="17" s="1"/>
  <c r="G453" i="17" s="1"/>
  <c r="H452" i="17"/>
  <c r="I452" i="17" s="1"/>
  <c r="J452" i="17" s="1"/>
  <c r="E452" i="17"/>
  <c r="F452" i="17" s="1"/>
  <c r="G452" i="17" s="1"/>
  <c r="H451" i="17"/>
  <c r="I451" i="17" s="1"/>
  <c r="J451" i="17" s="1"/>
  <c r="E451" i="17"/>
  <c r="F451" i="17" s="1"/>
  <c r="G451" i="17" s="1"/>
  <c r="I450" i="17"/>
  <c r="J450" i="17" s="1"/>
  <c r="H450" i="17"/>
  <c r="E450" i="17"/>
  <c r="F450" i="17" s="1"/>
  <c r="G450" i="17" s="1"/>
  <c r="H448" i="17"/>
  <c r="I448" i="17" s="1"/>
  <c r="J448" i="17" s="1"/>
  <c r="E448" i="17"/>
  <c r="F448" i="17" s="1"/>
  <c r="G448" i="17" s="1"/>
  <c r="H447" i="17"/>
  <c r="I447" i="17" s="1"/>
  <c r="J447" i="17" s="1"/>
  <c r="E447" i="17"/>
  <c r="F447" i="17" s="1"/>
  <c r="G447" i="17" s="1"/>
  <c r="I446" i="17"/>
  <c r="J446" i="17" s="1"/>
  <c r="H446" i="17"/>
  <c r="E446" i="17"/>
  <c r="F446" i="17" s="1"/>
  <c r="G446" i="17" s="1"/>
  <c r="H445" i="17"/>
  <c r="I445" i="17" s="1"/>
  <c r="J445" i="17" s="1"/>
  <c r="E445" i="17"/>
  <c r="F445" i="17" s="1"/>
  <c r="G445" i="17" s="1"/>
  <c r="H444" i="17"/>
  <c r="I444" i="17" s="1"/>
  <c r="J444" i="17" s="1"/>
  <c r="E444" i="17"/>
  <c r="F444" i="17" s="1"/>
  <c r="G444" i="17" s="1"/>
  <c r="H443" i="17"/>
  <c r="I443" i="17" s="1"/>
  <c r="J443" i="17" s="1"/>
  <c r="E443" i="17"/>
  <c r="F443" i="17" s="1"/>
  <c r="G443" i="17" s="1"/>
  <c r="H441" i="17"/>
  <c r="I441" i="17" s="1"/>
  <c r="J441" i="17" s="1"/>
  <c r="E441" i="17"/>
  <c r="F441" i="17" s="1"/>
  <c r="G441" i="17" s="1"/>
  <c r="H440" i="17"/>
  <c r="I440" i="17" s="1"/>
  <c r="J440" i="17" s="1"/>
  <c r="E440" i="17"/>
  <c r="F440" i="17" s="1"/>
  <c r="G440" i="17" s="1"/>
  <c r="H439" i="17"/>
  <c r="I439" i="17" s="1"/>
  <c r="J439" i="17" s="1"/>
  <c r="E439" i="17"/>
  <c r="F439" i="17" s="1"/>
  <c r="G439" i="17" s="1"/>
  <c r="I438" i="17"/>
  <c r="J438" i="17" s="1"/>
  <c r="H438" i="17"/>
  <c r="E438" i="17"/>
  <c r="F438" i="17" s="1"/>
  <c r="G438" i="17" s="1"/>
  <c r="H437" i="17"/>
  <c r="I437" i="17" s="1"/>
  <c r="J437" i="17" s="1"/>
  <c r="E437" i="17"/>
  <c r="F437" i="17" s="1"/>
  <c r="G437" i="17" s="1"/>
  <c r="H436" i="17"/>
  <c r="I436" i="17" s="1"/>
  <c r="J436" i="17" s="1"/>
  <c r="E436" i="17"/>
  <c r="F436" i="17" s="1"/>
  <c r="G436" i="17" s="1"/>
  <c r="H435" i="17"/>
  <c r="I435" i="17" s="1"/>
  <c r="J435" i="17" s="1"/>
  <c r="E435" i="17"/>
  <c r="F435" i="17" s="1"/>
  <c r="G435" i="17" s="1"/>
  <c r="H434" i="17"/>
  <c r="I434" i="17" s="1"/>
  <c r="J434" i="17" s="1"/>
  <c r="E434" i="17"/>
  <c r="F434" i="17" s="1"/>
  <c r="G434" i="17" s="1"/>
  <c r="H433" i="17"/>
  <c r="I433" i="17" s="1"/>
  <c r="J433" i="17" s="1"/>
  <c r="E433" i="17"/>
  <c r="F433" i="17" s="1"/>
  <c r="G433" i="17" s="1"/>
  <c r="I432" i="17"/>
  <c r="J432" i="17" s="1"/>
  <c r="H432" i="17"/>
  <c r="E432" i="17"/>
  <c r="F432" i="17" s="1"/>
  <c r="G432" i="17" s="1"/>
  <c r="H430" i="17"/>
  <c r="I430" i="17" s="1"/>
  <c r="J430" i="17" s="1"/>
  <c r="E430" i="17"/>
  <c r="F430" i="17" s="1"/>
  <c r="G430" i="17" s="1"/>
  <c r="H429" i="17"/>
  <c r="I429" i="17" s="1"/>
  <c r="J429" i="17" s="1"/>
  <c r="E429" i="17"/>
  <c r="F429" i="17" s="1"/>
  <c r="G429" i="17" s="1"/>
  <c r="I428" i="17"/>
  <c r="J428" i="17" s="1"/>
  <c r="H428" i="17"/>
  <c r="E428" i="17"/>
  <c r="F428" i="17" s="1"/>
  <c r="G428" i="17" s="1"/>
  <c r="H427" i="17"/>
  <c r="I427" i="17" s="1"/>
  <c r="J427" i="17" s="1"/>
  <c r="E427" i="17"/>
  <c r="F427" i="17" s="1"/>
  <c r="G427" i="17" s="1"/>
  <c r="H426" i="17"/>
  <c r="I426" i="17" s="1"/>
  <c r="J426" i="17" s="1"/>
  <c r="E426" i="17"/>
  <c r="F426" i="17" s="1"/>
  <c r="G426" i="17" s="1"/>
  <c r="I424" i="17"/>
  <c r="J424" i="17" s="1"/>
  <c r="H424" i="17"/>
  <c r="E424" i="17"/>
  <c r="F424" i="17" s="1"/>
  <c r="G424" i="17" s="1"/>
  <c r="H423" i="17"/>
  <c r="I423" i="17" s="1"/>
  <c r="J423" i="17" s="1"/>
  <c r="E423" i="17"/>
  <c r="F423" i="17" s="1"/>
  <c r="G423" i="17" s="1"/>
  <c r="H422" i="17"/>
  <c r="I422" i="17" s="1"/>
  <c r="J422" i="17" s="1"/>
  <c r="E422" i="17"/>
  <c r="F422" i="17" s="1"/>
  <c r="G422" i="17" s="1"/>
  <c r="H421" i="17"/>
  <c r="I421" i="17" s="1"/>
  <c r="J421" i="17" s="1"/>
  <c r="E421" i="17"/>
  <c r="F421" i="17" s="1"/>
  <c r="G421" i="17" s="1"/>
  <c r="H420" i="17"/>
  <c r="I420" i="17" s="1"/>
  <c r="J420" i="17" s="1"/>
  <c r="E420" i="17"/>
  <c r="F420" i="17" s="1"/>
  <c r="G420" i="17" s="1"/>
  <c r="H418" i="17"/>
  <c r="I418" i="17" s="1"/>
  <c r="J418" i="17" s="1"/>
  <c r="E418" i="17"/>
  <c r="F418" i="17" s="1"/>
  <c r="G418" i="17" s="1"/>
  <c r="H417" i="17"/>
  <c r="I417" i="17" s="1"/>
  <c r="J417" i="17" s="1"/>
  <c r="E417" i="17"/>
  <c r="F417" i="17" s="1"/>
  <c r="G417" i="17" s="1"/>
  <c r="H416" i="17"/>
  <c r="I416" i="17" s="1"/>
  <c r="J416" i="17" s="1"/>
  <c r="E416" i="17"/>
  <c r="F416" i="17" s="1"/>
  <c r="G416" i="17" s="1"/>
  <c r="I415" i="17"/>
  <c r="J415" i="17" s="1"/>
  <c r="H415" i="17"/>
  <c r="E415" i="17"/>
  <c r="F415" i="17" s="1"/>
  <c r="G415" i="17" s="1"/>
  <c r="H414" i="17"/>
  <c r="I414" i="17" s="1"/>
  <c r="J414" i="17" s="1"/>
  <c r="F414" i="17"/>
  <c r="G414" i="17" s="1"/>
  <c r="E414" i="17"/>
  <c r="H413" i="17"/>
  <c r="I413" i="17" s="1"/>
  <c r="J413" i="17" s="1"/>
  <c r="E413" i="17"/>
  <c r="F413" i="17" s="1"/>
  <c r="G413" i="17" s="1"/>
  <c r="H411" i="17"/>
  <c r="I411" i="17" s="1"/>
  <c r="J411" i="17" s="1"/>
  <c r="E411" i="17"/>
  <c r="F411" i="17" s="1"/>
  <c r="G411" i="17" s="1"/>
  <c r="H410" i="17"/>
  <c r="I410" i="17" s="1"/>
  <c r="J410" i="17" s="1"/>
  <c r="E410" i="17"/>
  <c r="F410" i="17" s="1"/>
  <c r="G410" i="17" s="1"/>
  <c r="H409" i="17"/>
  <c r="I409" i="17" s="1"/>
  <c r="J409" i="17" s="1"/>
  <c r="E409" i="17"/>
  <c r="F409" i="17" s="1"/>
  <c r="G409" i="17" s="1"/>
  <c r="H408" i="17"/>
  <c r="I408" i="17" s="1"/>
  <c r="J408" i="17" s="1"/>
  <c r="E408" i="17"/>
  <c r="F408" i="17" s="1"/>
  <c r="G408" i="17" s="1"/>
  <c r="H407" i="17"/>
  <c r="I407" i="17" s="1"/>
  <c r="J407" i="17" s="1"/>
  <c r="G407" i="17"/>
  <c r="E407" i="17"/>
  <c r="F407" i="17" s="1"/>
  <c r="H406" i="17"/>
  <c r="I406" i="17" s="1"/>
  <c r="J406" i="17" s="1"/>
  <c r="E406" i="17"/>
  <c r="F406" i="17" s="1"/>
  <c r="G406" i="17" s="1"/>
  <c r="H405" i="17"/>
  <c r="I405" i="17" s="1"/>
  <c r="J405" i="17" s="1"/>
  <c r="E405" i="17"/>
  <c r="F405" i="17" s="1"/>
  <c r="G405" i="17" s="1"/>
  <c r="H404" i="17"/>
  <c r="I404" i="17" s="1"/>
  <c r="J404" i="17" s="1"/>
  <c r="F404" i="17"/>
  <c r="G404" i="17" s="1"/>
  <c r="E404" i="17"/>
  <c r="H403" i="17"/>
  <c r="I403" i="17" s="1"/>
  <c r="J403" i="17" s="1"/>
  <c r="E403" i="17"/>
  <c r="F403" i="17" s="1"/>
  <c r="G403" i="17" s="1"/>
  <c r="H402" i="17"/>
  <c r="I402" i="17" s="1"/>
  <c r="J402" i="17" s="1"/>
  <c r="E402" i="17"/>
  <c r="F402" i="17" s="1"/>
  <c r="G402" i="17" s="1"/>
  <c r="H401" i="17"/>
  <c r="I401" i="17" s="1"/>
  <c r="J401" i="17" s="1"/>
  <c r="G401" i="17"/>
  <c r="E401" i="17"/>
  <c r="F401" i="17" s="1"/>
  <c r="H400" i="17"/>
  <c r="I400" i="17" s="1"/>
  <c r="J400" i="17" s="1"/>
  <c r="E400" i="17"/>
  <c r="F400" i="17" s="1"/>
  <c r="G400" i="17" s="1"/>
  <c r="H398" i="17"/>
  <c r="I398" i="17" s="1"/>
  <c r="J398" i="17" s="1"/>
  <c r="E398" i="17"/>
  <c r="F398" i="17" s="1"/>
  <c r="G398" i="17" s="1"/>
  <c r="H397" i="17"/>
  <c r="I397" i="17" s="1"/>
  <c r="J397" i="17" s="1"/>
  <c r="E397" i="17"/>
  <c r="F397" i="17" s="1"/>
  <c r="G397" i="17" s="1"/>
  <c r="H396" i="17"/>
  <c r="I396" i="17" s="1"/>
  <c r="J396" i="17" s="1"/>
  <c r="E396" i="17"/>
  <c r="F396" i="17" s="1"/>
  <c r="G396" i="17" s="1"/>
  <c r="H395" i="17"/>
  <c r="I395" i="17" s="1"/>
  <c r="J395" i="17" s="1"/>
  <c r="E395" i="17"/>
  <c r="F395" i="17" s="1"/>
  <c r="G395" i="17" s="1"/>
  <c r="J394" i="17"/>
  <c r="H394" i="17"/>
  <c r="I394" i="17" s="1"/>
  <c r="E394" i="17"/>
  <c r="F394" i="17" s="1"/>
  <c r="G394" i="17" s="1"/>
  <c r="H393" i="17"/>
  <c r="I393" i="17" s="1"/>
  <c r="J393" i="17" s="1"/>
  <c r="E393" i="17"/>
  <c r="F393" i="17" s="1"/>
  <c r="G393" i="17" s="1"/>
  <c r="H392" i="17"/>
  <c r="I392" i="17" s="1"/>
  <c r="J392" i="17" s="1"/>
  <c r="E392" i="17"/>
  <c r="F392" i="17" s="1"/>
  <c r="G392" i="17" s="1"/>
  <c r="H390" i="17"/>
  <c r="I390" i="17" s="1"/>
  <c r="J390" i="17" s="1"/>
  <c r="E390" i="17"/>
  <c r="F390" i="17" s="1"/>
  <c r="G390" i="17" s="1"/>
  <c r="H389" i="17"/>
  <c r="I389" i="17" s="1"/>
  <c r="J389" i="17" s="1"/>
  <c r="E389" i="17"/>
  <c r="F389" i="17" s="1"/>
  <c r="G389" i="17" s="1"/>
  <c r="H388" i="17"/>
  <c r="I388" i="17" s="1"/>
  <c r="J388" i="17" s="1"/>
  <c r="E388" i="17"/>
  <c r="F388" i="17" s="1"/>
  <c r="G388" i="17" s="1"/>
  <c r="H387" i="17"/>
  <c r="I387" i="17" s="1"/>
  <c r="J387" i="17" s="1"/>
  <c r="G387" i="17"/>
  <c r="E387" i="17"/>
  <c r="F387" i="17" s="1"/>
  <c r="H386" i="17"/>
  <c r="I386" i="17" s="1"/>
  <c r="J386" i="17" s="1"/>
  <c r="E386" i="17"/>
  <c r="F386" i="17" s="1"/>
  <c r="G386" i="17" s="1"/>
  <c r="H385" i="17"/>
  <c r="I385" i="17" s="1"/>
  <c r="J385" i="17" s="1"/>
  <c r="E385" i="17"/>
  <c r="F385" i="17" s="1"/>
  <c r="G385" i="17" s="1"/>
  <c r="H384" i="17"/>
  <c r="I384" i="17" s="1"/>
  <c r="J384" i="17" s="1"/>
  <c r="E384" i="17"/>
  <c r="F384" i="17" s="1"/>
  <c r="G384" i="17" s="1"/>
  <c r="H382" i="17"/>
  <c r="I382" i="17" s="1"/>
  <c r="J382" i="17" s="1"/>
  <c r="E382" i="17"/>
  <c r="F382" i="17" s="1"/>
  <c r="G382" i="17" s="1"/>
  <c r="H381" i="17"/>
  <c r="I381" i="17" s="1"/>
  <c r="J381" i="17" s="1"/>
  <c r="E381" i="17"/>
  <c r="F381" i="17" s="1"/>
  <c r="G381" i="17" s="1"/>
  <c r="H380" i="17"/>
  <c r="I380" i="17" s="1"/>
  <c r="J380" i="17" s="1"/>
  <c r="F380" i="17"/>
  <c r="G380" i="17" s="1"/>
  <c r="E380" i="17"/>
  <c r="H379" i="17"/>
  <c r="I379" i="17" s="1"/>
  <c r="J379" i="17" s="1"/>
  <c r="E379" i="17"/>
  <c r="F379" i="17" s="1"/>
  <c r="G379" i="17" s="1"/>
  <c r="H378" i="17"/>
  <c r="I378" i="17" s="1"/>
  <c r="J378" i="17" s="1"/>
  <c r="E378" i="17"/>
  <c r="F378" i="17" s="1"/>
  <c r="G378" i="17" s="1"/>
  <c r="H377" i="17"/>
  <c r="I377" i="17" s="1"/>
  <c r="J377" i="17" s="1"/>
  <c r="E377" i="17"/>
  <c r="F377" i="17" s="1"/>
  <c r="G377" i="17" s="1"/>
  <c r="H376" i="17"/>
  <c r="I376" i="17" s="1"/>
  <c r="J376" i="17" s="1"/>
  <c r="E376" i="17"/>
  <c r="F376" i="17" s="1"/>
  <c r="G376" i="17" s="1"/>
  <c r="H375" i="17"/>
  <c r="I375" i="17" s="1"/>
  <c r="J375" i="17" s="1"/>
  <c r="E375" i="17"/>
  <c r="F375" i="17" s="1"/>
  <c r="G375" i="17" s="1"/>
  <c r="H374" i="17"/>
  <c r="I374" i="17" s="1"/>
  <c r="J374" i="17" s="1"/>
  <c r="E374" i="17"/>
  <c r="F374" i="17" s="1"/>
  <c r="G374" i="17" s="1"/>
  <c r="H373" i="17"/>
  <c r="I373" i="17" s="1"/>
  <c r="J373" i="17" s="1"/>
  <c r="E373" i="17"/>
  <c r="F373" i="17" s="1"/>
  <c r="G373" i="17" s="1"/>
  <c r="H372" i="17"/>
  <c r="I372" i="17" s="1"/>
  <c r="J372" i="17" s="1"/>
  <c r="E372" i="17"/>
  <c r="F372" i="17" s="1"/>
  <c r="G372" i="17" s="1"/>
  <c r="H371" i="17"/>
  <c r="I371" i="17" s="1"/>
  <c r="J371" i="17" s="1"/>
  <c r="E371" i="17"/>
  <c r="F371" i="17" s="1"/>
  <c r="G371" i="17" s="1"/>
  <c r="H370" i="17"/>
  <c r="I370" i="17" s="1"/>
  <c r="J370" i="17" s="1"/>
  <c r="E370" i="17"/>
  <c r="F370" i="17" s="1"/>
  <c r="G370" i="17" s="1"/>
  <c r="H369" i="17"/>
  <c r="I369" i="17" s="1"/>
  <c r="J369" i="17" s="1"/>
  <c r="E369" i="17"/>
  <c r="F369" i="17" s="1"/>
  <c r="G369" i="17" s="1"/>
  <c r="H367" i="17"/>
  <c r="I367" i="17" s="1"/>
  <c r="J367" i="17" s="1"/>
  <c r="E367" i="17"/>
  <c r="F367" i="17" s="1"/>
  <c r="G367" i="17" s="1"/>
  <c r="H366" i="17"/>
  <c r="I366" i="17" s="1"/>
  <c r="J366" i="17" s="1"/>
  <c r="E366" i="17"/>
  <c r="F366" i="17" s="1"/>
  <c r="G366" i="17" s="1"/>
  <c r="H365" i="17"/>
  <c r="I365" i="17" s="1"/>
  <c r="J365" i="17" s="1"/>
  <c r="E365" i="17"/>
  <c r="F365" i="17" s="1"/>
  <c r="G365" i="17" s="1"/>
  <c r="H364" i="17"/>
  <c r="I364" i="17" s="1"/>
  <c r="J364" i="17" s="1"/>
  <c r="E364" i="17"/>
  <c r="F364" i="17" s="1"/>
  <c r="G364" i="17" s="1"/>
  <c r="H362" i="17"/>
  <c r="I362" i="17" s="1"/>
  <c r="J362" i="17" s="1"/>
  <c r="E362" i="17"/>
  <c r="F362" i="17" s="1"/>
  <c r="G362" i="17" s="1"/>
  <c r="H361" i="17"/>
  <c r="I361" i="17" s="1"/>
  <c r="J361" i="17" s="1"/>
  <c r="E361" i="17"/>
  <c r="F361" i="17" s="1"/>
  <c r="G361" i="17" s="1"/>
  <c r="H360" i="17"/>
  <c r="I360" i="17" s="1"/>
  <c r="J360" i="17" s="1"/>
  <c r="E360" i="17"/>
  <c r="F360" i="17" s="1"/>
  <c r="G360" i="17" s="1"/>
  <c r="H359" i="17"/>
  <c r="I359" i="17" s="1"/>
  <c r="J359" i="17" s="1"/>
  <c r="E359" i="17"/>
  <c r="F359" i="17" s="1"/>
  <c r="G359" i="17" s="1"/>
  <c r="H358" i="17"/>
  <c r="I358" i="17" s="1"/>
  <c r="J358" i="17" s="1"/>
  <c r="E358" i="17"/>
  <c r="F358" i="17" s="1"/>
  <c r="G358" i="17" s="1"/>
  <c r="H357" i="17"/>
  <c r="I357" i="17" s="1"/>
  <c r="J357" i="17" s="1"/>
  <c r="E357" i="17"/>
  <c r="F357" i="17" s="1"/>
  <c r="G357" i="17" s="1"/>
  <c r="H356" i="17"/>
  <c r="I356" i="17" s="1"/>
  <c r="J356" i="17" s="1"/>
  <c r="E356" i="17"/>
  <c r="F356" i="17" s="1"/>
  <c r="G356" i="17" s="1"/>
  <c r="H355" i="17"/>
  <c r="I355" i="17" s="1"/>
  <c r="J355" i="17" s="1"/>
  <c r="E355" i="17"/>
  <c r="F355" i="17" s="1"/>
  <c r="G355" i="17" s="1"/>
  <c r="H354" i="17"/>
  <c r="I354" i="17" s="1"/>
  <c r="J354" i="17" s="1"/>
  <c r="E354" i="17"/>
  <c r="F354" i="17" s="1"/>
  <c r="G354" i="17" s="1"/>
  <c r="H353" i="17"/>
  <c r="I353" i="17" s="1"/>
  <c r="J353" i="17" s="1"/>
  <c r="E353" i="17"/>
  <c r="F353" i="17" s="1"/>
  <c r="G353" i="17" s="1"/>
  <c r="H352" i="17"/>
  <c r="I352" i="17" s="1"/>
  <c r="J352" i="17" s="1"/>
  <c r="E352" i="17"/>
  <c r="F352" i="17" s="1"/>
  <c r="G352" i="17" s="1"/>
  <c r="H351" i="17"/>
  <c r="I351" i="17" s="1"/>
  <c r="J351" i="17" s="1"/>
  <c r="E351" i="17"/>
  <c r="F351" i="17" s="1"/>
  <c r="G351" i="17" s="1"/>
  <c r="H350" i="17"/>
  <c r="I350" i="17" s="1"/>
  <c r="J350" i="17" s="1"/>
  <c r="E350" i="17"/>
  <c r="F350" i="17" s="1"/>
  <c r="G350" i="17" s="1"/>
  <c r="H349" i="17"/>
  <c r="I349" i="17" s="1"/>
  <c r="J349" i="17" s="1"/>
  <c r="E349" i="17"/>
  <c r="F349" i="17" s="1"/>
  <c r="G349" i="17" s="1"/>
  <c r="H347" i="17"/>
  <c r="I347" i="17" s="1"/>
  <c r="J347" i="17" s="1"/>
  <c r="E347" i="17"/>
  <c r="F347" i="17" s="1"/>
  <c r="G347" i="17" s="1"/>
  <c r="H346" i="17"/>
  <c r="I346" i="17" s="1"/>
  <c r="J346" i="17" s="1"/>
  <c r="E346" i="17"/>
  <c r="F346" i="17" s="1"/>
  <c r="G346" i="17" s="1"/>
  <c r="H345" i="17"/>
  <c r="I345" i="17" s="1"/>
  <c r="J345" i="17" s="1"/>
  <c r="E345" i="17"/>
  <c r="F345" i="17" s="1"/>
  <c r="G345" i="17" s="1"/>
  <c r="H344" i="17"/>
  <c r="I344" i="17" s="1"/>
  <c r="J344" i="17" s="1"/>
  <c r="E344" i="17"/>
  <c r="F344" i="17" s="1"/>
  <c r="G344" i="17" s="1"/>
  <c r="H343" i="17"/>
  <c r="I343" i="17" s="1"/>
  <c r="J343" i="17" s="1"/>
  <c r="E343" i="17"/>
  <c r="F343" i="17" s="1"/>
  <c r="G343" i="17" s="1"/>
  <c r="H342" i="17"/>
  <c r="I342" i="17" s="1"/>
  <c r="J342" i="17" s="1"/>
  <c r="E342" i="17"/>
  <c r="F342" i="17" s="1"/>
  <c r="G342" i="17" s="1"/>
  <c r="H341" i="17"/>
  <c r="I341" i="17" s="1"/>
  <c r="J341" i="17" s="1"/>
  <c r="E341" i="17"/>
  <c r="F341" i="17" s="1"/>
  <c r="G341" i="17" s="1"/>
  <c r="H340" i="17"/>
  <c r="I340" i="17" s="1"/>
  <c r="J340" i="17" s="1"/>
  <c r="E340" i="17"/>
  <c r="F340" i="17" s="1"/>
  <c r="G340" i="17" s="1"/>
  <c r="H339" i="17"/>
  <c r="I339" i="17" s="1"/>
  <c r="J339" i="17" s="1"/>
  <c r="E339" i="17"/>
  <c r="F339" i="17" s="1"/>
  <c r="G339" i="17" s="1"/>
  <c r="H338" i="17"/>
  <c r="I338" i="17" s="1"/>
  <c r="J338" i="17" s="1"/>
  <c r="E338" i="17"/>
  <c r="F338" i="17" s="1"/>
  <c r="G338" i="17" s="1"/>
  <c r="I337" i="17"/>
  <c r="J337" i="17" s="1"/>
  <c r="H337" i="17"/>
  <c r="E337" i="17"/>
  <c r="F337" i="17" s="1"/>
  <c r="G337" i="17" s="1"/>
  <c r="H336" i="17"/>
  <c r="I336" i="17" s="1"/>
  <c r="J336" i="17" s="1"/>
  <c r="E336" i="17"/>
  <c r="F336" i="17" s="1"/>
  <c r="G336" i="17" s="1"/>
  <c r="H335" i="17"/>
  <c r="I335" i="17" s="1"/>
  <c r="J335" i="17" s="1"/>
  <c r="E335" i="17"/>
  <c r="F335" i="17" s="1"/>
  <c r="G335" i="17" s="1"/>
  <c r="H334" i="17"/>
  <c r="I334" i="17" s="1"/>
  <c r="J334" i="17" s="1"/>
  <c r="E334" i="17"/>
  <c r="F334" i="17" s="1"/>
  <c r="G334" i="17" s="1"/>
  <c r="H332" i="17"/>
  <c r="I332" i="17" s="1"/>
  <c r="J332" i="17" s="1"/>
  <c r="E332" i="17"/>
  <c r="F332" i="17" s="1"/>
  <c r="G332" i="17" s="1"/>
  <c r="H331" i="17"/>
  <c r="I331" i="17" s="1"/>
  <c r="J331" i="17" s="1"/>
  <c r="E331" i="17"/>
  <c r="F331" i="17" s="1"/>
  <c r="G331" i="17" s="1"/>
  <c r="H330" i="17"/>
  <c r="I330" i="17" s="1"/>
  <c r="J330" i="17" s="1"/>
  <c r="E330" i="17"/>
  <c r="F330" i="17" s="1"/>
  <c r="G330" i="17" s="1"/>
  <c r="H329" i="17"/>
  <c r="I329" i="17" s="1"/>
  <c r="J329" i="17" s="1"/>
  <c r="E329" i="17"/>
  <c r="F329" i="17" s="1"/>
  <c r="G329" i="17" s="1"/>
  <c r="H328" i="17"/>
  <c r="I328" i="17" s="1"/>
  <c r="J328" i="17" s="1"/>
  <c r="E328" i="17"/>
  <c r="F328" i="17" s="1"/>
  <c r="G328" i="17" s="1"/>
  <c r="H327" i="17"/>
  <c r="I327" i="17" s="1"/>
  <c r="J327" i="17" s="1"/>
  <c r="E327" i="17"/>
  <c r="F327" i="17" s="1"/>
  <c r="G327" i="17" s="1"/>
  <c r="H326" i="17"/>
  <c r="I326" i="17" s="1"/>
  <c r="J326" i="17" s="1"/>
  <c r="E326" i="17"/>
  <c r="F326" i="17" s="1"/>
  <c r="G326" i="17" s="1"/>
  <c r="H325" i="17"/>
  <c r="I325" i="17" s="1"/>
  <c r="J325" i="17" s="1"/>
  <c r="E325" i="17"/>
  <c r="F325" i="17" s="1"/>
  <c r="G325" i="17" s="1"/>
  <c r="H324" i="17"/>
  <c r="I324" i="17" s="1"/>
  <c r="J324" i="17" s="1"/>
  <c r="E324" i="17"/>
  <c r="F324" i="17" s="1"/>
  <c r="G324" i="17" s="1"/>
  <c r="I323" i="17"/>
  <c r="J323" i="17" s="1"/>
  <c r="H323" i="17"/>
  <c r="E323" i="17"/>
  <c r="F323" i="17" s="1"/>
  <c r="G323" i="17" s="1"/>
  <c r="H322" i="17"/>
  <c r="I322" i="17" s="1"/>
  <c r="J322" i="17" s="1"/>
  <c r="E322" i="17"/>
  <c r="F322" i="17" s="1"/>
  <c r="G322" i="17" s="1"/>
  <c r="I321" i="17"/>
  <c r="J321" i="17" s="1"/>
  <c r="H321" i="17"/>
  <c r="E321" i="17"/>
  <c r="F321" i="17" s="1"/>
  <c r="G321" i="17" s="1"/>
  <c r="H320" i="17"/>
  <c r="I320" i="17" s="1"/>
  <c r="J320" i="17" s="1"/>
  <c r="E320" i="17"/>
  <c r="F320" i="17" s="1"/>
  <c r="G320" i="17" s="1"/>
  <c r="H319" i="17"/>
  <c r="I319" i="17" s="1"/>
  <c r="J319" i="17" s="1"/>
  <c r="E319" i="17"/>
  <c r="F319" i="17" s="1"/>
  <c r="G319" i="17" s="1"/>
  <c r="H318" i="17"/>
  <c r="I318" i="17" s="1"/>
  <c r="J318" i="17" s="1"/>
  <c r="E318" i="17"/>
  <c r="F318" i="17" s="1"/>
  <c r="G318" i="17" s="1"/>
  <c r="H317" i="17"/>
  <c r="I317" i="17" s="1"/>
  <c r="J317" i="17" s="1"/>
  <c r="E317" i="17"/>
  <c r="F317" i="17" s="1"/>
  <c r="G317" i="17" s="1"/>
  <c r="H316" i="17"/>
  <c r="I316" i="17" s="1"/>
  <c r="J316" i="17" s="1"/>
  <c r="F316" i="17"/>
  <c r="G316" i="17" s="1"/>
  <c r="E316" i="17"/>
  <c r="H315" i="17"/>
  <c r="I315" i="17" s="1"/>
  <c r="J315" i="17" s="1"/>
  <c r="E315" i="17"/>
  <c r="F315" i="17" s="1"/>
  <c r="G315" i="17" s="1"/>
  <c r="H314" i="17"/>
  <c r="I314" i="17" s="1"/>
  <c r="J314" i="17" s="1"/>
  <c r="E314" i="17"/>
  <c r="F314" i="17" s="1"/>
  <c r="G314" i="17" s="1"/>
  <c r="H313" i="17"/>
  <c r="I313" i="17" s="1"/>
  <c r="J313" i="17" s="1"/>
  <c r="E313" i="17"/>
  <c r="F313" i="17" s="1"/>
  <c r="G313" i="17" s="1"/>
  <c r="H312" i="17"/>
  <c r="I312" i="17" s="1"/>
  <c r="J312" i="17" s="1"/>
  <c r="E312" i="17"/>
  <c r="F312" i="17" s="1"/>
  <c r="G312" i="17" s="1"/>
  <c r="H311" i="17"/>
  <c r="I311" i="17" s="1"/>
  <c r="J311" i="17" s="1"/>
  <c r="E311" i="17"/>
  <c r="F311" i="17" s="1"/>
  <c r="G311" i="17" s="1"/>
  <c r="H309" i="17"/>
  <c r="I309" i="17" s="1"/>
  <c r="J309" i="17" s="1"/>
  <c r="E309" i="17"/>
  <c r="F309" i="17" s="1"/>
  <c r="G309" i="17" s="1"/>
  <c r="H308" i="17"/>
  <c r="I308" i="17" s="1"/>
  <c r="J308" i="17" s="1"/>
  <c r="E308" i="17"/>
  <c r="F308" i="17" s="1"/>
  <c r="G308" i="17" s="1"/>
  <c r="H307" i="17"/>
  <c r="I307" i="17" s="1"/>
  <c r="J307" i="17" s="1"/>
  <c r="E307" i="17"/>
  <c r="F307" i="17" s="1"/>
  <c r="G307" i="17" s="1"/>
  <c r="H306" i="17"/>
  <c r="I306" i="17" s="1"/>
  <c r="J306" i="17" s="1"/>
  <c r="E306" i="17"/>
  <c r="F306" i="17" s="1"/>
  <c r="G306" i="17" s="1"/>
  <c r="H305" i="17"/>
  <c r="I305" i="17" s="1"/>
  <c r="J305" i="17" s="1"/>
  <c r="E305" i="17"/>
  <c r="F305" i="17" s="1"/>
  <c r="G305" i="17" s="1"/>
  <c r="H304" i="17"/>
  <c r="I304" i="17" s="1"/>
  <c r="J304" i="17" s="1"/>
  <c r="E304" i="17"/>
  <c r="F304" i="17" s="1"/>
  <c r="G304" i="17" s="1"/>
  <c r="H303" i="17"/>
  <c r="I303" i="17" s="1"/>
  <c r="J303" i="17" s="1"/>
  <c r="E303" i="17"/>
  <c r="F303" i="17" s="1"/>
  <c r="G303" i="17" s="1"/>
  <c r="H302" i="17"/>
  <c r="I302" i="17" s="1"/>
  <c r="J302" i="17" s="1"/>
  <c r="E302" i="17"/>
  <c r="F302" i="17" s="1"/>
  <c r="G302" i="17" s="1"/>
  <c r="H301" i="17"/>
  <c r="I301" i="17" s="1"/>
  <c r="J301" i="17" s="1"/>
  <c r="E301" i="17"/>
  <c r="F301" i="17" s="1"/>
  <c r="G301" i="17" s="1"/>
  <c r="H300" i="17"/>
  <c r="I300" i="17" s="1"/>
  <c r="J300" i="17" s="1"/>
  <c r="E300" i="17"/>
  <c r="F300" i="17" s="1"/>
  <c r="G300" i="17" s="1"/>
  <c r="I299" i="17"/>
  <c r="J299" i="17" s="1"/>
  <c r="H299" i="17"/>
  <c r="E299" i="17"/>
  <c r="F299" i="17" s="1"/>
  <c r="G299" i="17" s="1"/>
  <c r="H298" i="17"/>
  <c r="I298" i="17" s="1"/>
  <c r="J298" i="17" s="1"/>
  <c r="E298" i="17"/>
  <c r="F298" i="17" s="1"/>
  <c r="G298" i="17" s="1"/>
  <c r="H297" i="17"/>
  <c r="I297" i="17" s="1"/>
  <c r="J297" i="17" s="1"/>
  <c r="E297" i="17"/>
  <c r="F297" i="17" s="1"/>
  <c r="G297" i="17" s="1"/>
  <c r="H296" i="17"/>
  <c r="I296" i="17" s="1"/>
  <c r="J296" i="17" s="1"/>
  <c r="E296" i="17"/>
  <c r="F296" i="17" s="1"/>
  <c r="G296" i="17" s="1"/>
  <c r="H295" i="17"/>
  <c r="I295" i="17" s="1"/>
  <c r="J295" i="17" s="1"/>
  <c r="E295" i="17"/>
  <c r="F295" i="17" s="1"/>
  <c r="G295" i="17" s="1"/>
  <c r="H294" i="17"/>
  <c r="I294" i="17" s="1"/>
  <c r="J294" i="17" s="1"/>
  <c r="F294" i="17"/>
  <c r="G294" i="17" s="1"/>
  <c r="E294" i="17"/>
  <c r="H293" i="17"/>
  <c r="I293" i="17" s="1"/>
  <c r="J293" i="17" s="1"/>
  <c r="E293" i="17"/>
  <c r="F293" i="17" s="1"/>
  <c r="G293" i="17" s="1"/>
  <c r="H292" i="17"/>
  <c r="I292" i="17" s="1"/>
  <c r="J292" i="17" s="1"/>
  <c r="F292" i="17"/>
  <c r="G292" i="17" s="1"/>
  <c r="E292" i="17"/>
  <c r="H290" i="17"/>
  <c r="I290" i="17" s="1"/>
  <c r="J290" i="17" s="1"/>
  <c r="E290" i="17"/>
  <c r="F290" i="17" s="1"/>
  <c r="G290" i="17" s="1"/>
  <c r="I289" i="17"/>
  <c r="J289" i="17" s="1"/>
  <c r="H289" i="17"/>
  <c r="E289" i="17"/>
  <c r="F289" i="17" s="1"/>
  <c r="G289" i="17" s="1"/>
  <c r="H288" i="17"/>
  <c r="I288" i="17" s="1"/>
  <c r="J288" i="17" s="1"/>
  <c r="E288" i="17"/>
  <c r="F288" i="17" s="1"/>
  <c r="G288" i="17" s="1"/>
  <c r="H287" i="17"/>
  <c r="I287" i="17" s="1"/>
  <c r="J287" i="17" s="1"/>
  <c r="E287" i="17"/>
  <c r="F287" i="17" s="1"/>
  <c r="G287" i="17" s="1"/>
  <c r="H286" i="17"/>
  <c r="I286" i="17" s="1"/>
  <c r="J286" i="17" s="1"/>
  <c r="E286" i="17"/>
  <c r="F286" i="17" s="1"/>
  <c r="G286" i="17" s="1"/>
  <c r="H285" i="17"/>
  <c r="I285" i="17" s="1"/>
  <c r="J285" i="17" s="1"/>
  <c r="E285" i="17"/>
  <c r="F285" i="17" s="1"/>
  <c r="G285" i="17" s="1"/>
  <c r="H284" i="17"/>
  <c r="I284" i="17" s="1"/>
  <c r="J284" i="17" s="1"/>
  <c r="E284" i="17"/>
  <c r="F284" i="17" s="1"/>
  <c r="G284" i="17" s="1"/>
  <c r="H283" i="17"/>
  <c r="I283" i="17" s="1"/>
  <c r="J283" i="17" s="1"/>
  <c r="E283" i="17"/>
  <c r="F283" i="17" s="1"/>
  <c r="G283" i="17" s="1"/>
  <c r="H282" i="17"/>
  <c r="I282" i="17" s="1"/>
  <c r="J282" i="17" s="1"/>
  <c r="E282" i="17"/>
  <c r="F282" i="17" s="1"/>
  <c r="G282" i="17" s="1"/>
  <c r="H281" i="17"/>
  <c r="I281" i="17" s="1"/>
  <c r="J281" i="17" s="1"/>
  <c r="E281" i="17"/>
  <c r="F281" i="17" s="1"/>
  <c r="G281" i="17" s="1"/>
  <c r="H280" i="17"/>
  <c r="I280" i="17" s="1"/>
  <c r="J280" i="17" s="1"/>
  <c r="E280" i="17"/>
  <c r="F280" i="17" s="1"/>
  <c r="G280" i="17" s="1"/>
  <c r="H279" i="17"/>
  <c r="I279" i="17" s="1"/>
  <c r="J279" i="17" s="1"/>
  <c r="E279" i="17"/>
  <c r="F279" i="17" s="1"/>
  <c r="G279" i="17" s="1"/>
  <c r="H278" i="17"/>
  <c r="I278" i="17" s="1"/>
  <c r="J278" i="17" s="1"/>
  <c r="F278" i="17"/>
  <c r="G278" i="17" s="1"/>
  <c r="E278" i="17"/>
  <c r="H277" i="17"/>
  <c r="I277" i="17" s="1"/>
  <c r="J277" i="17" s="1"/>
  <c r="E277" i="17"/>
  <c r="F277" i="17" s="1"/>
  <c r="G277" i="17" s="1"/>
  <c r="H276" i="17"/>
  <c r="I276" i="17" s="1"/>
  <c r="J276" i="17" s="1"/>
  <c r="E276" i="17"/>
  <c r="F276" i="17" s="1"/>
  <c r="G276" i="17" s="1"/>
  <c r="H275" i="17"/>
  <c r="I275" i="17" s="1"/>
  <c r="J275" i="17" s="1"/>
  <c r="E275" i="17"/>
  <c r="F275" i="17" s="1"/>
  <c r="G275" i="17" s="1"/>
  <c r="H273" i="17"/>
  <c r="I273" i="17" s="1"/>
  <c r="J273" i="17" s="1"/>
  <c r="E273" i="17"/>
  <c r="F273" i="17" s="1"/>
  <c r="G273" i="17" s="1"/>
  <c r="H272" i="17"/>
  <c r="I272" i="17" s="1"/>
  <c r="J272" i="17" s="1"/>
  <c r="E272" i="17"/>
  <c r="F272" i="17" s="1"/>
  <c r="G272" i="17" s="1"/>
  <c r="H271" i="17"/>
  <c r="I271" i="17" s="1"/>
  <c r="J271" i="17" s="1"/>
  <c r="E271" i="17"/>
  <c r="F271" i="17" s="1"/>
  <c r="G271" i="17" s="1"/>
  <c r="H270" i="17"/>
  <c r="I270" i="17" s="1"/>
  <c r="J270" i="17" s="1"/>
  <c r="E270" i="17"/>
  <c r="F270" i="17" s="1"/>
  <c r="G270" i="17" s="1"/>
  <c r="H269" i="17"/>
  <c r="I269" i="17" s="1"/>
  <c r="J269" i="17" s="1"/>
  <c r="E269" i="17"/>
  <c r="F269" i="17" s="1"/>
  <c r="G269" i="17" s="1"/>
  <c r="H268" i="17"/>
  <c r="I268" i="17" s="1"/>
  <c r="J268" i="17" s="1"/>
  <c r="F268" i="17"/>
  <c r="G268" i="17" s="1"/>
  <c r="E268" i="17"/>
  <c r="H267" i="17"/>
  <c r="I267" i="17" s="1"/>
  <c r="J267" i="17" s="1"/>
  <c r="E267" i="17"/>
  <c r="F267" i="17" s="1"/>
  <c r="G267" i="17" s="1"/>
  <c r="H266" i="17"/>
  <c r="I266" i="17" s="1"/>
  <c r="J266" i="17" s="1"/>
  <c r="E266" i="17"/>
  <c r="F266" i="17" s="1"/>
  <c r="G266" i="17" s="1"/>
  <c r="H265" i="17"/>
  <c r="I265" i="17" s="1"/>
  <c r="J265" i="17" s="1"/>
  <c r="E265" i="17"/>
  <c r="F265" i="17" s="1"/>
  <c r="G265" i="17" s="1"/>
  <c r="H264" i="17"/>
  <c r="I264" i="17" s="1"/>
  <c r="J264" i="17" s="1"/>
  <c r="E264" i="17"/>
  <c r="F264" i="17" s="1"/>
  <c r="G264" i="17" s="1"/>
  <c r="H263" i="17"/>
  <c r="I263" i="17" s="1"/>
  <c r="J263" i="17" s="1"/>
  <c r="E263" i="17"/>
  <c r="F263" i="17" s="1"/>
  <c r="G263" i="17" s="1"/>
  <c r="H262" i="17"/>
  <c r="I262" i="17" s="1"/>
  <c r="J262" i="17" s="1"/>
  <c r="E262" i="17"/>
  <c r="F262" i="17" s="1"/>
  <c r="G262" i="17" s="1"/>
  <c r="H261" i="17"/>
  <c r="I261" i="17" s="1"/>
  <c r="J261" i="17" s="1"/>
  <c r="E261" i="17"/>
  <c r="F261" i="17" s="1"/>
  <c r="G261" i="17" s="1"/>
  <c r="H260" i="17"/>
  <c r="I260" i="17" s="1"/>
  <c r="J260" i="17" s="1"/>
  <c r="E260" i="17"/>
  <c r="F260" i="17" s="1"/>
  <c r="G260" i="17" s="1"/>
  <c r="H259" i="17"/>
  <c r="I259" i="17" s="1"/>
  <c r="J259" i="17" s="1"/>
  <c r="E259" i="17"/>
  <c r="F259" i="17" s="1"/>
  <c r="G259" i="17" s="1"/>
  <c r="H258" i="17"/>
  <c r="I258" i="17" s="1"/>
  <c r="J258" i="17" s="1"/>
  <c r="E258" i="17"/>
  <c r="F258" i="17" s="1"/>
  <c r="G258" i="17" s="1"/>
  <c r="H256" i="17"/>
  <c r="I256" i="17" s="1"/>
  <c r="J256" i="17" s="1"/>
  <c r="E256" i="17"/>
  <c r="F256" i="17" s="1"/>
  <c r="G256" i="17" s="1"/>
  <c r="H255" i="17"/>
  <c r="I255" i="17" s="1"/>
  <c r="J255" i="17" s="1"/>
  <c r="E255" i="17"/>
  <c r="F255" i="17" s="1"/>
  <c r="G255" i="17" s="1"/>
  <c r="H254" i="17"/>
  <c r="I254" i="17" s="1"/>
  <c r="J254" i="17" s="1"/>
  <c r="E254" i="17"/>
  <c r="F254" i="17" s="1"/>
  <c r="G254" i="17" s="1"/>
  <c r="I253" i="17"/>
  <c r="J253" i="17" s="1"/>
  <c r="H253" i="17"/>
  <c r="E253" i="17"/>
  <c r="F253" i="17" s="1"/>
  <c r="G253" i="17" s="1"/>
  <c r="H252" i="17"/>
  <c r="I252" i="17" s="1"/>
  <c r="J252" i="17" s="1"/>
  <c r="E252" i="17"/>
  <c r="F252" i="17" s="1"/>
  <c r="G252" i="17" s="1"/>
  <c r="H251" i="17"/>
  <c r="I251" i="17" s="1"/>
  <c r="J251" i="17" s="1"/>
  <c r="E251" i="17"/>
  <c r="F251" i="17" s="1"/>
  <c r="G251" i="17" s="1"/>
  <c r="H250" i="17"/>
  <c r="I250" i="17" s="1"/>
  <c r="J250" i="17" s="1"/>
  <c r="E250" i="17"/>
  <c r="F250" i="17" s="1"/>
  <c r="G250" i="17" s="1"/>
  <c r="H249" i="17"/>
  <c r="I249" i="17" s="1"/>
  <c r="J249" i="17" s="1"/>
  <c r="E249" i="17"/>
  <c r="F249" i="17" s="1"/>
  <c r="G249" i="17" s="1"/>
  <c r="H248" i="17"/>
  <c r="I248" i="17" s="1"/>
  <c r="J248" i="17" s="1"/>
  <c r="E248" i="17"/>
  <c r="F248" i="17" s="1"/>
  <c r="G248" i="17" s="1"/>
  <c r="H247" i="17"/>
  <c r="I247" i="17" s="1"/>
  <c r="J247" i="17" s="1"/>
  <c r="E247" i="17"/>
  <c r="F247" i="17" s="1"/>
  <c r="G247" i="17" s="1"/>
  <c r="H246" i="17"/>
  <c r="I246" i="17" s="1"/>
  <c r="J246" i="17" s="1"/>
  <c r="E246" i="17"/>
  <c r="F246" i="17" s="1"/>
  <c r="G246" i="17" s="1"/>
  <c r="H245" i="17"/>
  <c r="I245" i="17" s="1"/>
  <c r="J245" i="17" s="1"/>
  <c r="E245" i="17"/>
  <c r="F245" i="17" s="1"/>
  <c r="G245" i="17" s="1"/>
  <c r="H244" i="17"/>
  <c r="I244" i="17" s="1"/>
  <c r="J244" i="17" s="1"/>
  <c r="E244" i="17"/>
  <c r="F244" i="17" s="1"/>
  <c r="G244" i="17" s="1"/>
  <c r="H243" i="17"/>
  <c r="I243" i="17" s="1"/>
  <c r="J243" i="17" s="1"/>
  <c r="E243" i="17"/>
  <c r="F243" i="17" s="1"/>
  <c r="G243" i="17" s="1"/>
  <c r="H241" i="17"/>
  <c r="I241" i="17" s="1"/>
  <c r="J241" i="17" s="1"/>
  <c r="E241" i="17"/>
  <c r="F241" i="17" s="1"/>
  <c r="G241" i="17" s="1"/>
  <c r="H240" i="17"/>
  <c r="I240" i="17" s="1"/>
  <c r="J240" i="17" s="1"/>
  <c r="E240" i="17"/>
  <c r="F240" i="17" s="1"/>
  <c r="G240" i="17" s="1"/>
  <c r="H239" i="17"/>
  <c r="I239" i="17" s="1"/>
  <c r="J239" i="17" s="1"/>
  <c r="E239" i="17"/>
  <c r="F239" i="17" s="1"/>
  <c r="G239" i="17" s="1"/>
  <c r="H238" i="17"/>
  <c r="I238" i="17" s="1"/>
  <c r="J238" i="17" s="1"/>
  <c r="E238" i="17"/>
  <c r="F238" i="17" s="1"/>
  <c r="G238" i="17" s="1"/>
  <c r="I237" i="17"/>
  <c r="J237" i="17" s="1"/>
  <c r="H237" i="17"/>
  <c r="E237" i="17"/>
  <c r="F237" i="17" s="1"/>
  <c r="G237" i="17" s="1"/>
  <c r="H236" i="17"/>
  <c r="I236" i="17" s="1"/>
  <c r="J236" i="17" s="1"/>
  <c r="E236" i="17"/>
  <c r="F236" i="17" s="1"/>
  <c r="G236" i="17" s="1"/>
  <c r="H235" i="17"/>
  <c r="I235" i="17" s="1"/>
  <c r="J235" i="17" s="1"/>
  <c r="E235" i="17"/>
  <c r="F235" i="17" s="1"/>
  <c r="G235" i="17" s="1"/>
  <c r="H234" i="17"/>
  <c r="I234" i="17" s="1"/>
  <c r="J234" i="17" s="1"/>
  <c r="E234" i="17"/>
  <c r="F234" i="17" s="1"/>
  <c r="G234" i="17" s="1"/>
  <c r="H233" i="17"/>
  <c r="I233" i="17" s="1"/>
  <c r="J233" i="17" s="1"/>
  <c r="E233" i="17"/>
  <c r="F233" i="17" s="1"/>
  <c r="G233" i="17" s="1"/>
  <c r="H232" i="17"/>
  <c r="I232" i="17" s="1"/>
  <c r="J232" i="17" s="1"/>
  <c r="E232" i="17"/>
  <c r="F232" i="17" s="1"/>
  <c r="G232" i="17" s="1"/>
  <c r="H231" i="17"/>
  <c r="I231" i="17" s="1"/>
  <c r="J231" i="17" s="1"/>
  <c r="E231" i="17"/>
  <c r="F231" i="17" s="1"/>
  <c r="G231" i="17" s="1"/>
  <c r="H230" i="17"/>
  <c r="I230" i="17" s="1"/>
  <c r="J230" i="17" s="1"/>
  <c r="E230" i="17"/>
  <c r="F230" i="17" s="1"/>
  <c r="G230" i="17" s="1"/>
  <c r="H229" i="17"/>
  <c r="I229" i="17" s="1"/>
  <c r="J229" i="17" s="1"/>
  <c r="E229" i="17"/>
  <c r="F229" i="17" s="1"/>
  <c r="G229" i="17" s="1"/>
  <c r="H228" i="17"/>
  <c r="I228" i="17" s="1"/>
  <c r="J228" i="17" s="1"/>
  <c r="E228" i="17"/>
  <c r="F228" i="17" s="1"/>
  <c r="G228" i="17" s="1"/>
  <c r="H226" i="17"/>
  <c r="I226" i="17" s="1"/>
  <c r="J226" i="17" s="1"/>
  <c r="F226" i="17"/>
  <c r="G226" i="17" s="1"/>
  <c r="E226" i="17"/>
  <c r="H225" i="17"/>
  <c r="I225" i="17" s="1"/>
  <c r="J225" i="17" s="1"/>
  <c r="E225" i="17"/>
  <c r="F225" i="17" s="1"/>
  <c r="G225" i="17" s="1"/>
  <c r="H224" i="17"/>
  <c r="I224" i="17" s="1"/>
  <c r="J224" i="17" s="1"/>
  <c r="E224" i="17"/>
  <c r="F224" i="17" s="1"/>
  <c r="G224" i="17" s="1"/>
  <c r="H223" i="17"/>
  <c r="I223" i="17" s="1"/>
  <c r="J223" i="17" s="1"/>
  <c r="E223" i="17"/>
  <c r="F223" i="17" s="1"/>
  <c r="G223" i="17" s="1"/>
  <c r="H222" i="17"/>
  <c r="I222" i="17" s="1"/>
  <c r="J222" i="17" s="1"/>
  <c r="E222" i="17"/>
  <c r="F222" i="17" s="1"/>
  <c r="G222" i="17" s="1"/>
  <c r="I221" i="17"/>
  <c r="J221" i="17" s="1"/>
  <c r="H221" i="17"/>
  <c r="E221" i="17"/>
  <c r="F221" i="17" s="1"/>
  <c r="G221" i="17" s="1"/>
  <c r="H220" i="17"/>
  <c r="I220" i="17" s="1"/>
  <c r="J220" i="17" s="1"/>
  <c r="E220" i="17"/>
  <c r="F220" i="17" s="1"/>
  <c r="G220" i="17" s="1"/>
  <c r="H219" i="17"/>
  <c r="I219" i="17" s="1"/>
  <c r="J219" i="17" s="1"/>
  <c r="E219" i="17"/>
  <c r="F219" i="17" s="1"/>
  <c r="G219" i="17" s="1"/>
  <c r="H218" i="17"/>
  <c r="I218" i="17" s="1"/>
  <c r="J218" i="17" s="1"/>
  <c r="E218" i="17"/>
  <c r="F218" i="17" s="1"/>
  <c r="G218" i="17" s="1"/>
  <c r="H217" i="17"/>
  <c r="I217" i="17" s="1"/>
  <c r="J217" i="17" s="1"/>
  <c r="E217" i="17"/>
  <c r="F217" i="17" s="1"/>
  <c r="G217" i="17" s="1"/>
  <c r="H216" i="17"/>
  <c r="I216" i="17" s="1"/>
  <c r="J216" i="17" s="1"/>
  <c r="E216" i="17"/>
  <c r="F216" i="17" s="1"/>
  <c r="G216" i="17" s="1"/>
  <c r="H215" i="17"/>
  <c r="I215" i="17" s="1"/>
  <c r="J215" i="17" s="1"/>
  <c r="E215" i="17"/>
  <c r="F215" i="17" s="1"/>
  <c r="G215" i="17" s="1"/>
  <c r="H213" i="17"/>
  <c r="I213" i="17" s="1"/>
  <c r="J213" i="17" s="1"/>
  <c r="E213" i="17"/>
  <c r="F213" i="17" s="1"/>
  <c r="G213" i="17" s="1"/>
  <c r="H212" i="17"/>
  <c r="I212" i="17" s="1"/>
  <c r="J212" i="17" s="1"/>
  <c r="E212" i="17"/>
  <c r="F212" i="17" s="1"/>
  <c r="G212" i="17" s="1"/>
  <c r="H211" i="17"/>
  <c r="I211" i="17" s="1"/>
  <c r="J211" i="17" s="1"/>
  <c r="E211" i="17"/>
  <c r="F211" i="17" s="1"/>
  <c r="G211" i="17" s="1"/>
  <c r="H210" i="17"/>
  <c r="I210" i="17" s="1"/>
  <c r="J210" i="17" s="1"/>
  <c r="E210" i="17"/>
  <c r="F210" i="17" s="1"/>
  <c r="G210" i="17" s="1"/>
  <c r="H209" i="17"/>
  <c r="I209" i="17" s="1"/>
  <c r="J209" i="17" s="1"/>
  <c r="E209" i="17"/>
  <c r="F209" i="17" s="1"/>
  <c r="G209" i="17" s="1"/>
  <c r="H208" i="17"/>
  <c r="I208" i="17" s="1"/>
  <c r="J208" i="17" s="1"/>
  <c r="E208" i="17"/>
  <c r="F208" i="17" s="1"/>
  <c r="G208" i="17" s="1"/>
  <c r="H206" i="17"/>
  <c r="I206" i="17" s="1"/>
  <c r="J206" i="17" s="1"/>
  <c r="F206" i="17"/>
  <c r="G206" i="17" s="1"/>
  <c r="E206" i="17"/>
  <c r="H205" i="17"/>
  <c r="I205" i="17" s="1"/>
  <c r="J205" i="17" s="1"/>
  <c r="E205" i="17"/>
  <c r="F205" i="17" s="1"/>
  <c r="G205" i="17" s="1"/>
  <c r="H204" i="17"/>
  <c r="I204" i="17" s="1"/>
  <c r="J204" i="17" s="1"/>
  <c r="E204" i="17"/>
  <c r="F204" i="17" s="1"/>
  <c r="G204" i="17" s="1"/>
  <c r="H203" i="17"/>
  <c r="I203" i="17" s="1"/>
  <c r="J203" i="17" s="1"/>
  <c r="E203" i="17"/>
  <c r="F203" i="17" s="1"/>
  <c r="G203" i="17" s="1"/>
  <c r="H202" i="17"/>
  <c r="I202" i="17" s="1"/>
  <c r="J202" i="17" s="1"/>
  <c r="E202" i="17"/>
  <c r="F202" i="17" s="1"/>
  <c r="G202" i="17" s="1"/>
  <c r="H201" i="17"/>
  <c r="I201" i="17" s="1"/>
  <c r="J201" i="17" s="1"/>
  <c r="E201" i="17"/>
  <c r="F201" i="17" s="1"/>
  <c r="G201" i="17" s="1"/>
  <c r="H200" i="17"/>
  <c r="I200" i="17" s="1"/>
  <c r="J200" i="17" s="1"/>
  <c r="E200" i="17"/>
  <c r="F200" i="17" s="1"/>
  <c r="G200" i="17" s="1"/>
  <c r="I199" i="17"/>
  <c r="J199" i="17" s="1"/>
  <c r="H199" i="17"/>
  <c r="E199" i="17"/>
  <c r="F199" i="17" s="1"/>
  <c r="G199" i="17" s="1"/>
  <c r="I197" i="17"/>
  <c r="J197" i="17" s="1"/>
  <c r="H197" i="17"/>
  <c r="E197" i="17"/>
  <c r="F197" i="17" s="1"/>
  <c r="G197" i="17" s="1"/>
  <c r="H196" i="17"/>
  <c r="I196" i="17" s="1"/>
  <c r="J196" i="17" s="1"/>
  <c r="F196" i="17"/>
  <c r="G196" i="17" s="1"/>
  <c r="E196" i="17"/>
  <c r="H195" i="17"/>
  <c r="I195" i="17" s="1"/>
  <c r="J195" i="17" s="1"/>
  <c r="E195" i="17"/>
  <c r="F195" i="17" s="1"/>
  <c r="G195" i="17" s="1"/>
  <c r="H194" i="17"/>
  <c r="I194" i="17" s="1"/>
  <c r="J194" i="17" s="1"/>
  <c r="E194" i="17"/>
  <c r="F194" i="17" s="1"/>
  <c r="G194" i="17" s="1"/>
  <c r="H193" i="17"/>
  <c r="I193" i="17" s="1"/>
  <c r="J193" i="17" s="1"/>
  <c r="E193" i="17"/>
  <c r="F193" i="17" s="1"/>
  <c r="G193" i="17" s="1"/>
  <c r="H192" i="17"/>
  <c r="I192" i="17" s="1"/>
  <c r="J192" i="17" s="1"/>
  <c r="E192" i="17"/>
  <c r="F192" i="17" s="1"/>
  <c r="G192" i="17" s="1"/>
  <c r="H191" i="17"/>
  <c r="I191" i="17" s="1"/>
  <c r="J191" i="17" s="1"/>
  <c r="E191" i="17"/>
  <c r="F191" i="17" s="1"/>
  <c r="G191" i="17" s="1"/>
  <c r="H190" i="17"/>
  <c r="I190" i="17" s="1"/>
  <c r="J190" i="17" s="1"/>
  <c r="E190" i="17"/>
  <c r="F190" i="17" s="1"/>
  <c r="G190" i="17" s="1"/>
  <c r="H189" i="17"/>
  <c r="I189" i="17" s="1"/>
  <c r="J189" i="17" s="1"/>
  <c r="E189" i="17"/>
  <c r="F189" i="17" s="1"/>
  <c r="G189" i="17" s="1"/>
  <c r="J188" i="17"/>
  <c r="H188" i="17"/>
  <c r="I188" i="17" s="1"/>
  <c r="E188" i="17"/>
  <c r="F188" i="17" s="1"/>
  <c r="G188" i="17" s="1"/>
  <c r="H187" i="17"/>
  <c r="I187" i="17" s="1"/>
  <c r="J187" i="17" s="1"/>
  <c r="F187" i="17"/>
  <c r="G187" i="17" s="1"/>
  <c r="E187" i="17"/>
  <c r="H186" i="17"/>
  <c r="I186" i="17" s="1"/>
  <c r="J186" i="17" s="1"/>
  <c r="F186" i="17"/>
  <c r="G186" i="17" s="1"/>
  <c r="E186" i="17"/>
  <c r="H185" i="17"/>
  <c r="I185" i="17" s="1"/>
  <c r="J185" i="17" s="1"/>
  <c r="E185" i="17"/>
  <c r="F185" i="17" s="1"/>
  <c r="G185" i="17" s="1"/>
  <c r="J184" i="17"/>
  <c r="H184" i="17"/>
  <c r="I184" i="17" s="1"/>
  <c r="E184" i="17"/>
  <c r="F184" i="17" s="1"/>
  <c r="G184" i="17" s="1"/>
  <c r="H183" i="17"/>
  <c r="I183" i="17" s="1"/>
  <c r="J183" i="17" s="1"/>
  <c r="E183" i="17"/>
  <c r="F183" i="17" s="1"/>
  <c r="G183" i="17" s="1"/>
  <c r="H182" i="17"/>
  <c r="I182" i="17" s="1"/>
  <c r="J182" i="17" s="1"/>
  <c r="E182" i="17"/>
  <c r="F182" i="17" s="1"/>
  <c r="G182" i="17" s="1"/>
  <c r="H180" i="17"/>
  <c r="I180" i="17" s="1"/>
  <c r="J180" i="17" s="1"/>
  <c r="F180" i="17"/>
  <c r="G180" i="17" s="1"/>
  <c r="E180" i="17"/>
  <c r="H179" i="17"/>
  <c r="I179" i="17" s="1"/>
  <c r="J179" i="17" s="1"/>
  <c r="E179" i="17"/>
  <c r="F179" i="17" s="1"/>
  <c r="G179" i="17" s="1"/>
  <c r="H178" i="17"/>
  <c r="I178" i="17" s="1"/>
  <c r="J178" i="17" s="1"/>
  <c r="E178" i="17"/>
  <c r="F178" i="17" s="1"/>
  <c r="G178" i="17" s="1"/>
  <c r="H177" i="17"/>
  <c r="I177" i="17" s="1"/>
  <c r="J177" i="17" s="1"/>
  <c r="E177" i="17"/>
  <c r="F177" i="17" s="1"/>
  <c r="G177" i="17" s="1"/>
  <c r="H176" i="17"/>
  <c r="I176" i="17" s="1"/>
  <c r="J176" i="17" s="1"/>
  <c r="E176" i="17"/>
  <c r="F176" i="17" s="1"/>
  <c r="G176" i="17" s="1"/>
  <c r="H175" i="17"/>
  <c r="I175" i="17" s="1"/>
  <c r="J175" i="17" s="1"/>
  <c r="E175" i="17"/>
  <c r="F175" i="17" s="1"/>
  <c r="G175" i="17" s="1"/>
  <c r="H174" i="17"/>
  <c r="I174" i="17" s="1"/>
  <c r="J174" i="17" s="1"/>
  <c r="E174" i="17"/>
  <c r="F174" i="17" s="1"/>
  <c r="G174" i="17" s="1"/>
  <c r="H173" i="17"/>
  <c r="I173" i="17" s="1"/>
  <c r="J173" i="17" s="1"/>
  <c r="E173" i="17"/>
  <c r="F173" i="17" s="1"/>
  <c r="G173" i="17" s="1"/>
  <c r="H172" i="17"/>
  <c r="I172" i="17" s="1"/>
  <c r="J172" i="17" s="1"/>
  <c r="E172" i="17"/>
  <c r="F172" i="17" s="1"/>
  <c r="G172" i="17" s="1"/>
  <c r="H171" i="17"/>
  <c r="I171" i="17" s="1"/>
  <c r="J171" i="17" s="1"/>
  <c r="E171" i="17"/>
  <c r="F171" i="17" s="1"/>
  <c r="G171" i="17" s="1"/>
  <c r="H170" i="17"/>
  <c r="I170" i="17" s="1"/>
  <c r="J170" i="17" s="1"/>
  <c r="E170" i="17"/>
  <c r="F170" i="17" s="1"/>
  <c r="G170" i="17" s="1"/>
  <c r="H169" i="17"/>
  <c r="I169" i="17" s="1"/>
  <c r="J169" i="17" s="1"/>
  <c r="E169" i="17"/>
  <c r="F169" i="17" s="1"/>
  <c r="G169" i="17" s="1"/>
  <c r="H168" i="17"/>
  <c r="I168" i="17" s="1"/>
  <c r="J168" i="17" s="1"/>
  <c r="E168" i="17"/>
  <c r="F168" i="17" s="1"/>
  <c r="G168" i="17" s="1"/>
  <c r="H167" i="17"/>
  <c r="I167" i="17" s="1"/>
  <c r="J167" i="17" s="1"/>
  <c r="E167" i="17"/>
  <c r="F167" i="17" s="1"/>
  <c r="G167" i="17" s="1"/>
  <c r="H166" i="17"/>
  <c r="I166" i="17" s="1"/>
  <c r="J166" i="17" s="1"/>
  <c r="E166" i="17"/>
  <c r="F166" i="17" s="1"/>
  <c r="G166" i="17" s="1"/>
  <c r="H165" i="17"/>
  <c r="I165" i="17" s="1"/>
  <c r="J165" i="17" s="1"/>
  <c r="E165" i="17"/>
  <c r="F165" i="17" s="1"/>
  <c r="G165" i="17" s="1"/>
  <c r="H163" i="17"/>
  <c r="I163" i="17" s="1"/>
  <c r="J163" i="17" s="1"/>
  <c r="E163" i="17"/>
  <c r="F163" i="17" s="1"/>
  <c r="G163" i="17" s="1"/>
  <c r="H162" i="17"/>
  <c r="I162" i="17" s="1"/>
  <c r="J162" i="17" s="1"/>
  <c r="E162" i="17"/>
  <c r="F162" i="17" s="1"/>
  <c r="G162" i="17" s="1"/>
  <c r="H161" i="17"/>
  <c r="I161" i="17" s="1"/>
  <c r="J161" i="17" s="1"/>
  <c r="E161" i="17"/>
  <c r="F161" i="17" s="1"/>
  <c r="G161" i="17" s="1"/>
  <c r="H160" i="17"/>
  <c r="I160" i="17" s="1"/>
  <c r="J160" i="17" s="1"/>
  <c r="F160" i="17"/>
  <c r="G160" i="17" s="1"/>
  <c r="E160" i="17"/>
  <c r="H159" i="17"/>
  <c r="I159" i="17" s="1"/>
  <c r="J159" i="17" s="1"/>
  <c r="E159" i="17"/>
  <c r="F159" i="17" s="1"/>
  <c r="G159" i="17" s="1"/>
  <c r="H158" i="17"/>
  <c r="I158" i="17" s="1"/>
  <c r="J158" i="17" s="1"/>
  <c r="E158" i="17"/>
  <c r="F158" i="17" s="1"/>
  <c r="G158" i="17" s="1"/>
  <c r="H157" i="17"/>
  <c r="I157" i="17" s="1"/>
  <c r="J157" i="17" s="1"/>
  <c r="E157" i="17"/>
  <c r="F157" i="17" s="1"/>
  <c r="G157" i="17" s="1"/>
  <c r="J156" i="17"/>
  <c r="H156" i="17"/>
  <c r="I156" i="17" s="1"/>
  <c r="E156" i="17"/>
  <c r="F156" i="17" s="1"/>
  <c r="G156" i="17" s="1"/>
  <c r="H155" i="17"/>
  <c r="I155" i="17" s="1"/>
  <c r="J155" i="17" s="1"/>
  <c r="F155" i="17"/>
  <c r="G155" i="17" s="1"/>
  <c r="E155" i="17"/>
  <c r="H154" i="17"/>
  <c r="I154" i="17" s="1"/>
  <c r="J154" i="17" s="1"/>
  <c r="E154" i="17"/>
  <c r="F154" i="17" s="1"/>
  <c r="G154" i="17" s="1"/>
  <c r="H153" i="17"/>
  <c r="I153" i="17" s="1"/>
  <c r="J153" i="17" s="1"/>
  <c r="E153" i="17"/>
  <c r="F153" i="17" s="1"/>
  <c r="G153" i="17" s="1"/>
  <c r="H152" i="17"/>
  <c r="I152" i="17" s="1"/>
  <c r="J152" i="17" s="1"/>
  <c r="E152" i="17"/>
  <c r="F152" i="17" s="1"/>
  <c r="G152" i="17" s="1"/>
  <c r="H151" i="17"/>
  <c r="I151" i="17" s="1"/>
  <c r="J151" i="17" s="1"/>
  <c r="E151" i="17"/>
  <c r="F151" i="17" s="1"/>
  <c r="G151" i="17" s="1"/>
  <c r="H150" i="17"/>
  <c r="I150" i="17" s="1"/>
  <c r="J150" i="17" s="1"/>
  <c r="E150" i="17"/>
  <c r="F150" i="17" s="1"/>
  <c r="G150" i="17" s="1"/>
  <c r="H149" i="17"/>
  <c r="I149" i="17" s="1"/>
  <c r="J149" i="17" s="1"/>
  <c r="E149" i="17"/>
  <c r="F149" i="17" s="1"/>
  <c r="G149" i="17" s="1"/>
  <c r="H148" i="17"/>
  <c r="I148" i="17" s="1"/>
  <c r="J148" i="17" s="1"/>
  <c r="F148" i="17"/>
  <c r="G148" i="17" s="1"/>
  <c r="E148" i="17"/>
  <c r="H146" i="17"/>
  <c r="I146" i="17" s="1"/>
  <c r="J146" i="17" s="1"/>
  <c r="E146" i="17"/>
  <c r="F146" i="17" s="1"/>
  <c r="G146" i="17" s="1"/>
  <c r="H145" i="17"/>
  <c r="I145" i="17" s="1"/>
  <c r="J145" i="17" s="1"/>
  <c r="E145" i="17"/>
  <c r="F145" i="17" s="1"/>
  <c r="G145" i="17" s="1"/>
  <c r="H144" i="17"/>
  <c r="I144" i="17" s="1"/>
  <c r="J144" i="17" s="1"/>
  <c r="E144" i="17"/>
  <c r="F144" i="17" s="1"/>
  <c r="G144" i="17" s="1"/>
  <c r="H143" i="17"/>
  <c r="I143" i="17" s="1"/>
  <c r="J143" i="17" s="1"/>
  <c r="F143" i="17"/>
  <c r="G143" i="17" s="1"/>
  <c r="E143" i="17"/>
  <c r="H142" i="17"/>
  <c r="I142" i="17" s="1"/>
  <c r="J142" i="17" s="1"/>
  <c r="E142" i="17"/>
  <c r="F142" i="17" s="1"/>
  <c r="G142" i="17" s="1"/>
  <c r="H141" i="17"/>
  <c r="I141" i="17" s="1"/>
  <c r="J141" i="17" s="1"/>
  <c r="E141" i="17"/>
  <c r="F141" i="17" s="1"/>
  <c r="G141" i="17" s="1"/>
  <c r="H140" i="17"/>
  <c r="I140" i="17" s="1"/>
  <c r="J140" i="17" s="1"/>
  <c r="E140" i="17"/>
  <c r="F140" i="17" s="1"/>
  <c r="G140" i="17" s="1"/>
  <c r="H139" i="17"/>
  <c r="I139" i="17" s="1"/>
  <c r="J139" i="17" s="1"/>
  <c r="E139" i="17"/>
  <c r="F139" i="17" s="1"/>
  <c r="G139" i="17" s="1"/>
  <c r="H137" i="17"/>
  <c r="I137" i="17" s="1"/>
  <c r="J137" i="17" s="1"/>
  <c r="E137" i="17"/>
  <c r="F137" i="17" s="1"/>
  <c r="G137" i="17" s="1"/>
  <c r="H136" i="17"/>
  <c r="I136" i="17" s="1"/>
  <c r="J136" i="17" s="1"/>
  <c r="E136" i="17"/>
  <c r="F136" i="17" s="1"/>
  <c r="G136" i="17" s="1"/>
  <c r="H135" i="17"/>
  <c r="I135" i="17" s="1"/>
  <c r="J135" i="17" s="1"/>
  <c r="E135" i="17"/>
  <c r="F135" i="17" s="1"/>
  <c r="G135" i="17" s="1"/>
  <c r="H134" i="17"/>
  <c r="I134" i="17" s="1"/>
  <c r="J134" i="17" s="1"/>
  <c r="E134" i="17"/>
  <c r="F134" i="17" s="1"/>
  <c r="G134" i="17" s="1"/>
  <c r="H133" i="17"/>
  <c r="I133" i="17" s="1"/>
  <c r="J133" i="17" s="1"/>
  <c r="F133" i="17"/>
  <c r="G133" i="17" s="1"/>
  <c r="E133" i="17"/>
  <c r="H132" i="17"/>
  <c r="I132" i="17" s="1"/>
  <c r="J132" i="17" s="1"/>
  <c r="E132" i="17"/>
  <c r="F132" i="17" s="1"/>
  <c r="G132" i="17" s="1"/>
  <c r="H131" i="17"/>
  <c r="I131" i="17" s="1"/>
  <c r="J131" i="17" s="1"/>
  <c r="E131" i="17"/>
  <c r="F131" i="17" s="1"/>
  <c r="G131" i="17" s="1"/>
  <c r="H130" i="17"/>
  <c r="I130" i="17" s="1"/>
  <c r="J130" i="17" s="1"/>
  <c r="E130" i="17"/>
  <c r="F130" i="17" s="1"/>
  <c r="G130" i="17" s="1"/>
  <c r="H128" i="17"/>
  <c r="I128" i="17" s="1"/>
  <c r="J128" i="17" s="1"/>
  <c r="E128" i="17"/>
  <c r="F128" i="17" s="1"/>
  <c r="G128" i="17" s="1"/>
  <c r="H127" i="17"/>
  <c r="I127" i="17" s="1"/>
  <c r="J127" i="17" s="1"/>
  <c r="F127" i="17"/>
  <c r="G127" i="17" s="1"/>
  <c r="E127" i="17"/>
  <c r="H126" i="17"/>
  <c r="I126" i="17" s="1"/>
  <c r="J126" i="17" s="1"/>
  <c r="E126" i="17"/>
  <c r="F126" i="17" s="1"/>
  <c r="G126" i="17" s="1"/>
  <c r="H125" i="17"/>
  <c r="I125" i="17" s="1"/>
  <c r="J125" i="17" s="1"/>
  <c r="E125" i="17"/>
  <c r="F125" i="17" s="1"/>
  <c r="G125" i="17" s="1"/>
  <c r="H124" i="17"/>
  <c r="I124" i="17" s="1"/>
  <c r="J124" i="17" s="1"/>
  <c r="E124" i="17"/>
  <c r="F124" i="17" s="1"/>
  <c r="G124" i="17" s="1"/>
  <c r="H123" i="17"/>
  <c r="I123" i="17" s="1"/>
  <c r="J123" i="17" s="1"/>
  <c r="E123" i="17"/>
  <c r="F123" i="17" s="1"/>
  <c r="G123" i="17" s="1"/>
  <c r="H122" i="17"/>
  <c r="I122" i="17" s="1"/>
  <c r="J122" i="17" s="1"/>
  <c r="F122" i="17"/>
  <c r="G122" i="17" s="1"/>
  <c r="E122" i="17"/>
  <c r="H121" i="17"/>
  <c r="I121" i="17" s="1"/>
  <c r="J121" i="17" s="1"/>
  <c r="E121" i="17"/>
  <c r="F121" i="17" s="1"/>
  <c r="G121" i="17" s="1"/>
  <c r="J120" i="17"/>
  <c r="H120" i="17"/>
  <c r="I120" i="17" s="1"/>
  <c r="E120" i="17"/>
  <c r="F120" i="17" s="1"/>
  <c r="G120" i="17" s="1"/>
  <c r="H119" i="17"/>
  <c r="I119" i="17" s="1"/>
  <c r="J119" i="17" s="1"/>
  <c r="E119" i="17"/>
  <c r="F119" i="17" s="1"/>
  <c r="G119" i="17" s="1"/>
  <c r="H118" i="17"/>
  <c r="I118" i="17" s="1"/>
  <c r="J118" i="17" s="1"/>
  <c r="E118" i="17"/>
  <c r="F118" i="17" s="1"/>
  <c r="G118" i="17" s="1"/>
  <c r="H117" i="17"/>
  <c r="I117" i="17" s="1"/>
  <c r="J117" i="17" s="1"/>
  <c r="E117" i="17"/>
  <c r="F117" i="17" s="1"/>
  <c r="G117" i="17" s="1"/>
  <c r="H116" i="17"/>
  <c r="I116" i="17" s="1"/>
  <c r="J116" i="17" s="1"/>
  <c r="E116" i="17"/>
  <c r="F116" i="17" s="1"/>
  <c r="G116" i="17" s="1"/>
  <c r="H115" i="17"/>
  <c r="I115" i="17" s="1"/>
  <c r="J115" i="17" s="1"/>
  <c r="F115" i="17"/>
  <c r="G115" i="17" s="1"/>
  <c r="E115" i="17"/>
  <c r="H114" i="17"/>
  <c r="I114" i="17" s="1"/>
  <c r="J114" i="17" s="1"/>
  <c r="E114" i="17"/>
  <c r="F114" i="17" s="1"/>
  <c r="G114" i="17" s="1"/>
  <c r="H113" i="17"/>
  <c r="I113" i="17" s="1"/>
  <c r="J113" i="17" s="1"/>
  <c r="E113" i="17"/>
  <c r="F113" i="17" s="1"/>
  <c r="G113" i="17" s="1"/>
  <c r="H111" i="17"/>
  <c r="I111" i="17" s="1"/>
  <c r="J111" i="17" s="1"/>
  <c r="E111" i="17"/>
  <c r="F111" i="17" s="1"/>
  <c r="G111" i="17" s="1"/>
  <c r="H110" i="17"/>
  <c r="I110" i="17" s="1"/>
  <c r="J110" i="17" s="1"/>
  <c r="E110" i="17"/>
  <c r="F110" i="17" s="1"/>
  <c r="G110" i="17" s="1"/>
  <c r="H109" i="17"/>
  <c r="I109" i="17" s="1"/>
  <c r="J109" i="17" s="1"/>
  <c r="E109" i="17"/>
  <c r="F109" i="17" s="1"/>
  <c r="G109" i="17" s="1"/>
  <c r="H108" i="17"/>
  <c r="I108" i="17" s="1"/>
  <c r="J108" i="17" s="1"/>
  <c r="E108" i="17"/>
  <c r="F108" i="17" s="1"/>
  <c r="G108" i="17" s="1"/>
  <c r="H106" i="17"/>
  <c r="I106" i="17" s="1"/>
  <c r="J106" i="17" s="1"/>
  <c r="E106" i="17"/>
  <c r="F106" i="17" s="1"/>
  <c r="G106" i="17" s="1"/>
  <c r="H105" i="17"/>
  <c r="I105" i="17" s="1"/>
  <c r="J105" i="17" s="1"/>
  <c r="E105" i="17"/>
  <c r="F105" i="17" s="1"/>
  <c r="G105" i="17" s="1"/>
  <c r="H104" i="17"/>
  <c r="I104" i="17" s="1"/>
  <c r="J104" i="17" s="1"/>
  <c r="E104" i="17"/>
  <c r="F104" i="17" s="1"/>
  <c r="G104" i="17" s="1"/>
  <c r="H103" i="17"/>
  <c r="I103" i="17" s="1"/>
  <c r="J103" i="17" s="1"/>
  <c r="E103" i="17"/>
  <c r="F103" i="17" s="1"/>
  <c r="G103" i="17" s="1"/>
  <c r="H102" i="17"/>
  <c r="I102" i="17" s="1"/>
  <c r="J102" i="17" s="1"/>
  <c r="E102" i="17"/>
  <c r="F102" i="17" s="1"/>
  <c r="G102" i="17" s="1"/>
  <c r="H101" i="17"/>
  <c r="I101" i="17" s="1"/>
  <c r="J101" i="17" s="1"/>
  <c r="E101" i="17"/>
  <c r="F101" i="17" s="1"/>
  <c r="G101" i="17" s="1"/>
  <c r="H100" i="17"/>
  <c r="I100" i="17" s="1"/>
  <c r="J100" i="17" s="1"/>
  <c r="E100" i="17"/>
  <c r="F100" i="17" s="1"/>
  <c r="G100" i="17" s="1"/>
  <c r="H99" i="17"/>
  <c r="I99" i="17" s="1"/>
  <c r="J99" i="17" s="1"/>
  <c r="E99" i="17"/>
  <c r="F99" i="17" s="1"/>
  <c r="G99" i="17" s="1"/>
  <c r="H98" i="17"/>
  <c r="I98" i="17" s="1"/>
  <c r="J98" i="17" s="1"/>
  <c r="E98" i="17"/>
  <c r="F98" i="17" s="1"/>
  <c r="G98" i="17" s="1"/>
  <c r="H97" i="17"/>
  <c r="I97" i="17" s="1"/>
  <c r="J97" i="17" s="1"/>
  <c r="E97" i="17"/>
  <c r="F97" i="17" s="1"/>
  <c r="G97" i="17" s="1"/>
  <c r="H95" i="17"/>
  <c r="I95" i="17" s="1"/>
  <c r="J95" i="17" s="1"/>
  <c r="E95" i="17"/>
  <c r="F95" i="17" s="1"/>
  <c r="G95" i="17" s="1"/>
  <c r="H94" i="17"/>
  <c r="I94" i="17" s="1"/>
  <c r="J94" i="17" s="1"/>
  <c r="E94" i="17"/>
  <c r="F94" i="17" s="1"/>
  <c r="G94" i="17" s="1"/>
  <c r="H93" i="17"/>
  <c r="I93" i="17" s="1"/>
  <c r="J93" i="17" s="1"/>
  <c r="E93" i="17"/>
  <c r="F93" i="17" s="1"/>
  <c r="G93" i="17" s="1"/>
  <c r="I92" i="17"/>
  <c r="J92" i="17" s="1"/>
  <c r="H92" i="17"/>
  <c r="E92" i="17"/>
  <c r="F92" i="17" s="1"/>
  <c r="G92" i="17" s="1"/>
  <c r="H91" i="17"/>
  <c r="I91" i="17" s="1"/>
  <c r="J91" i="17" s="1"/>
  <c r="E91" i="17"/>
  <c r="F91" i="17" s="1"/>
  <c r="G91" i="17" s="1"/>
  <c r="H90" i="17"/>
  <c r="I90" i="17" s="1"/>
  <c r="J90" i="17" s="1"/>
  <c r="E90" i="17"/>
  <c r="F90" i="17" s="1"/>
  <c r="G90" i="17" s="1"/>
  <c r="H89" i="17"/>
  <c r="I89" i="17" s="1"/>
  <c r="J89" i="17" s="1"/>
  <c r="E89" i="17"/>
  <c r="F89" i="17" s="1"/>
  <c r="G89" i="17" s="1"/>
  <c r="H88" i="17"/>
  <c r="I88" i="17" s="1"/>
  <c r="J88" i="17" s="1"/>
  <c r="E88" i="17"/>
  <c r="F88" i="17" s="1"/>
  <c r="G88" i="17" s="1"/>
  <c r="H87" i="17"/>
  <c r="I87" i="17" s="1"/>
  <c r="J87" i="17" s="1"/>
  <c r="E87" i="17"/>
  <c r="F87" i="17" s="1"/>
  <c r="G87" i="17" s="1"/>
  <c r="H86" i="17"/>
  <c r="I86" i="17" s="1"/>
  <c r="J86" i="17" s="1"/>
  <c r="E86" i="17"/>
  <c r="F86" i="17" s="1"/>
  <c r="G86" i="17" s="1"/>
  <c r="I84" i="17"/>
  <c r="J84" i="17" s="1"/>
  <c r="H84" i="17"/>
  <c r="E84" i="17"/>
  <c r="F84" i="17" s="1"/>
  <c r="G84" i="17" s="1"/>
  <c r="H83" i="17"/>
  <c r="I83" i="17" s="1"/>
  <c r="J83" i="17" s="1"/>
  <c r="E83" i="17"/>
  <c r="F83" i="17" s="1"/>
  <c r="G83" i="17" s="1"/>
  <c r="H82" i="17"/>
  <c r="I82" i="17" s="1"/>
  <c r="J82" i="17" s="1"/>
  <c r="E82" i="17"/>
  <c r="F82" i="17" s="1"/>
  <c r="G82" i="17" s="1"/>
  <c r="H81" i="17"/>
  <c r="I81" i="17" s="1"/>
  <c r="J81" i="17" s="1"/>
  <c r="E81" i="17"/>
  <c r="F81" i="17" s="1"/>
  <c r="G81" i="17" s="1"/>
  <c r="H80" i="17"/>
  <c r="I80" i="17" s="1"/>
  <c r="J80" i="17" s="1"/>
  <c r="E80" i="17"/>
  <c r="F80" i="17" s="1"/>
  <c r="G80" i="17" s="1"/>
  <c r="H79" i="17"/>
  <c r="I79" i="17" s="1"/>
  <c r="J79" i="17" s="1"/>
  <c r="E79" i="17"/>
  <c r="F79" i="17" s="1"/>
  <c r="G79" i="17" s="1"/>
  <c r="H78" i="17"/>
  <c r="I78" i="17" s="1"/>
  <c r="J78" i="17" s="1"/>
  <c r="E78" i="17"/>
  <c r="F78" i="17" s="1"/>
  <c r="G78" i="17" s="1"/>
  <c r="H77" i="17"/>
  <c r="I77" i="17" s="1"/>
  <c r="J77" i="17" s="1"/>
  <c r="E77" i="17"/>
  <c r="F77" i="17" s="1"/>
  <c r="G77" i="17" s="1"/>
  <c r="H76" i="17"/>
  <c r="I76" i="17" s="1"/>
  <c r="J76" i="17" s="1"/>
  <c r="E76" i="17"/>
  <c r="F76" i="17" s="1"/>
  <c r="G76" i="17" s="1"/>
  <c r="H75" i="17"/>
  <c r="I75" i="17" s="1"/>
  <c r="J75" i="17" s="1"/>
  <c r="E75" i="17"/>
  <c r="F75" i="17" s="1"/>
  <c r="G75" i="17" s="1"/>
  <c r="H73" i="17"/>
  <c r="I73" i="17" s="1"/>
  <c r="J73" i="17" s="1"/>
  <c r="E73" i="17"/>
  <c r="F73" i="17" s="1"/>
  <c r="G73" i="17" s="1"/>
  <c r="H72" i="17"/>
  <c r="I72" i="17" s="1"/>
  <c r="J72" i="17" s="1"/>
  <c r="E72" i="17"/>
  <c r="F72" i="17" s="1"/>
  <c r="G72" i="17" s="1"/>
  <c r="H71" i="17"/>
  <c r="I71" i="17" s="1"/>
  <c r="J71" i="17" s="1"/>
  <c r="E71" i="17"/>
  <c r="F71" i="17" s="1"/>
  <c r="G71" i="17" s="1"/>
  <c r="H70" i="17"/>
  <c r="I70" i="17" s="1"/>
  <c r="J70" i="17" s="1"/>
  <c r="E70" i="17"/>
  <c r="F70" i="17" s="1"/>
  <c r="G70" i="17" s="1"/>
  <c r="H69" i="17"/>
  <c r="I69" i="17" s="1"/>
  <c r="J69" i="17" s="1"/>
  <c r="E69" i="17"/>
  <c r="F69" i="17" s="1"/>
  <c r="G69" i="17" s="1"/>
  <c r="H68" i="17"/>
  <c r="I68" i="17" s="1"/>
  <c r="J68" i="17" s="1"/>
  <c r="E68" i="17"/>
  <c r="F68" i="17" s="1"/>
  <c r="G68" i="17" s="1"/>
  <c r="H67" i="17"/>
  <c r="I67" i="17" s="1"/>
  <c r="J67" i="17" s="1"/>
  <c r="E67" i="17"/>
  <c r="F67" i="17" s="1"/>
  <c r="G67" i="17" s="1"/>
  <c r="H66" i="17"/>
  <c r="I66" i="17" s="1"/>
  <c r="J66" i="17" s="1"/>
  <c r="E66" i="17"/>
  <c r="F66" i="17" s="1"/>
  <c r="G66" i="17" s="1"/>
  <c r="H65" i="17"/>
  <c r="I65" i="17" s="1"/>
  <c r="J65" i="17" s="1"/>
  <c r="E65" i="17"/>
  <c r="F65" i="17" s="1"/>
  <c r="G65" i="17" s="1"/>
  <c r="H64" i="17"/>
  <c r="I64" i="17" s="1"/>
  <c r="J64" i="17" s="1"/>
  <c r="E64" i="17"/>
  <c r="F64" i="17" s="1"/>
  <c r="G64" i="17" s="1"/>
  <c r="H62" i="17"/>
  <c r="I62" i="17" s="1"/>
  <c r="J62" i="17" s="1"/>
  <c r="E62" i="17"/>
  <c r="F62" i="17" s="1"/>
  <c r="G62" i="17" s="1"/>
  <c r="H61" i="17"/>
  <c r="I61" i="17" s="1"/>
  <c r="J61" i="17" s="1"/>
  <c r="E61" i="17"/>
  <c r="F61" i="17" s="1"/>
  <c r="G61" i="17" s="1"/>
  <c r="H60" i="17"/>
  <c r="I60" i="17" s="1"/>
  <c r="J60" i="17" s="1"/>
  <c r="E60" i="17"/>
  <c r="F60" i="17" s="1"/>
  <c r="G60" i="17" s="1"/>
  <c r="H59" i="17"/>
  <c r="I59" i="17" s="1"/>
  <c r="J59" i="17" s="1"/>
  <c r="E59" i="17"/>
  <c r="F59" i="17" s="1"/>
  <c r="G59" i="17" s="1"/>
  <c r="H58" i="17"/>
  <c r="I58" i="17" s="1"/>
  <c r="J58" i="17" s="1"/>
  <c r="E58" i="17"/>
  <c r="F58" i="17" s="1"/>
  <c r="G58" i="17" s="1"/>
  <c r="H57" i="17"/>
  <c r="I57" i="17" s="1"/>
  <c r="J57" i="17" s="1"/>
  <c r="E57" i="17"/>
  <c r="F57" i="17" s="1"/>
  <c r="G57" i="17" s="1"/>
  <c r="H56" i="17"/>
  <c r="I56" i="17" s="1"/>
  <c r="J56" i="17" s="1"/>
  <c r="E56" i="17"/>
  <c r="F56" i="17" s="1"/>
  <c r="G56" i="17" s="1"/>
  <c r="H55" i="17"/>
  <c r="I55" i="17" s="1"/>
  <c r="J55" i="17" s="1"/>
  <c r="E55" i="17"/>
  <c r="F55" i="17" s="1"/>
  <c r="G55" i="17" s="1"/>
  <c r="H54" i="17"/>
  <c r="I54" i="17" s="1"/>
  <c r="J54" i="17" s="1"/>
  <c r="E54" i="17"/>
  <c r="F54" i="17" s="1"/>
  <c r="G54" i="17" s="1"/>
  <c r="H53" i="17"/>
  <c r="I53" i="17" s="1"/>
  <c r="J53" i="17" s="1"/>
  <c r="E53" i="17"/>
  <c r="F53" i="17" s="1"/>
  <c r="G53" i="17" s="1"/>
  <c r="H51" i="17"/>
  <c r="I51" i="17" s="1"/>
  <c r="J51" i="17" s="1"/>
  <c r="E51" i="17"/>
  <c r="F51" i="17" s="1"/>
  <c r="G51" i="17" s="1"/>
  <c r="H50" i="17"/>
  <c r="I50" i="17" s="1"/>
  <c r="J50" i="17" s="1"/>
  <c r="E50" i="17"/>
  <c r="F50" i="17" s="1"/>
  <c r="G50" i="17" s="1"/>
  <c r="H49" i="17"/>
  <c r="I49" i="17" s="1"/>
  <c r="J49" i="17" s="1"/>
  <c r="E49" i="17"/>
  <c r="F49" i="17" s="1"/>
  <c r="G49" i="17" s="1"/>
  <c r="H48" i="17"/>
  <c r="I48" i="17" s="1"/>
  <c r="J48" i="17" s="1"/>
  <c r="E48" i="17"/>
  <c r="F48" i="17" s="1"/>
  <c r="G48" i="17" s="1"/>
  <c r="H47" i="17"/>
  <c r="I47" i="17" s="1"/>
  <c r="J47" i="17" s="1"/>
  <c r="E47" i="17"/>
  <c r="F47" i="17" s="1"/>
  <c r="G47" i="17" s="1"/>
  <c r="H46" i="17"/>
  <c r="I46" i="17" s="1"/>
  <c r="J46" i="17" s="1"/>
  <c r="E46" i="17"/>
  <c r="F46" i="17" s="1"/>
  <c r="G46" i="17" s="1"/>
  <c r="H45" i="17"/>
  <c r="I45" i="17" s="1"/>
  <c r="J45" i="17" s="1"/>
  <c r="E45" i="17"/>
  <c r="F45" i="17" s="1"/>
  <c r="G45" i="17" s="1"/>
  <c r="H44" i="17"/>
  <c r="I44" i="17" s="1"/>
  <c r="J44" i="17" s="1"/>
  <c r="E44" i="17"/>
  <c r="F44" i="17" s="1"/>
  <c r="G44" i="17" s="1"/>
  <c r="H43" i="17"/>
  <c r="I43" i="17" s="1"/>
  <c r="J43" i="17" s="1"/>
  <c r="E43" i="17"/>
  <c r="F43" i="17" s="1"/>
  <c r="G43" i="17" s="1"/>
  <c r="I42" i="17"/>
  <c r="J42" i="17" s="1"/>
  <c r="H42" i="17"/>
  <c r="E42" i="17"/>
  <c r="F42" i="17" s="1"/>
  <c r="G42" i="17" s="1"/>
  <c r="H40" i="17"/>
  <c r="I40" i="17" s="1"/>
  <c r="J40" i="17" s="1"/>
  <c r="E40" i="17"/>
  <c r="F40" i="17" s="1"/>
  <c r="G40" i="17" s="1"/>
  <c r="H39" i="17"/>
  <c r="I39" i="17" s="1"/>
  <c r="J39" i="17" s="1"/>
  <c r="E39" i="17"/>
  <c r="F39" i="17" s="1"/>
  <c r="G39" i="17" s="1"/>
  <c r="I38" i="17"/>
  <c r="J38" i="17" s="1"/>
  <c r="H38" i="17"/>
  <c r="E38" i="17"/>
  <c r="F38" i="17" s="1"/>
  <c r="G38" i="17" s="1"/>
  <c r="H37" i="17"/>
  <c r="I37" i="17" s="1"/>
  <c r="J37" i="17" s="1"/>
  <c r="E37" i="17"/>
  <c r="F37" i="17" s="1"/>
  <c r="G37" i="17" s="1"/>
  <c r="H36" i="17"/>
  <c r="I36" i="17" s="1"/>
  <c r="J36" i="17" s="1"/>
  <c r="E36" i="17"/>
  <c r="F36" i="17" s="1"/>
  <c r="G36" i="17" s="1"/>
  <c r="H35" i="17"/>
  <c r="I35" i="17" s="1"/>
  <c r="J35" i="17" s="1"/>
  <c r="E35" i="17"/>
  <c r="F35" i="17" s="1"/>
  <c r="G35" i="17" s="1"/>
  <c r="H34" i="17"/>
  <c r="I34" i="17" s="1"/>
  <c r="J34" i="17" s="1"/>
  <c r="E34" i="17"/>
  <c r="F34" i="17" s="1"/>
  <c r="G34" i="17" s="1"/>
  <c r="H33" i="17"/>
  <c r="I33" i="17" s="1"/>
  <c r="J33" i="17" s="1"/>
  <c r="E33" i="17"/>
  <c r="F33" i="17" s="1"/>
  <c r="G33" i="17" s="1"/>
  <c r="H32" i="17"/>
  <c r="I32" i="17" s="1"/>
  <c r="J32" i="17" s="1"/>
  <c r="E32" i="17"/>
  <c r="F32" i="17" s="1"/>
  <c r="G32" i="17" s="1"/>
  <c r="H31" i="17"/>
  <c r="I31" i="17" s="1"/>
  <c r="J31" i="17" s="1"/>
  <c r="E31" i="17"/>
  <c r="F31" i="17" s="1"/>
  <c r="G31" i="17" s="1"/>
  <c r="H30" i="17"/>
  <c r="I30" i="17" s="1"/>
  <c r="J30" i="17" s="1"/>
  <c r="E30" i="17"/>
  <c r="F30" i="17" s="1"/>
  <c r="G30" i="17" s="1"/>
  <c r="H29" i="17"/>
  <c r="I29" i="17" s="1"/>
  <c r="J29" i="17" s="1"/>
  <c r="E29" i="17"/>
  <c r="F29" i="17" s="1"/>
  <c r="G29" i="17" s="1"/>
  <c r="H28" i="17"/>
  <c r="I28" i="17" s="1"/>
  <c r="J28" i="17" s="1"/>
  <c r="E28" i="17"/>
  <c r="F28" i="17" s="1"/>
  <c r="G28" i="17" s="1"/>
  <c r="I27" i="17"/>
  <c r="J27" i="17" s="1"/>
  <c r="H27" i="17"/>
  <c r="E27" i="17"/>
  <c r="F27" i="17" s="1"/>
  <c r="G27" i="17" s="1"/>
  <c r="H26" i="17"/>
  <c r="I26" i="17" s="1"/>
  <c r="J26" i="17" s="1"/>
  <c r="E26" i="17"/>
  <c r="F26" i="17" s="1"/>
  <c r="G26" i="17" s="1"/>
  <c r="H25" i="17"/>
  <c r="I25" i="17" s="1"/>
  <c r="J25" i="17" s="1"/>
  <c r="E25" i="17"/>
  <c r="F25" i="17" s="1"/>
  <c r="G25" i="17" s="1"/>
  <c r="H23" i="17"/>
  <c r="I23" i="17" s="1"/>
  <c r="J23" i="17" s="1"/>
  <c r="E23" i="17"/>
  <c r="F23" i="17" s="1"/>
  <c r="G23" i="17" s="1"/>
  <c r="H22" i="17"/>
  <c r="I22" i="17" s="1"/>
  <c r="J22" i="17" s="1"/>
  <c r="E22" i="17"/>
  <c r="F22" i="17" s="1"/>
  <c r="G22" i="17" s="1"/>
  <c r="H21" i="17"/>
  <c r="I21" i="17" s="1"/>
  <c r="J21" i="17" s="1"/>
  <c r="E21" i="17"/>
  <c r="F21" i="17" s="1"/>
  <c r="G21" i="17" s="1"/>
  <c r="H19" i="17"/>
  <c r="I19" i="17" s="1"/>
  <c r="J19" i="17" s="1"/>
  <c r="E19" i="17"/>
  <c r="F19" i="17" s="1"/>
  <c r="G19" i="17" s="1"/>
  <c r="H18" i="17"/>
  <c r="I18" i="17" s="1"/>
  <c r="J18" i="17" s="1"/>
  <c r="E18" i="17"/>
  <c r="F18" i="17" s="1"/>
  <c r="G18" i="17" s="1"/>
  <c r="H17" i="17"/>
  <c r="I17" i="17" s="1"/>
  <c r="J17" i="17" s="1"/>
  <c r="E17" i="17"/>
  <c r="F17" i="17" s="1"/>
  <c r="G17" i="17" s="1"/>
  <c r="H16" i="17"/>
  <c r="I16" i="17" s="1"/>
  <c r="J16" i="17" s="1"/>
  <c r="E16" i="17"/>
  <c r="F16" i="17" s="1"/>
  <c r="G16" i="17" s="1"/>
  <c r="H15" i="17"/>
  <c r="I15" i="17" s="1"/>
  <c r="J15" i="17" s="1"/>
  <c r="E15" i="17"/>
  <c r="F15" i="17" s="1"/>
  <c r="G15" i="17" s="1"/>
  <c r="I14" i="17"/>
  <c r="J14" i="17" s="1"/>
  <c r="H14" i="17"/>
  <c r="E14" i="17"/>
  <c r="F14" i="17" s="1"/>
  <c r="G14" i="17" s="1"/>
  <c r="H13" i="17"/>
  <c r="I13" i="17" s="1"/>
  <c r="J13" i="17" s="1"/>
  <c r="E13" i="17"/>
  <c r="F13" i="17" s="1"/>
  <c r="G13" i="17" s="1"/>
  <c r="H12" i="17"/>
  <c r="I12" i="17" s="1"/>
  <c r="J12" i="17" s="1"/>
  <c r="E12" i="17"/>
  <c r="F12" i="17" s="1"/>
  <c r="G12" i="17" s="1"/>
  <c r="H10" i="17"/>
  <c r="I10" i="17" s="1"/>
  <c r="J10" i="17" s="1"/>
  <c r="E10" i="17"/>
  <c r="F10" i="17" s="1"/>
  <c r="G10" i="17" s="1"/>
  <c r="H9" i="17"/>
  <c r="I9" i="17" s="1"/>
  <c r="J9" i="17" s="1"/>
  <c r="E9" i="17"/>
  <c r="F9" i="17" s="1"/>
  <c r="G9" i="17" s="1"/>
  <c r="H8" i="17"/>
  <c r="I8" i="17" s="1"/>
  <c r="J8" i="17" s="1"/>
  <c r="E8" i="17"/>
  <c r="F8" i="17" s="1"/>
  <c r="G8" i="17" s="1"/>
  <c r="I7" i="17"/>
  <c r="J7" i="17" s="1"/>
  <c r="H7" i="17"/>
  <c r="E7" i="17"/>
  <c r="F7" i="17" s="1"/>
  <c r="G7" i="17" s="1"/>
  <c r="H6" i="17"/>
  <c r="I6" i="17" s="1"/>
  <c r="J6" i="17" s="1"/>
  <c r="E6" i="17"/>
  <c r="F6" i="17" s="1"/>
  <c r="G6" i="17" s="1"/>
  <c r="H5" i="17"/>
  <c r="I5" i="17" s="1"/>
  <c r="E5" i="17"/>
  <c r="F5" i="17" s="1"/>
  <c r="G5" i="17" s="1"/>
  <c r="H4" i="17"/>
  <c r="I4" i="17" s="1"/>
  <c r="J4" i="17" s="1"/>
  <c r="E4" i="17"/>
  <c r="F4" i="17" s="1"/>
  <c r="G4" i="17" s="1"/>
  <c r="H3" i="17"/>
  <c r="I3" i="17" s="1"/>
  <c r="J3" i="17" s="1"/>
  <c r="E3" i="17"/>
  <c r="I141" i="12"/>
  <c r="J141" i="12" s="1"/>
  <c r="K141" i="12" s="1"/>
  <c r="F141" i="12"/>
  <c r="G141" i="12" s="1"/>
  <c r="H141" i="12" s="1"/>
  <c r="I140" i="12"/>
  <c r="J140" i="12" s="1"/>
  <c r="K140" i="12" s="1"/>
  <c r="F140" i="12"/>
  <c r="G140" i="12" s="1"/>
  <c r="H140" i="12" s="1"/>
  <c r="I139" i="12"/>
  <c r="J139" i="12" s="1"/>
  <c r="K139" i="12" s="1"/>
  <c r="F139" i="12"/>
  <c r="G139" i="12" s="1"/>
  <c r="H139" i="12" s="1"/>
  <c r="I137" i="12"/>
  <c r="J137" i="12" s="1"/>
  <c r="K137" i="12" s="1"/>
  <c r="F137" i="12"/>
  <c r="G137" i="12" s="1"/>
  <c r="H137" i="12" s="1"/>
  <c r="I136" i="12"/>
  <c r="J136" i="12" s="1"/>
  <c r="K136" i="12" s="1"/>
  <c r="F136" i="12"/>
  <c r="G136" i="12" s="1"/>
  <c r="H136" i="12" s="1"/>
  <c r="I134" i="12"/>
  <c r="J134" i="12" s="1"/>
  <c r="K134" i="12" s="1"/>
  <c r="F134" i="12"/>
  <c r="G134" i="12" s="1"/>
  <c r="H134" i="12" s="1"/>
  <c r="I132" i="12"/>
  <c r="J132" i="12" s="1"/>
  <c r="K132" i="12" s="1"/>
  <c r="F132" i="12"/>
  <c r="G132" i="12" s="1"/>
  <c r="H132" i="12" s="1"/>
  <c r="I131" i="12"/>
  <c r="J131" i="12" s="1"/>
  <c r="K131" i="12" s="1"/>
  <c r="F131" i="12"/>
  <c r="G131" i="12" s="1"/>
  <c r="H131" i="12" s="1"/>
  <c r="I130" i="12"/>
  <c r="J130" i="12" s="1"/>
  <c r="K130" i="12" s="1"/>
  <c r="F130" i="12"/>
  <c r="G130" i="12" s="1"/>
  <c r="H130" i="12" s="1"/>
  <c r="I129" i="12"/>
  <c r="J129" i="12" s="1"/>
  <c r="K129" i="12" s="1"/>
  <c r="F129" i="12"/>
  <c r="G129" i="12" s="1"/>
  <c r="H129" i="12" s="1"/>
  <c r="I127" i="12"/>
  <c r="J127" i="12" s="1"/>
  <c r="K127" i="12" s="1"/>
  <c r="F127" i="12"/>
  <c r="G127" i="12" s="1"/>
  <c r="H127" i="12" s="1"/>
  <c r="I126" i="12"/>
  <c r="J126" i="12" s="1"/>
  <c r="K126" i="12" s="1"/>
  <c r="F126" i="12"/>
  <c r="G126" i="12" s="1"/>
  <c r="H126" i="12" s="1"/>
  <c r="I125" i="12"/>
  <c r="J125" i="12" s="1"/>
  <c r="K125" i="12" s="1"/>
  <c r="F125" i="12"/>
  <c r="G125" i="12" s="1"/>
  <c r="H125" i="12" s="1"/>
  <c r="I124" i="12"/>
  <c r="J124" i="12" s="1"/>
  <c r="K124" i="12" s="1"/>
  <c r="F124" i="12"/>
  <c r="G124" i="12" s="1"/>
  <c r="H124" i="12" s="1"/>
  <c r="I122" i="12"/>
  <c r="J122" i="12" s="1"/>
  <c r="K122" i="12" s="1"/>
  <c r="F122" i="12"/>
  <c r="G122" i="12" s="1"/>
  <c r="H122" i="12" s="1"/>
  <c r="I121" i="12"/>
  <c r="J121" i="12" s="1"/>
  <c r="K121" i="12" s="1"/>
  <c r="F121" i="12"/>
  <c r="G121" i="12" s="1"/>
  <c r="H121" i="12" s="1"/>
  <c r="I119" i="12"/>
  <c r="J119" i="12" s="1"/>
  <c r="K119" i="12" s="1"/>
  <c r="F119" i="12"/>
  <c r="G119" i="12" s="1"/>
  <c r="H119" i="12" s="1"/>
  <c r="I118" i="12"/>
  <c r="J118" i="12" s="1"/>
  <c r="K118" i="12" s="1"/>
  <c r="F118" i="12"/>
  <c r="G118" i="12" s="1"/>
  <c r="H118" i="12" s="1"/>
  <c r="I116" i="12"/>
  <c r="J116" i="12" s="1"/>
  <c r="K116" i="12" s="1"/>
  <c r="F116" i="12"/>
  <c r="G116" i="12" s="1"/>
  <c r="H116" i="12" s="1"/>
  <c r="I115" i="12"/>
  <c r="J115" i="12" s="1"/>
  <c r="K115" i="12" s="1"/>
  <c r="F115" i="12"/>
  <c r="G115" i="12" s="1"/>
  <c r="H115" i="12" s="1"/>
  <c r="I114" i="12"/>
  <c r="J114" i="12" s="1"/>
  <c r="K114" i="12" s="1"/>
  <c r="F114" i="12"/>
  <c r="G114" i="12" s="1"/>
  <c r="H114" i="12" s="1"/>
  <c r="I112" i="12"/>
  <c r="J112" i="12" s="1"/>
  <c r="K112" i="12" s="1"/>
  <c r="F112" i="12"/>
  <c r="G112" i="12" s="1"/>
  <c r="H112" i="12" s="1"/>
  <c r="I111" i="12"/>
  <c r="J111" i="12" s="1"/>
  <c r="K111" i="12" s="1"/>
  <c r="F111" i="12"/>
  <c r="G111" i="12" s="1"/>
  <c r="H111" i="12" s="1"/>
  <c r="I110" i="12"/>
  <c r="J110" i="12" s="1"/>
  <c r="K110" i="12" s="1"/>
  <c r="F110" i="12"/>
  <c r="G110" i="12" s="1"/>
  <c r="H110" i="12" s="1"/>
  <c r="I109" i="12"/>
  <c r="J109" i="12" s="1"/>
  <c r="K109" i="12" s="1"/>
  <c r="F109" i="12"/>
  <c r="G109" i="12" s="1"/>
  <c r="H109" i="12" s="1"/>
  <c r="I107" i="12"/>
  <c r="J107" i="12" s="1"/>
  <c r="K107" i="12" s="1"/>
  <c r="F107" i="12"/>
  <c r="G107" i="12" s="1"/>
  <c r="H107" i="12" s="1"/>
  <c r="I106" i="12"/>
  <c r="J106" i="12" s="1"/>
  <c r="K106" i="12" s="1"/>
  <c r="F106" i="12"/>
  <c r="G106" i="12" s="1"/>
  <c r="H106" i="12" s="1"/>
  <c r="I105" i="12"/>
  <c r="J105" i="12" s="1"/>
  <c r="K105" i="12" s="1"/>
  <c r="F105" i="12"/>
  <c r="G105" i="12" s="1"/>
  <c r="H105" i="12" s="1"/>
  <c r="I104" i="12"/>
  <c r="J104" i="12" s="1"/>
  <c r="K104" i="12" s="1"/>
  <c r="F104" i="12"/>
  <c r="G104" i="12" s="1"/>
  <c r="H104" i="12" s="1"/>
  <c r="I103" i="12"/>
  <c r="J103" i="12" s="1"/>
  <c r="K103" i="12" s="1"/>
  <c r="F103" i="12"/>
  <c r="G103" i="12" s="1"/>
  <c r="H103" i="12" s="1"/>
  <c r="I102" i="12"/>
  <c r="J102" i="12" s="1"/>
  <c r="K102" i="12" s="1"/>
  <c r="F102" i="12"/>
  <c r="G102" i="12" s="1"/>
  <c r="H102" i="12" s="1"/>
  <c r="I100" i="12"/>
  <c r="J100" i="12" s="1"/>
  <c r="K100" i="12" s="1"/>
  <c r="F100" i="12"/>
  <c r="G100" i="12" s="1"/>
  <c r="H100" i="12" s="1"/>
  <c r="I99" i="12"/>
  <c r="J99" i="12" s="1"/>
  <c r="K99" i="12" s="1"/>
  <c r="F99" i="12"/>
  <c r="G99" i="12" s="1"/>
  <c r="H99" i="12" s="1"/>
  <c r="I98" i="12"/>
  <c r="J98" i="12" s="1"/>
  <c r="K98" i="12" s="1"/>
  <c r="F98" i="12"/>
  <c r="G98" i="12" s="1"/>
  <c r="H98" i="12" s="1"/>
  <c r="I97" i="12"/>
  <c r="J97" i="12" s="1"/>
  <c r="K97" i="12" s="1"/>
  <c r="F97" i="12"/>
  <c r="G97" i="12" s="1"/>
  <c r="H97" i="12" s="1"/>
  <c r="I96" i="12"/>
  <c r="J96" i="12" s="1"/>
  <c r="K96" i="12" s="1"/>
  <c r="F96" i="12"/>
  <c r="G96" i="12" s="1"/>
  <c r="H96" i="12" s="1"/>
  <c r="I94" i="12"/>
  <c r="J94" i="12" s="1"/>
  <c r="K94" i="12" s="1"/>
  <c r="F94" i="12"/>
  <c r="G94" i="12" s="1"/>
  <c r="H94" i="12" s="1"/>
  <c r="I93" i="12"/>
  <c r="J93" i="12" s="1"/>
  <c r="K93" i="12" s="1"/>
  <c r="F93" i="12"/>
  <c r="G93" i="12" s="1"/>
  <c r="H93" i="12" s="1"/>
  <c r="I92" i="12"/>
  <c r="J92" i="12" s="1"/>
  <c r="K92" i="12" s="1"/>
  <c r="F92" i="12"/>
  <c r="G92" i="12" s="1"/>
  <c r="H92" i="12" s="1"/>
  <c r="I91" i="12"/>
  <c r="J91" i="12" s="1"/>
  <c r="K91" i="12" s="1"/>
  <c r="F91" i="12"/>
  <c r="G91" i="12" s="1"/>
  <c r="H91" i="12" s="1"/>
  <c r="I89" i="12"/>
  <c r="J89" i="12" s="1"/>
  <c r="K89" i="12" s="1"/>
  <c r="F89" i="12"/>
  <c r="G89" i="12" s="1"/>
  <c r="H89" i="12" s="1"/>
  <c r="I88" i="12"/>
  <c r="J88" i="12" s="1"/>
  <c r="K88" i="12" s="1"/>
  <c r="F88" i="12"/>
  <c r="G88" i="12" s="1"/>
  <c r="H88" i="12" s="1"/>
  <c r="I87" i="12"/>
  <c r="J87" i="12" s="1"/>
  <c r="K87" i="12" s="1"/>
  <c r="F87" i="12"/>
  <c r="G87" i="12" s="1"/>
  <c r="H87" i="12" s="1"/>
  <c r="I86" i="12"/>
  <c r="J86" i="12" s="1"/>
  <c r="K86" i="12" s="1"/>
  <c r="F86" i="12"/>
  <c r="G86" i="12" s="1"/>
  <c r="H86" i="12" s="1"/>
  <c r="I84" i="12"/>
  <c r="J84" i="12" s="1"/>
  <c r="K84" i="12" s="1"/>
  <c r="F84" i="12"/>
  <c r="G84" i="12" s="1"/>
  <c r="H84" i="12" s="1"/>
  <c r="I83" i="12"/>
  <c r="J83" i="12" s="1"/>
  <c r="K83" i="12" s="1"/>
  <c r="F83" i="12"/>
  <c r="G83" i="12" s="1"/>
  <c r="H83" i="12" s="1"/>
  <c r="I81" i="12"/>
  <c r="J81" i="12" s="1"/>
  <c r="K81" i="12" s="1"/>
  <c r="F81" i="12"/>
  <c r="G81" i="12" s="1"/>
  <c r="H81" i="12" s="1"/>
  <c r="I80" i="12"/>
  <c r="J80" i="12" s="1"/>
  <c r="K80" i="12" s="1"/>
  <c r="F80" i="12"/>
  <c r="G80" i="12" s="1"/>
  <c r="H80" i="12" s="1"/>
  <c r="I78" i="12"/>
  <c r="J78" i="12" s="1"/>
  <c r="K78" i="12" s="1"/>
  <c r="F78" i="12"/>
  <c r="G78" i="12" s="1"/>
  <c r="H78" i="12" s="1"/>
  <c r="I77" i="12"/>
  <c r="J77" i="12" s="1"/>
  <c r="K77" i="12" s="1"/>
  <c r="F77" i="12"/>
  <c r="G77" i="12" s="1"/>
  <c r="H77" i="12" s="1"/>
  <c r="I76" i="12"/>
  <c r="J76" i="12" s="1"/>
  <c r="K76" i="12" s="1"/>
  <c r="F76" i="12"/>
  <c r="G76" i="12" s="1"/>
  <c r="H76" i="12" s="1"/>
  <c r="I75" i="12"/>
  <c r="J75" i="12" s="1"/>
  <c r="K75" i="12" s="1"/>
  <c r="F75" i="12"/>
  <c r="G75" i="12" s="1"/>
  <c r="H75" i="12" s="1"/>
  <c r="I73" i="12"/>
  <c r="J73" i="12" s="1"/>
  <c r="K73" i="12" s="1"/>
  <c r="F73" i="12"/>
  <c r="G73" i="12" s="1"/>
  <c r="H73" i="12" s="1"/>
  <c r="I72" i="12"/>
  <c r="J72" i="12" s="1"/>
  <c r="K72" i="12" s="1"/>
  <c r="F72" i="12"/>
  <c r="G72" i="12" s="1"/>
  <c r="H72" i="12" s="1"/>
  <c r="I71" i="12"/>
  <c r="J71" i="12" s="1"/>
  <c r="K71" i="12" s="1"/>
  <c r="F71" i="12"/>
  <c r="G71" i="12" s="1"/>
  <c r="H71" i="12" s="1"/>
  <c r="I70" i="12"/>
  <c r="J70" i="12" s="1"/>
  <c r="K70" i="12" s="1"/>
  <c r="F70" i="12"/>
  <c r="G70" i="12" s="1"/>
  <c r="H70" i="12" s="1"/>
  <c r="I69" i="12"/>
  <c r="J69" i="12" s="1"/>
  <c r="K69" i="12" s="1"/>
  <c r="F69" i="12"/>
  <c r="G69" i="12" s="1"/>
  <c r="H69" i="12" s="1"/>
  <c r="I68" i="12"/>
  <c r="J68" i="12" s="1"/>
  <c r="K68" i="12" s="1"/>
  <c r="F68" i="12"/>
  <c r="G68" i="12" s="1"/>
  <c r="H68" i="12" s="1"/>
  <c r="I66" i="12"/>
  <c r="J66" i="12" s="1"/>
  <c r="K66" i="12" s="1"/>
  <c r="F66" i="12"/>
  <c r="G66" i="12" s="1"/>
  <c r="H66" i="12" s="1"/>
  <c r="I65" i="12"/>
  <c r="J65" i="12" s="1"/>
  <c r="K65" i="12" s="1"/>
  <c r="F65" i="12"/>
  <c r="G65" i="12" s="1"/>
  <c r="H65" i="12" s="1"/>
  <c r="I64" i="12"/>
  <c r="J64" i="12" s="1"/>
  <c r="K64" i="12" s="1"/>
  <c r="F64" i="12"/>
  <c r="G64" i="12" s="1"/>
  <c r="H64" i="12" s="1"/>
  <c r="I63" i="12"/>
  <c r="J63" i="12" s="1"/>
  <c r="K63" i="12" s="1"/>
  <c r="F63" i="12"/>
  <c r="G63" i="12" s="1"/>
  <c r="H63" i="12" s="1"/>
  <c r="I62" i="12"/>
  <c r="J62" i="12" s="1"/>
  <c r="K62" i="12" s="1"/>
  <c r="F62" i="12"/>
  <c r="G62" i="12" s="1"/>
  <c r="H62" i="12" s="1"/>
  <c r="I60" i="12"/>
  <c r="J60" i="12" s="1"/>
  <c r="K60" i="12" s="1"/>
  <c r="F60" i="12"/>
  <c r="G60" i="12" s="1"/>
  <c r="H60" i="12" s="1"/>
  <c r="I59" i="12"/>
  <c r="J59" i="12" s="1"/>
  <c r="K59" i="12" s="1"/>
  <c r="F59" i="12"/>
  <c r="G59" i="12" s="1"/>
  <c r="H59" i="12" s="1"/>
  <c r="I58" i="12"/>
  <c r="J58" i="12" s="1"/>
  <c r="K58" i="12" s="1"/>
  <c r="F58" i="12"/>
  <c r="G58" i="12" s="1"/>
  <c r="H58" i="12" s="1"/>
  <c r="I57" i="12"/>
  <c r="J57" i="12" s="1"/>
  <c r="K57" i="12" s="1"/>
  <c r="F57" i="12"/>
  <c r="G57" i="12" s="1"/>
  <c r="H57" i="12" s="1"/>
  <c r="I55" i="12"/>
  <c r="J55" i="12" s="1"/>
  <c r="K55" i="12" s="1"/>
  <c r="F55" i="12"/>
  <c r="G55" i="12" s="1"/>
  <c r="H55" i="12" s="1"/>
  <c r="I54" i="12"/>
  <c r="J54" i="12" s="1"/>
  <c r="K54" i="12" s="1"/>
  <c r="F54" i="12"/>
  <c r="G54" i="12" s="1"/>
  <c r="H54" i="12" s="1"/>
  <c r="I53" i="12"/>
  <c r="J53" i="12" s="1"/>
  <c r="K53" i="12" s="1"/>
  <c r="F53" i="12"/>
  <c r="G53" i="12" s="1"/>
  <c r="H53" i="12" s="1"/>
  <c r="I52" i="12"/>
  <c r="J52" i="12" s="1"/>
  <c r="K52" i="12" s="1"/>
  <c r="F52" i="12"/>
  <c r="G52" i="12" s="1"/>
  <c r="H52" i="12" s="1"/>
  <c r="I50" i="12"/>
  <c r="J50" i="12" s="1"/>
  <c r="K50" i="12" s="1"/>
  <c r="F50" i="12"/>
  <c r="G50" i="12" s="1"/>
  <c r="H50" i="12" s="1"/>
  <c r="I49" i="12"/>
  <c r="J49" i="12" s="1"/>
  <c r="K49" i="12" s="1"/>
  <c r="F49" i="12"/>
  <c r="G49" i="12" s="1"/>
  <c r="H49" i="12" s="1"/>
  <c r="I48" i="12"/>
  <c r="J48" i="12" s="1"/>
  <c r="K48" i="12" s="1"/>
  <c r="F48" i="12"/>
  <c r="G48" i="12" s="1"/>
  <c r="H48" i="12" s="1"/>
  <c r="I47" i="12"/>
  <c r="J47" i="12" s="1"/>
  <c r="K47" i="12" s="1"/>
  <c r="F47" i="12"/>
  <c r="G47" i="12" s="1"/>
  <c r="H47" i="12" s="1"/>
  <c r="I45" i="12"/>
  <c r="J45" i="12" s="1"/>
  <c r="K45" i="12" s="1"/>
  <c r="F45" i="12"/>
  <c r="G45" i="12" s="1"/>
  <c r="H45" i="12" s="1"/>
  <c r="I44" i="12"/>
  <c r="J44" i="12" s="1"/>
  <c r="K44" i="12" s="1"/>
  <c r="F44" i="12"/>
  <c r="G44" i="12" s="1"/>
  <c r="H44" i="12" s="1"/>
  <c r="I43" i="12"/>
  <c r="J43" i="12" s="1"/>
  <c r="K43" i="12" s="1"/>
  <c r="F43" i="12"/>
  <c r="G43" i="12" s="1"/>
  <c r="H43" i="12" s="1"/>
  <c r="I42" i="12"/>
  <c r="J42" i="12" s="1"/>
  <c r="K42" i="12" s="1"/>
  <c r="F42" i="12"/>
  <c r="G42" i="12" s="1"/>
  <c r="H42" i="12" s="1"/>
  <c r="I41" i="12"/>
  <c r="J41" i="12" s="1"/>
  <c r="K41" i="12" s="1"/>
  <c r="F41" i="12"/>
  <c r="G41" i="12" s="1"/>
  <c r="H41" i="12" s="1"/>
  <c r="I39" i="12"/>
  <c r="J39" i="12" s="1"/>
  <c r="K39" i="12" s="1"/>
  <c r="F39" i="12"/>
  <c r="G39" i="12" s="1"/>
  <c r="H39" i="12" s="1"/>
  <c r="I38" i="12"/>
  <c r="J38" i="12" s="1"/>
  <c r="K38" i="12" s="1"/>
  <c r="F38" i="12"/>
  <c r="G38" i="12" s="1"/>
  <c r="H38" i="12" s="1"/>
  <c r="I37" i="12"/>
  <c r="J37" i="12" s="1"/>
  <c r="K37" i="12" s="1"/>
  <c r="F37" i="12"/>
  <c r="G37" i="12" s="1"/>
  <c r="H37" i="12" s="1"/>
  <c r="I36" i="12"/>
  <c r="J36" i="12" s="1"/>
  <c r="K36" i="12" s="1"/>
  <c r="F36" i="12"/>
  <c r="G36" i="12" s="1"/>
  <c r="H36" i="12" s="1"/>
  <c r="I34" i="12"/>
  <c r="J34" i="12" s="1"/>
  <c r="K34" i="12" s="1"/>
  <c r="F34" i="12"/>
  <c r="G34" i="12" s="1"/>
  <c r="H34" i="12" s="1"/>
  <c r="I33" i="12"/>
  <c r="J33" i="12" s="1"/>
  <c r="K33" i="12" s="1"/>
  <c r="F33" i="12"/>
  <c r="G33" i="12" s="1"/>
  <c r="H33" i="12" s="1"/>
  <c r="I32" i="12"/>
  <c r="J32" i="12" s="1"/>
  <c r="K32" i="12" s="1"/>
  <c r="F32" i="12"/>
  <c r="G32" i="12" s="1"/>
  <c r="H32" i="12" s="1"/>
  <c r="I31" i="12"/>
  <c r="J31" i="12" s="1"/>
  <c r="K31" i="12" s="1"/>
  <c r="F31" i="12"/>
  <c r="G31" i="12" s="1"/>
  <c r="H31" i="12" s="1"/>
  <c r="I29" i="12"/>
  <c r="J29" i="12" s="1"/>
  <c r="K29" i="12" s="1"/>
  <c r="F29" i="12"/>
  <c r="G29" i="12" s="1"/>
  <c r="H29" i="12" s="1"/>
  <c r="I28" i="12"/>
  <c r="J28" i="12" s="1"/>
  <c r="K28" i="12" s="1"/>
  <c r="F28" i="12"/>
  <c r="G28" i="12" s="1"/>
  <c r="H28" i="12" s="1"/>
  <c r="I26" i="12"/>
  <c r="J26" i="12" s="1"/>
  <c r="K26" i="12" s="1"/>
  <c r="F26" i="12"/>
  <c r="G26" i="12" s="1"/>
  <c r="H26" i="12" s="1"/>
  <c r="I25" i="12"/>
  <c r="J25" i="12" s="1"/>
  <c r="K25" i="12" s="1"/>
  <c r="F25" i="12"/>
  <c r="G25" i="12" s="1"/>
  <c r="H25" i="12" s="1"/>
  <c r="I24" i="12"/>
  <c r="J24" i="12" s="1"/>
  <c r="K24" i="12" s="1"/>
  <c r="F24" i="12"/>
  <c r="G24" i="12" s="1"/>
  <c r="H24" i="12" s="1"/>
  <c r="I23" i="12"/>
  <c r="J23" i="12" s="1"/>
  <c r="K23" i="12" s="1"/>
  <c r="F23" i="12"/>
  <c r="G23" i="12" s="1"/>
  <c r="H23" i="12" s="1"/>
  <c r="I21" i="12"/>
  <c r="J21" i="12" s="1"/>
  <c r="K21" i="12" s="1"/>
  <c r="F21" i="12"/>
  <c r="G21" i="12" s="1"/>
  <c r="H21" i="12" s="1"/>
  <c r="I20" i="12"/>
  <c r="J20" i="12" s="1"/>
  <c r="K20" i="12" s="1"/>
  <c r="F20" i="12"/>
  <c r="G20" i="12" s="1"/>
  <c r="H20" i="12" s="1"/>
  <c r="I19" i="12"/>
  <c r="J19" i="12" s="1"/>
  <c r="K19" i="12" s="1"/>
  <c r="F19" i="12"/>
  <c r="G19" i="12" s="1"/>
  <c r="H19" i="12" s="1"/>
  <c r="I18" i="12"/>
  <c r="J18" i="12" s="1"/>
  <c r="K18" i="12" s="1"/>
  <c r="F18" i="12"/>
  <c r="G18" i="12" s="1"/>
  <c r="H18" i="12" s="1"/>
  <c r="I16" i="12"/>
  <c r="J16" i="12" s="1"/>
  <c r="K16" i="12" s="1"/>
  <c r="F16" i="12"/>
  <c r="G16" i="12" s="1"/>
  <c r="H16" i="12" s="1"/>
  <c r="I15" i="12"/>
  <c r="J15" i="12" s="1"/>
  <c r="K15" i="12" s="1"/>
  <c r="F15" i="12"/>
  <c r="G15" i="12" s="1"/>
  <c r="H15" i="12" s="1"/>
  <c r="I14" i="12"/>
  <c r="J14" i="12" s="1"/>
  <c r="K14" i="12" s="1"/>
  <c r="F14" i="12"/>
  <c r="G14" i="12" s="1"/>
  <c r="H14" i="12" s="1"/>
  <c r="I13" i="12"/>
  <c r="J13" i="12" s="1"/>
  <c r="K13" i="12" s="1"/>
  <c r="F13" i="12"/>
  <c r="G13" i="12" s="1"/>
  <c r="H13" i="12" s="1"/>
  <c r="I12" i="12"/>
  <c r="J12" i="12" s="1"/>
  <c r="K12" i="12" s="1"/>
  <c r="F12" i="12"/>
  <c r="G12" i="12" s="1"/>
  <c r="H12" i="12" s="1"/>
  <c r="I11" i="12"/>
  <c r="J11" i="12" s="1"/>
  <c r="K11" i="12" s="1"/>
  <c r="F11" i="12"/>
  <c r="G11" i="12" s="1"/>
  <c r="H11" i="12" s="1"/>
  <c r="I9" i="12"/>
  <c r="J9" i="12" s="1"/>
  <c r="K9" i="12" s="1"/>
  <c r="F9" i="12"/>
  <c r="G9" i="12" s="1"/>
  <c r="H9" i="12" s="1"/>
  <c r="I8" i="12"/>
  <c r="J8" i="12" s="1"/>
  <c r="K8" i="12" s="1"/>
  <c r="F8" i="12"/>
  <c r="G8" i="12" s="1"/>
  <c r="H8" i="12" s="1"/>
  <c r="I7" i="12"/>
  <c r="J7" i="12" s="1"/>
  <c r="K7" i="12" s="1"/>
  <c r="F7" i="12"/>
  <c r="G7" i="12" s="1"/>
  <c r="H7" i="12" s="1"/>
  <c r="I6" i="12"/>
  <c r="J6" i="12" s="1"/>
  <c r="K6" i="12" s="1"/>
  <c r="F6" i="12"/>
  <c r="G6" i="12" s="1"/>
  <c r="H6" i="12" s="1"/>
  <c r="I4" i="12"/>
  <c r="J4" i="12" s="1"/>
  <c r="K4" i="12" s="1"/>
  <c r="F4" i="12"/>
  <c r="G4" i="12" s="1"/>
  <c r="H4" i="12" s="1"/>
  <c r="I3" i="12"/>
  <c r="J3" i="12" s="1"/>
  <c r="F3" i="12"/>
  <c r="I106" i="11"/>
  <c r="J106" i="11" s="1"/>
  <c r="K106" i="11" s="1"/>
  <c r="F106" i="11"/>
  <c r="G106" i="11" s="1"/>
  <c r="H106" i="11" s="1"/>
  <c r="I105" i="11"/>
  <c r="J105" i="11" s="1"/>
  <c r="K105" i="11" s="1"/>
  <c r="F105" i="11"/>
  <c r="G105" i="11" s="1"/>
  <c r="H105" i="11" s="1"/>
  <c r="I104" i="11"/>
  <c r="J104" i="11" s="1"/>
  <c r="K104" i="11" s="1"/>
  <c r="F104" i="11"/>
  <c r="G104" i="11" s="1"/>
  <c r="H104" i="11" s="1"/>
  <c r="I103" i="11"/>
  <c r="J103" i="11" s="1"/>
  <c r="K103" i="11" s="1"/>
  <c r="F103" i="11"/>
  <c r="G103" i="11" s="1"/>
  <c r="H103" i="11" s="1"/>
  <c r="I102" i="11"/>
  <c r="J102" i="11" s="1"/>
  <c r="K102" i="11" s="1"/>
  <c r="F102" i="11"/>
  <c r="G102" i="11" s="1"/>
  <c r="H102" i="11" s="1"/>
  <c r="I101" i="11"/>
  <c r="J101" i="11" s="1"/>
  <c r="K101" i="11" s="1"/>
  <c r="F101" i="11"/>
  <c r="G101" i="11" s="1"/>
  <c r="H101" i="11" s="1"/>
  <c r="I99" i="11"/>
  <c r="J99" i="11" s="1"/>
  <c r="K99" i="11" s="1"/>
  <c r="F99" i="11"/>
  <c r="G99" i="11" s="1"/>
  <c r="H99" i="11" s="1"/>
  <c r="I98" i="11"/>
  <c r="J98" i="11" s="1"/>
  <c r="K98" i="11" s="1"/>
  <c r="F98" i="11"/>
  <c r="G98" i="11" s="1"/>
  <c r="H98" i="11" s="1"/>
  <c r="I97" i="11"/>
  <c r="J97" i="11" s="1"/>
  <c r="K97" i="11" s="1"/>
  <c r="F97" i="11"/>
  <c r="G97" i="11" s="1"/>
  <c r="H97" i="11" s="1"/>
  <c r="I96" i="11"/>
  <c r="J96" i="11" s="1"/>
  <c r="K96" i="11" s="1"/>
  <c r="F96" i="11"/>
  <c r="G96" i="11" s="1"/>
  <c r="H96" i="11" s="1"/>
  <c r="I95" i="11"/>
  <c r="J95" i="11" s="1"/>
  <c r="K95" i="11" s="1"/>
  <c r="F95" i="11"/>
  <c r="G95" i="11" s="1"/>
  <c r="H95" i="11" s="1"/>
  <c r="I94" i="11"/>
  <c r="J94" i="11" s="1"/>
  <c r="K94" i="11" s="1"/>
  <c r="F94" i="11"/>
  <c r="G94" i="11" s="1"/>
  <c r="H94" i="11" s="1"/>
  <c r="I92" i="11"/>
  <c r="J92" i="11" s="1"/>
  <c r="K92" i="11" s="1"/>
  <c r="F92" i="11"/>
  <c r="G92" i="11" s="1"/>
  <c r="H92" i="11" s="1"/>
  <c r="I91" i="11"/>
  <c r="J91" i="11" s="1"/>
  <c r="K91" i="11" s="1"/>
  <c r="F91" i="11"/>
  <c r="G91" i="11" s="1"/>
  <c r="H91" i="11" s="1"/>
  <c r="I90" i="11"/>
  <c r="J90" i="11" s="1"/>
  <c r="K90" i="11" s="1"/>
  <c r="F90" i="11"/>
  <c r="G90" i="11" s="1"/>
  <c r="H90" i="11" s="1"/>
  <c r="I89" i="11"/>
  <c r="J89" i="11" s="1"/>
  <c r="K89" i="11" s="1"/>
  <c r="F89" i="11"/>
  <c r="G89" i="11" s="1"/>
  <c r="H89" i="11" s="1"/>
  <c r="I88" i="11"/>
  <c r="J88" i="11" s="1"/>
  <c r="K88" i="11" s="1"/>
  <c r="F88" i="11"/>
  <c r="G88" i="11" s="1"/>
  <c r="H88" i="11" s="1"/>
  <c r="I87" i="11"/>
  <c r="J87" i="11" s="1"/>
  <c r="K87" i="11" s="1"/>
  <c r="F87" i="11"/>
  <c r="G87" i="11" s="1"/>
  <c r="H87" i="11" s="1"/>
  <c r="I85" i="11"/>
  <c r="J85" i="11" s="1"/>
  <c r="K85" i="11" s="1"/>
  <c r="F85" i="11"/>
  <c r="G85" i="11" s="1"/>
  <c r="H85" i="11" s="1"/>
  <c r="I84" i="11"/>
  <c r="J84" i="11" s="1"/>
  <c r="K84" i="11" s="1"/>
  <c r="F84" i="11"/>
  <c r="G84" i="11" s="1"/>
  <c r="H84" i="11" s="1"/>
  <c r="I83" i="11"/>
  <c r="J83" i="11" s="1"/>
  <c r="K83" i="11" s="1"/>
  <c r="F83" i="11"/>
  <c r="G83" i="11" s="1"/>
  <c r="H83" i="11" s="1"/>
  <c r="I82" i="11"/>
  <c r="J82" i="11" s="1"/>
  <c r="K82" i="11" s="1"/>
  <c r="F82" i="11"/>
  <c r="G82" i="11" s="1"/>
  <c r="H82" i="11" s="1"/>
  <c r="I81" i="11"/>
  <c r="J81" i="11" s="1"/>
  <c r="K81" i="11" s="1"/>
  <c r="F81" i="11"/>
  <c r="G81" i="11" s="1"/>
  <c r="H81" i="11" s="1"/>
  <c r="I80" i="11"/>
  <c r="J80" i="11" s="1"/>
  <c r="K80" i="11" s="1"/>
  <c r="F80" i="11"/>
  <c r="G80" i="11" s="1"/>
  <c r="H80" i="11" s="1"/>
  <c r="I77" i="11"/>
  <c r="J77" i="11" s="1"/>
  <c r="K77" i="11" s="1"/>
  <c r="F77" i="11"/>
  <c r="G77" i="11" s="1"/>
  <c r="H77" i="11" s="1"/>
  <c r="I76" i="11"/>
  <c r="J76" i="11" s="1"/>
  <c r="K76" i="11" s="1"/>
  <c r="F76" i="11"/>
  <c r="G76" i="11" s="1"/>
  <c r="H76" i="11" s="1"/>
  <c r="J75" i="11"/>
  <c r="K75" i="11" s="1"/>
  <c r="I75" i="11"/>
  <c r="F75" i="11"/>
  <c r="G75" i="11" s="1"/>
  <c r="H75" i="11" s="1"/>
  <c r="I74" i="11"/>
  <c r="J74" i="11" s="1"/>
  <c r="K74" i="11" s="1"/>
  <c r="F74" i="11"/>
  <c r="G74" i="11" s="1"/>
  <c r="H74" i="11" s="1"/>
  <c r="I72" i="11"/>
  <c r="J72" i="11" s="1"/>
  <c r="K72" i="11" s="1"/>
  <c r="F72" i="11"/>
  <c r="G72" i="11" s="1"/>
  <c r="H72" i="11" s="1"/>
  <c r="I71" i="11"/>
  <c r="J71" i="11" s="1"/>
  <c r="K71" i="11" s="1"/>
  <c r="F71" i="11"/>
  <c r="G71" i="11" s="1"/>
  <c r="H71" i="11" s="1"/>
  <c r="I70" i="11"/>
  <c r="J70" i="11" s="1"/>
  <c r="K70" i="11" s="1"/>
  <c r="F70" i="11"/>
  <c r="G70" i="11" s="1"/>
  <c r="H70" i="11" s="1"/>
  <c r="I69" i="11"/>
  <c r="J69" i="11" s="1"/>
  <c r="K69" i="11" s="1"/>
  <c r="F69" i="11"/>
  <c r="G69" i="11" s="1"/>
  <c r="H69" i="11" s="1"/>
  <c r="J68" i="11"/>
  <c r="K68" i="11" s="1"/>
  <c r="I68" i="11"/>
  <c r="F68" i="11"/>
  <c r="G68" i="11" s="1"/>
  <c r="H68" i="11" s="1"/>
  <c r="I67" i="11"/>
  <c r="J67" i="11" s="1"/>
  <c r="K67" i="11" s="1"/>
  <c r="F67" i="11"/>
  <c r="G67" i="11" s="1"/>
  <c r="H67" i="11" s="1"/>
  <c r="I66" i="11"/>
  <c r="J66" i="11" s="1"/>
  <c r="K66" i="11" s="1"/>
  <c r="F66" i="11"/>
  <c r="G66" i="11" s="1"/>
  <c r="H66" i="11" s="1"/>
  <c r="I65" i="11"/>
  <c r="J65" i="11" s="1"/>
  <c r="K65" i="11" s="1"/>
  <c r="F65" i="11"/>
  <c r="G65" i="11" s="1"/>
  <c r="H65" i="11" s="1"/>
  <c r="I63" i="11"/>
  <c r="J63" i="11" s="1"/>
  <c r="K63" i="11" s="1"/>
  <c r="F63" i="11"/>
  <c r="G63" i="11" s="1"/>
  <c r="H63" i="11" s="1"/>
  <c r="I62" i="11"/>
  <c r="J62" i="11" s="1"/>
  <c r="K62" i="11" s="1"/>
  <c r="F62" i="11"/>
  <c r="G62" i="11" s="1"/>
  <c r="H62" i="11" s="1"/>
  <c r="I61" i="11"/>
  <c r="J61" i="11" s="1"/>
  <c r="K61" i="11" s="1"/>
  <c r="F61" i="11"/>
  <c r="G61" i="11" s="1"/>
  <c r="H61" i="11" s="1"/>
  <c r="I60" i="11"/>
  <c r="J60" i="11" s="1"/>
  <c r="K60" i="11" s="1"/>
  <c r="F60" i="11"/>
  <c r="G60" i="11" s="1"/>
  <c r="H60" i="11" s="1"/>
  <c r="I59" i="11"/>
  <c r="J59" i="11" s="1"/>
  <c r="K59" i="11" s="1"/>
  <c r="F59" i="11"/>
  <c r="G59" i="11" s="1"/>
  <c r="H59" i="11" s="1"/>
  <c r="I58" i="11"/>
  <c r="J58" i="11" s="1"/>
  <c r="K58" i="11" s="1"/>
  <c r="F58" i="11"/>
  <c r="G58" i="11" s="1"/>
  <c r="H58" i="11" s="1"/>
  <c r="I56" i="11"/>
  <c r="J56" i="11" s="1"/>
  <c r="K56" i="11" s="1"/>
  <c r="F56" i="11"/>
  <c r="G56" i="11" s="1"/>
  <c r="H56" i="11" s="1"/>
  <c r="I55" i="11"/>
  <c r="J55" i="11" s="1"/>
  <c r="K55" i="11" s="1"/>
  <c r="F55" i="11"/>
  <c r="G55" i="11" s="1"/>
  <c r="H55" i="11" s="1"/>
  <c r="I54" i="11"/>
  <c r="J54" i="11" s="1"/>
  <c r="K54" i="11" s="1"/>
  <c r="F54" i="11"/>
  <c r="G54" i="11" s="1"/>
  <c r="H54" i="11" s="1"/>
  <c r="I53" i="11"/>
  <c r="J53" i="11" s="1"/>
  <c r="K53" i="11" s="1"/>
  <c r="F53" i="11"/>
  <c r="G53" i="11" s="1"/>
  <c r="H53" i="11" s="1"/>
  <c r="I52" i="11"/>
  <c r="J52" i="11" s="1"/>
  <c r="K52" i="11" s="1"/>
  <c r="F52" i="11"/>
  <c r="G52" i="11" s="1"/>
  <c r="H52" i="11" s="1"/>
  <c r="I51" i="11"/>
  <c r="J51" i="11" s="1"/>
  <c r="K51" i="11" s="1"/>
  <c r="F51" i="11"/>
  <c r="G51" i="11" s="1"/>
  <c r="H51" i="11" s="1"/>
  <c r="I49" i="11"/>
  <c r="J49" i="11" s="1"/>
  <c r="K49" i="11" s="1"/>
  <c r="F49" i="11"/>
  <c r="G49" i="11" s="1"/>
  <c r="H49" i="11" s="1"/>
  <c r="J48" i="11"/>
  <c r="K48" i="11" s="1"/>
  <c r="I48" i="11"/>
  <c r="F48" i="11"/>
  <c r="G48" i="11" s="1"/>
  <c r="H48" i="11" s="1"/>
  <c r="I47" i="11"/>
  <c r="J47" i="11" s="1"/>
  <c r="K47" i="11" s="1"/>
  <c r="F47" i="11"/>
  <c r="G47" i="11" s="1"/>
  <c r="H47" i="11" s="1"/>
  <c r="I46" i="11"/>
  <c r="J46" i="11" s="1"/>
  <c r="K46" i="11" s="1"/>
  <c r="F46" i="11"/>
  <c r="G46" i="11" s="1"/>
  <c r="H46" i="11" s="1"/>
  <c r="I44" i="11"/>
  <c r="J44" i="11" s="1"/>
  <c r="K44" i="11" s="1"/>
  <c r="G44" i="11"/>
  <c r="H44" i="11" s="1"/>
  <c r="F44" i="11"/>
  <c r="I43" i="11"/>
  <c r="J43" i="11" s="1"/>
  <c r="K43" i="11" s="1"/>
  <c r="F43" i="11"/>
  <c r="G43" i="11" s="1"/>
  <c r="H43" i="11" s="1"/>
  <c r="I42" i="11"/>
  <c r="J42" i="11" s="1"/>
  <c r="K42" i="11" s="1"/>
  <c r="F42" i="11"/>
  <c r="G42" i="11" s="1"/>
  <c r="H42" i="11" s="1"/>
  <c r="I41" i="11"/>
  <c r="J41" i="11" s="1"/>
  <c r="K41" i="11" s="1"/>
  <c r="F41" i="11"/>
  <c r="G41" i="11" s="1"/>
  <c r="H41" i="11" s="1"/>
  <c r="I40" i="11"/>
  <c r="J40" i="11" s="1"/>
  <c r="K40" i="11" s="1"/>
  <c r="F40" i="11"/>
  <c r="G40" i="11" s="1"/>
  <c r="H40" i="11" s="1"/>
  <c r="I39" i="11"/>
  <c r="J39" i="11" s="1"/>
  <c r="K39" i="11" s="1"/>
  <c r="F39" i="11"/>
  <c r="G39" i="11" s="1"/>
  <c r="H39" i="11" s="1"/>
  <c r="I37" i="11"/>
  <c r="J37" i="11" s="1"/>
  <c r="K37" i="11" s="1"/>
  <c r="F37" i="11"/>
  <c r="G37" i="11" s="1"/>
  <c r="H37" i="11" s="1"/>
  <c r="I36" i="11"/>
  <c r="J36" i="11" s="1"/>
  <c r="K36" i="11" s="1"/>
  <c r="F36" i="11"/>
  <c r="G36" i="11" s="1"/>
  <c r="H36" i="11" s="1"/>
  <c r="I35" i="11"/>
  <c r="J35" i="11" s="1"/>
  <c r="K35" i="11" s="1"/>
  <c r="F35" i="11"/>
  <c r="G35" i="11" s="1"/>
  <c r="H35" i="11" s="1"/>
  <c r="I34" i="11"/>
  <c r="J34" i="11" s="1"/>
  <c r="K34" i="11" s="1"/>
  <c r="F34" i="11"/>
  <c r="G34" i="11" s="1"/>
  <c r="H34" i="11" s="1"/>
  <c r="I32" i="11"/>
  <c r="J32" i="11" s="1"/>
  <c r="K32" i="11" s="1"/>
  <c r="F32" i="11"/>
  <c r="G32" i="11" s="1"/>
  <c r="H32" i="11" s="1"/>
  <c r="I31" i="11"/>
  <c r="J31" i="11" s="1"/>
  <c r="K31" i="11" s="1"/>
  <c r="F31" i="11"/>
  <c r="G31" i="11" s="1"/>
  <c r="H31" i="11" s="1"/>
  <c r="I30" i="11"/>
  <c r="J30" i="11" s="1"/>
  <c r="K30" i="11" s="1"/>
  <c r="F30" i="11"/>
  <c r="G30" i="11" s="1"/>
  <c r="H30" i="11" s="1"/>
  <c r="I29" i="11"/>
  <c r="J29" i="11" s="1"/>
  <c r="K29" i="11" s="1"/>
  <c r="F29" i="11"/>
  <c r="G29" i="11" s="1"/>
  <c r="H29" i="11" s="1"/>
  <c r="I28" i="11"/>
  <c r="J28" i="11" s="1"/>
  <c r="K28" i="11" s="1"/>
  <c r="F28" i="11"/>
  <c r="G28" i="11" s="1"/>
  <c r="H28" i="11" s="1"/>
  <c r="I27" i="11"/>
  <c r="J27" i="11" s="1"/>
  <c r="K27" i="11" s="1"/>
  <c r="F27" i="11"/>
  <c r="G27" i="11" s="1"/>
  <c r="H27" i="11" s="1"/>
  <c r="I25" i="11"/>
  <c r="J25" i="11" s="1"/>
  <c r="K25" i="11" s="1"/>
  <c r="F25" i="11"/>
  <c r="G25" i="11" s="1"/>
  <c r="H25" i="11" s="1"/>
  <c r="I24" i="11"/>
  <c r="J24" i="11" s="1"/>
  <c r="K24" i="11" s="1"/>
  <c r="F24" i="11"/>
  <c r="G24" i="11" s="1"/>
  <c r="H24" i="11" s="1"/>
  <c r="I23" i="11"/>
  <c r="J23" i="11" s="1"/>
  <c r="K23" i="11" s="1"/>
  <c r="F23" i="11"/>
  <c r="G23" i="11" s="1"/>
  <c r="H23" i="11" s="1"/>
  <c r="I22" i="11"/>
  <c r="J22" i="11" s="1"/>
  <c r="K22" i="11" s="1"/>
  <c r="G22" i="11"/>
  <c r="H22" i="11" s="1"/>
  <c r="I20" i="11"/>
  <c r="J20" i="11" s="1"/>
  <c r="K20" i="11" s="1"/>
  <c r="F20" i="11"/>
  <c r="G20" i="11" s="1"/>
  <c r="H20" i="11" s="1"/>
  <c r="I19" i="11"/>
  <c r="J19" i="11" s="1"/>
  <c r="K19" i="11" s="1"/>
  <c r="F19" i="11"/>
  <c r="G19" i="11" s="1"/>
  <c r="H19" i="11" s="1"/>
  <c r="I18" i="11"/>
  <c r="J18" i="11" s="1"/>
  <c r="K18" i="11" s="1"/>
  <c r="F18" i="11"/>
  <c r="G18" i="11" s="1"/>
  <c r="H18" i="11" s="1"/>
  <c r="I17" i="11"/>
  <c r="J17" i="11" s="1"/>
  <c r="K17" i="11" s="1"/>
  <c r="F17" i="11"/>
  <c r="G17" i="11" s="1"/>
  <c r="H17" i="11" s="1"/>
  <c r="I16" i="11"/>
  <c r="J16" i="11" s="1"/>
  <c r="K16" i="11" s="1"/>
  <c r="F16" i="11"/>
  <c r="G16" i="11" s="1"/>
  <c r="H16" i="11" s="1"/>
  <c r="I15" i="11"/>
  <c r="J15" i="11" s="1"/>
  <c r="K15" i="11" s="1"/>
  <c r="F15" i="11"/>
  <c r="I13" i="11"/>
  <c r="J13" i="11" s="1"/>
  <c r="K13" i="11" s="1"/>
  <c r="F13" i="11"/>
  <c r="G13" i="11" s="1"/>
  <c r="H13" i="11" s="1"/>
  <c r="I12" i="11"/>
  <c r="J12" i="11" s="1"/>
  <c r="K12" i="11" s="1"/>
  <c r="F12" i="11"/>
  <c r="G12" i="11" s="1"/>
  <c r="H12" i="11" s="1"/>
  <c r="I11" i="11"/>
  <c r="J11" i="11" s="1"/>
  <c r="K11" i="11" s="1"/>
  <c r="F11" i="11"/>
  <c r="G11" i="11" s="1"/>
  <c r="H11" i="11" s="1"/>
  <c r="I10" i="11"/>
  <c r="J10" i="11" s="1"/>
  <c r="K10" i="11" s="1"/>
  <c r="F10" i="11"/>
  <c r="G10" i="11" s="1"/>
  <c r="H10" i="11" s="1"/>
  <c r="I8" i="11"/>
  <c r="J8" i="11" s="1"/>
  <c r="K8" i="11" s="1"/>
  <c r="F8" i="11"/>
  <c r="G8" i="11" s="1"/>
  <c r="H8" i="11" s="1"/>
  <c r="I7" i="11"/>
  <c r="J7" i="11" s="1"/>
  <c r="K7" i="11" s="1"/>
  <c r="F7" i="11"/>
  <c r="G7" i="11" s="1"/>
  <c r="H7" i="11" s="1"/>
  <c r="I6" i="11"/>
  <c r="J6" i="11" s="1"/>
  <c r="K6" i="11" s="1"/>
  <c r="F6" i="11"/>
  <c r="G6" i="11" s="1"/>
  <c r="H6" i="11" s="1"/>
  <c r="I5" i="11"/>
  <c r="J5" i="11" s="1"/>
  <c r="K5" i="11" s="1"/>
  <c r="F5" i="11"/>
  <c r="G5" i="11" s="1"/>
  <c r="H5" i="11" s="1"/>
  <c r="I4" i="11"/>
  <c r="J4" i="11" s="1"/>
  <c r="K4" i="11" s="1"/>
  <c r="F4" i="11"/>
  <c r="G4" i="11" s="1"/>
  <c r="H4" i="11" s="1"/>
  <c r="I3" i="11"/>
  <c r="J3" i="11" s="1"/>
  <c r="F3" i="11"/>
  <c r="I125" i="10"/>
  <c r="J125" i="10" s="1"/>
  <c r="K125" i="10" s="1"/>
  <c r="F125" i="10"/>
  <c r="G125" i="10" s="1"/>
  <c r="H125" i="10" s="1"/>
  <c r="I124" i="10"/>
  <c r="J124" i="10" s="1"/>
  <c r="K124" i="10" s="1"/>
  <c r="F124" i="10"/>
  <c r="G124" i="10" s="1"/>
  <c r="H124" i="10" s="1"/>
  <c r="I123" i="10"/>
  <c r="J123" i="10" s="1"/>
  <c r="K123" i="10" s="1"/>
  <c r="F123" i="10"/>
  <c r="G123" i="10" s="1"/>
  <c r="H123" i="10" s="1"/>
  <c r="I122" i="10"/>
  <c r="J122" i="10" s="1"/>
  <c r="K122" i="10" s="1"/>
  <c r="G122" i="10"/>
  <c r="H122" i="10" s="1"/>
  <c r="F122" i="10"/>
  <c r="I120" i="10"/>
  <c r="J120" i="10" s="1"/>
  <c r="K120" i="10" s="1"/>
  <c r="G120" i="10"/>
  <c r="H120" i="10" s="1"/>
  <c r="F120" i="10"/>
  <c r="I119" i="10"/>
  <c r="J119" i="10" s="1"/>
  <c r="K119" i="10" s="1"/>
  <c r="F119" i="10"/>
  <c r="G119" i="10" s="1"/>
  <c r="H119" i="10" s="1"/>
  <c r="I118" i="10"/>
  <c r="J118" i="10" s="1"/>
  <c r="K118" i="10" s="1"/>
  <c r="F118" i="10"/>
  <c r="G118" i="10" s="1"/>
  <c r="H118" i="10" s="1"/>
  <c r="I117" i="10"/>
  <c r="J117" i="10" s="1"/>
  <c r="K117" i="10" s="1"/>
  <c r="F117" i="10"/>
  <c r="G117" i="10" s="1"/>
  <c r="H117" i="10" s="1"/>
  <c r="I115" i="10"/>
  <c r="J115" i="10" s="1"/>
  <c r="K115" i="10" s="1"/>
  <c r="F115" i="10"/>
  <c r="G115" i="10" s="1"/>
  <c r="H115" i="10" s="1"/>
  <c r="I114" i="10"/>
  <c r="J114" i="10" s="1"/>
  <c r="K114" i="10" s="1"/>
  <c r="F114" i="10"/>
  <c r="G114" i="10" s="1"/>
  <c r="H114" i="10" s="1"/>
  <c r="I113" i="10"/>
  <c r="J113" i="10" s="1"/>
  <c r="K113" i="10" s="1"/>
  <c r="F113" i="10"/>
  <c r="G113" i="10" s="1"/>
  <c r="H113" i="10" s="1"/>
  <c r="I112" i="10"/>
  <c r="J112" i="10" s="1"/>
  <c r="K112" i="10" s="1"/>
  <c r="F112" i="10"/>
  <c r="G112" i="10" s="1"/>
  <c r="H112" i="10" s="1"/>
  <c r="I111" i="10"/>
  <c r="J111" i="10" s="1"/>
  <c r="K111" i="10" s="1"/>
  <c r="G111" i="10"/>
  <c r="H111" i="10" s="1"/>
  <c r="F111" i="10"/>
  <c r="I110" i="10"/>
  <c r="J110" i="10" s="1"/>
  <c r="K110" i="10" s="1"/>
  <c r="F110" i="10"/>
  <c r="G110" i="10" s="1"/>
  <c r="H110" i="10" s="1"/>
  <c r="I109" i="10"/>
  <c r="J109" i="10" s="1"/>
  <c r="K109" i="10" s="1"/>
  <c r="F109" i="10"/>
  <c r="G109" i="10" s="1"/>
  <c r="H109" i="10" s="1"/>
  <c r="J108" i="10"/>
  <c r="K108" i="10" s="1"/>
  <c r="I108" i="10"/>
  <c r="F108" i="10"/>
  <c r="G108" i="10" s="1"/>
  <c r="H108" i="10" s="1"/>
  <c r="I107" i="10"/>
  <c r="J107" i="10" s="1"/>
  <c r="K107" i="10" s="1"/>
  <c r="F107" i="10"/>
  <c r="G107" i="10" s="1"/>
  <c r="H107" i="10" s="1"/>
  <c r="I104" i="10"/>
  <c r="J104" i="10" s="1"/>
  <c r="K104" i="10" s="1"/>
  <c r="F104" i="10"/>
  <c r="G104" i="10" s="1"/>
  <c r="H104" i="10" s="1"/>
  <c r="I103" i="10"/>
  <c r="J103" i="10" s="1"/>
  <c r="K103" i="10" s="1"/>
  <c r="F103" i="10"/>
  <c r="G103" i="10" s="1"/>
  <c r="H103" i="10" s="1"/>
  <c r="I102" i="10"/>
  <c r="J102" i="10" s="1"/>
  <c r="K102" i="10" s="1"/>
  <c r="F102" i="10"/>
  <c r="G102" i="10" s="1"/>
  <c r="H102" i="10" s="1"/>
  <c r="I101" i="10"/>
  <c r="J101" i="10" s="1"/>
  <c r="K101" i="10" s="1"/>
  <c r="G101" i="10"/>
  <c r="H101" i="10" s="1"/>
  <c r="F101" i="10"/>
  <c r="I99" i="10"/>
  <c r="J99" i="10" s="1"/>
  <c r="K99" i="10" s="1"/>
  <c r="F99" i="10"/>
  <c r="G99" i="10" s="1"/>
  <c r="H99" i="10" s="1"/>
  <c r="I98" i="10"/>
  <c r="J98" i="10" s="1"/>
  <c r="K98" i="10" s="1"/>
  <c r="F98" i="10"/>
  <c r="G98" i="10" s="1"/>
  <c r="H98" i="10" s="1"/>
  <c r="I97" i="10"/>
  <c r="J97" i="10" s="1"/>
  <c r="K97" i="10" s="1"/>
  <c r="F97" i="10"/>
  <c r="G97" i="10" s="1"/>
  <c r="H97" i="10" s="1"/>
  <c r="I96" i="10"/>
  <c r="J96" i="10" s="1"/>
  <c r="K96" i="10" s="1"/>
  <c r="F96" i="10"/>
  <c r="G96" i="10" s="1"/>
  <c r="H96" i="10" s="1"/>
  <c r="I94" i="10"/>
  <c r="J94" i="10" s="1"/>
  <c r="K94" i="10" s="1"/>
  <c r="F94" i="10"/>
  <c r="G94" i="10" s="1"/>
  <c r="H94" i="10" s="1"/>
  <c r="I93" i="10"/>
  <c r="J93" i="10" s="1"/>
  <c r="K93" i="10" s="1"/>
  <c r="F93" i="10"/>
  <c r="G93" i="10" s="1"/>
  <c r="H93" i="10" s="1"/>
  <c r="I92" i="10"/>
  <c r="J92" i="10" s="1"/>
  <c r="K92" i="10" s="1"/>
  <c r="G92" i="10"/>
  <c r="H92" i="10" s="1"/>
  <c r="F92" i="10"/>
  <c r="I91" i="10"/>
  <c r="J91" i="10" s="1"/>
  <c r="K91" i="10" s="1"/>
  <c r="G91" i="10"/>
  <c r="H91" i="10" s="1"/>
  <c r="F91" i="10"/>
  <c r="I89" i="10"/>
  <c r="J89" i="10" s="1"/>
  <c r="K89" i="10" s="1"/>
  <c r="F89" i="10"/>
  <c r="G89" i="10" s="1"/>
  <c r="H89" i="10" s="1"/>
  <c r="I88" i="10"/>
  <c r="J88" i="10" s="1"/>
  <c r="K88" i="10" s="1"/>
  <c r="F88" i="10"/>
  <c r="G88" i="10" s="1"/>
  <c r="H88" i="10" s="1"/>
  <c r="I87" i="10"/>
  <c r="J87" i="10" s="1"/>
  <c r="K87" i="10" s="1"/>
  <c r="F87" i="10"/>
  <c r="G87" i="10" s="1"/>
  <c r="H87" i="10" s="1"/>
  <c r="I86" i="10"/>
  <c r="J86" i="10" s="1"/>
  <c r="K86" i="10" s="1"/>
  <c r="F86" i="10"/>
  <c r="G86" i="10" s="1"/>
  <c r="H86" i="10" s="1"/>
  <c r="I84" i="10"/>
  <c r="J84" i="10" s="1"/>
  <c r="K84" i="10" s="1"/>
  <c r="F84" i="10"/>
  <c r="G84" i="10" s="1"/>
  <c r="H84" i="10" s="1"/>
  <c r="I83" i="10"/>
  <c r="J83" i="10" s="1"/>
  <c r="K83" i="10" s="1"/>
  <c r="F83" i="10"/>
  <c r="G83" i="10" s="1"/>
  <c r="H83" i="10" s="1"/>
  <c r="I82" i="10"/>
  <c r="J82" i="10" s="1"/>
  <c r="K82" i="10" s="1"/>
  <c r="F82" i="10"/>
  <c r="G82" i="10" s="1"/>
  <c r="H82" i="10" s="1"/>
  <c r="I81" i="10"/>
  <c r="J81" i="10" s="1"/>
  <c r="K81" i="10" s="1"/>
  <c r="F81" i="10"/>
  <c r="G81" i="10" s="1"/>
  <c r="H81" i="10" s="1"/>
  <c r="I79" i="10"/>
  <c r="J79" i="10" s="1"/>
  <c r="K79" i="10" s="1"/>
  <c r="F79" i="10"/>
  <c r="G79" i="10" s="1"/>
  <c r="H79" i="10" s="1"/>
  <c r="I78" i="10"/>
  <c r="J78" i="10" s="1"/>
  <c r="K78" i="10" s="1"/>
  <c r="F78" i="10"/>
  <c r="G78" i="10" s="1"/>
  <c r="H78" i="10" s="1"/>
  <c r="I77" i="10"/>
  <c r="J77" i="10" s="1"/>
  <c r="K77" i="10" s="1"/>
  <c r="F77" i="10"/>
  <c r="G77" i="10" s="1"/>
  <c r="H77" i="10" s="1"/>
  <c r="I76" i="10"/>
  <c r="J76" i="10" s="1"/>
  <c r="K76" i="10" s="1"/>
  <c r="F76" i="10"/>
  <c r="G76" i="10" s="1"/>
  <c r="H76" i="10" s="1"/>
  <c r="I75" i="10"/>
  <c r="J75" i="10" s="1"/>
  <c r="K75" i="10" s="1"/>
  <c r="F75" i="10"/>
  <c r="G75" i="10" s="1"/>
  <c r="H75" i="10" s="1"/>
  <c r="I74" i="10"/>
  <c r="J74" i="10" s="1"/>
  <c r="K74" i="10" s="1"/>
  <c r="F74" i="10"/>
  <c r="G74" i="10" s="1"/>
  <c r="H74" i="10" s="1"/>
  <c r="I72" i="10"/>
  <c r="J72" i="10" s="1"/>
  <c r="K72" i="10" s="1"/>
  <c r="F72" i="10"/>
  <c r="G72" i="10" s="1"/>
  <c r="H72" i="10" s="1"/>
  <c r="I71" i="10"/>
  <c r="J71" i="10" s="1"/>
  <c r="K71" i="10" s="1"/>
  <c r="F71" i="10"/>
  <c r="G71" i="10" s="1"/>
  <c r="H71" i="10" s="1"/>
  <c r="I70" i="10"/>
  <c r="J70" i="10" s="1"/>
  <c r="K70" i="10" s="1"/>
  <c r="F70" i="10"/>
  <c r="G70" i="10" s="1"/>
  <c r="H70" i="10" s="1"/>
  <c r="I69" i="10"/>
  <c r="J69" i="10" s="1"/>
  <c r="K69" i="10" s="1"/>
  <c r="F69" i="10"/>
  <c r="G69" i="10" s="1"/>
  <c r="H69" i="10" s="1"/>
  <c r="I67" i="10"/>
  <c r="J67" i="10" s="1"/>
  <c r="K67" i="10" s="1"/>
  <c r="F67" i="10"/>
  <c r="G67" i="10" s="1"/>
  <c r="H67" i="10" s="1"/>
  <c r="I66" i="10"/>
  <c r="J66" i="10" s="1"/>
  <c r="K66" i="10" s="1"/>
  <c r="F66" i="10"/>
  <c r="G66" i="10" s="1"/>
  <c r="H66" i="10" s="1"/>
  <c r="I65" i="10"/>
  <c r="J65" i="10" s="1"/>
  <c r="K65" i="10" s="1"/>
  <c r="F65" i="10"/>
  <c r="G65" i="10" s="1"/>
  <c r="H65" i="10" s="1"/>
  <c r="I64" i="10"/>
  <c r="J64" i="10" s="1"/>
  <c r="K64" i="10" s="1"/>
  <c r="F64" i="10"/>
  <c r="G64" i="10" s="1"/>
  <c r="H64" i="10" s="1"/>
  <c r="I62" i="10"/>
  <c r="J62" i="10" s="1"/>
  <c r="K62" i="10" s="1"/>
  <c r="F62" i="10"/>
  <c r="G62" i="10" s="1"/>
  <c r="H62" i="10" s="1"/>
  <c r="I61" i="10"/>
  <c r="J61" i="10" s="1"/>
  <c r="K61" i="10" s="1"/>
  <c r="F61" i="10"/>
  <c r="G61" i="10" s="1"/>
  <c r="H61" i="10" s="1"/>
  <c r="I59" i="10"/>
  <c r="J59" i="10" s="1"/>
  <c r="K59" i="10" s="1"/>
  <c r="F59" i="10"/>
  <c r="G59" i="10" s="1"/>
  <c r="H59" i="10" s="1"/>
  <c r="I58" i="10"/>
  <c r="J58" i="10" s="1"/>
  <c r="K58" i="10" s="1"/>
  <c r="G58" i="10"/>
  <c r="H58" i="10" s="1"/>
  <c r="F58" i="10"/>
  <c r="I57" i="10"/>
  <c r="J57" i="10" s="1"/>
  <c r="K57" i="10" s="1"/>
  <c r="F57" i="10"/>
  <c r="G57" i="10" s="1"/>
  <c r="H57" i="10" s="1"/>
  <c r="I56" i="10"/>
  <c r="J56" i="10" s="1"/>
  <c r="K56" i="10" s="1"/>
  <c r="F56" i="10"/>
  <c r="G56" i="10" s="1"/>
  <c r="H56" i="10" s="1"/>
  <c r="I54" i="10"/>
  <c r="J54" i="10" s="1"/>
  <c r="K54" i="10" s="1"/>
  <c r="F54" i="10"/>
  <c r="G54" i="10" s="1"/>
  <c r="H54" i="10" s="1"/>
  <c r="I53" i="10"/>
  <c r="J53" i="10" s="1"/>
  <c r="K53" i="10" s="1"/>
  <c r="F53" i="10"/>
  <c r="G53" i="10" s="1"/>
  <c r="H53" i="10" s="1"/>
  <c r="I52" i="10"/>
  <c r="J52" i="10" s="1"/>
  <c r="K52" i="10" s="1"/>
  <c r="F52" i="10"/>
  <c r="G52" i="10" s="1"/>
  <c r="H52" i="10" s="1"/>
  <c r="I51" i="10"/>
  <c r="J51" i="10" s="1"/>
  <c r="K51" i="10" s="1"/>
  <c r="F51" i="10"/>
  <c r="G51" i="10" s="1"/>
  <c r="H51" i="10" s="1"/>
  <c r="I49" i="10"/>
  <c r="J49" i="10" s="1"/>
  <c r="K49" i="10" s="1"/>
  <c r="F49" i="10"/>
  <c r="G49" i="10" s="1"/>
  <c r="H49" i="10" s="1"/>
  <c r="I48" i="10"/>
  <c r="J48" i="10" s="1"/>
  <c r="K48" i="10" s="1"/>
  <c r="F48" i="10"/>
  <c r="G48" i="10" s="1"/>
  <c r="H48" i="10" s="1"/>
  <c r="I47" i="10"/>
  <c r="J47" i="10" s="1"/>
  <c r="K47" i="10" s="1"/>
  <c r="F47" i="10"/>
  <c r="G47" i="10" s="1"/>
  <c r="H47" i="10" s="1"/>
  <c r="I45" i="10"/>
  <c r="J45" i="10" s="1"/>
  <c r="K45" i="10" s="1"/>
  <c r="F45" i="10"/>
  <c r="G45" i="10" s="1"/>
  <c r="H45" i="10" s="1"/>
  <c r="I44" i="10"/>
  <c r="J44" i="10" s="1"/>
  <c r="K44" i="10" s="1"/>
  <c r="F44" i="10"/>
  <c r="G44" i="10" s="1"/>
  <c r="H44" i="10" s="1"/>
  <c r="I43" i="10"/>
  <c r="J43" i="10" s="1"/>
  <c r="K43" i="10" s="1"/>
  <c r="F43" i="10"/>
  <c r="G43" i="10" s="1"/>
  <c r="H43" i="10" s="1"/>
  <c r="I42" i="10"/>
  <c r="J42" i="10" s="1"/>
  <c r="K42" i="10" s="1"/>
  <c r="F42" i="10"/>
  <c r="G42" i="10" s="1"/>
  <c r="H42" i="10" s="1"/>
  <c r="I41" i="10"/>
  <c r="J41" i="10" s="1"/>
  <c r="K41" i="10" s="1"/>
  <c r="F41" i="10"/>
  <c r="G41" i="10" s="1"/>
  <c r="H41" i="10" s="1"/>
  <c r="I40" i="10"/>
  <c r="J40" i="10" s="1"/>
  <c r="K40" i="10" s="1"/>
  <c r="F40" i="10"/>
  <c r="G40" i="10" s="1"/>
  <c r="H40" i="10" s="1"/>
  <c r="I38" i="10"/>
  <c r="J38" i="10" s="1"/>
  <c r="K38" i="10" s="1"/>
  <c r="F38" i="10"/>
  <c r="G38" i="10" s="1"/>
  <c r="H38" i="10" s="1"/>
  <c r="I37" i="10"/>
  <c r="J37" i="10" s="1"/>
  <c r="K37" i="10" s="1"/>
  <c r="F37" i="10"/>
  <c r="G37" i="10" s="1"/>
  <c r="H37" i="10" s="1"/>
  <c r="I36" i="10"/>
  <c r="J36" i="10" s="1"/>
  <c r="K36" i="10" s="1"/>
  <c r="F36" i="10"/>
  <c r="G36" i="10" s="1"/>
  <c r="H36" i="10" s="1"/>
  <c r="I35" i="10"/>
  <c r="J35" i="10" s="1"/>
  <c r="K35" i="10" s="1"/>
  <c r="F35" i="10"/>
  <c r="G35" i="10" s="1"/>
  <c r="H35" i="10" s="1"/>
  <c r="I34" i="10"/>
  <c r="J34" i="10" s="1"/>
  <c r="K34" i="10" s="1"/>
  <c r="F34" i="10"/>
  <c r="G34" i="10" s="1"/>
  <c r="H34" i="10" s="1"/>
  <c r="I33" i="10"/>
  <c r="J33" i="10" s="1"/>
  <c r="K33" i="10" s="1"/>
  <c r="F33" i="10"/>
  <c r="G33" i="10" s="1"/>
  <c r="H33" i="10" s="1"/>
  <c r="I31" i="10"/>
  <c r="J31" i="10" s="1"/>
  <c r="K31" i="10" s="1"/>
  <c r="F31" i="10"/>
  <c r="G31" i="10" s="1"/>
  <c r="H31" i="10" s="1"/>
  <c r="I30" i="10"/>
  <c r="J30" i="10" s="1"/>
  <c r="K30" i="10" s="1"/>
  <c r="F30" i="10"/>
  <c r="G30" i="10" s="1"/>
  <c r="H30" i="10" s="1"/>
  <c r="I29" i="10"/>
  <c r="J29" i="10" s="1"/>
  <c r="K29" i="10" s="1"/>
  <c r="F29" i="10"/>
  <c r="G29" i="10" s="1"/>
  <c r="H29" i="10" s="1"/>
  <c r="I28" i="10"/>
  <c r="J28" i="10" s="1"/>
  <c r="K28" i="10" s="1"/>
  <c r="F28" i="10"/>
  <c r="G28" i="10" s="1"/>
  <c r="H28" i="10" s="1"/>
  <c r="I27" i="10"/>
  <c r="J27" i="10" s="1"/>
  <c r="K27" i="10" s="1"/>
  <c r="F27" i="10"/>
  <c r="G27" i="10" s="1"/>
  <c r="H27" i="10" s="1"/>
  <c r="I26" i="10"/>
  <c r="J26" i="10" s="1"/>
  <c r="K26" i="10" s="1"/>
  <c r="F26" i="10"/>
  <c r="G26" i="10" s="1"/>
  <c r="H26" i="10" s="1"/>
  <c r="I24" i="10"/>
  <c r="J24" i="10" s="1"/>
  <c r="K24" i="10" s="1"/>
  <c r="F24" i="10"/>
  <c r="G24" i="10" s="1"/>
  <c r="H24" i="10" s="1"/>
  <c r="I23" i="10"/>
  <c r="J23" i="10" s="1"/>
  <c r="K23" i="10" s="1"/>
  <c r="F23" i="10"/>
  <c r="G23" i="10" s="1"/>
  <c r="H23" i="10" s="1"/>
  <c r="I22" i="10"/>
  <c r="J22" i="10" s="1"/>
  <c r="K22" i="10" s="1"/>
  <c r="F22" i="10"/>
  <c r="G22" i="10" s="1"/>
  <c r="H22" i="10" s="1"/>
  <c r="I21" i="10"/>
  <c r="J21" i="10" s="1"/>
  <c r="K21" i="10" s="1"/>
  <c r="F21" i="10"/>
  <c r="G21" i="10" s="1"/>
  <c r="H21" i="10" s="1"/>
  <c r="I20" i="10"/>
  <c r="J20" i="10" s="1"/>
  <c r="K20" i="10" s="1"/>
  <c r="F20" i="10"/>
  <c r="G20" i="10" s="1"/>
  <c r="H20" i="10" s="1"/>
  <c r="I19" i="10"/>
  <c r="J19" i="10" s="1"/>
  <c r="F19" i="10"/>
  <c r="G19" i="10" s="1"/>
  <c r="H19" i="10" s="1"/>
  <c r="I18" i="10"/>
  <c r="J18" i="10" s="1"/>
  <c r="K18" i="10" s="1"/>
  <c r="F18" i="10"/>
  <c r="G18" i="10" s="1"/>
  <c r="H18" i="10" s="1"/>
  <c r="I17" i="10"/>
  <c r="J17" i="10" s="1"/>
  <c r="K17" i="10" s="1"/>
  <c r="F17" i="10"/>
  <c r="G17" i="10" s="1"/>
  <c r="H17" i="10" s="1"/>
  <c r="I15" i="10"/>
  <c r="J15" i="10" s="1"/>
  <c r="K15" i="10" s="1"/>
  <c r="F15" i="10"/>
  <c r="G15" i="10" s="1"/>
  <c r="H15" i="10" s="1"/>
  <c r="I14" i="10"/>
  <c r="J14" i="10" s="1"/>
  <c r="K14" i="10" s="1"/>
  <c r="F14" i="10"/>
  <c r="G14" i="10" s="1"/>
  <c r="H14" i="10" s="1"/>
  <c r="I13" i="10"/>
  <c r="J13" i="10" s="1"/>
  <c r="K13" i="10" s="1"/>
  <c r="F13" i="10"/>
  <c r="G13" i="10" s="1"/>
  <c r="H13" i="10" s="1"/>
  <c r="I12" i="10"/>
  <c r="J12" i="10" s="1"/>
  <c r="K12" i="10" s="1"/>
  <c r="F12" i="10"/>
  <c r="G12" i="10" s="1"/>
  <c r="H12" i="10" s="1"/>
  <c r="I11" i="10"/>
  <c r="J11" i="10" s="1"/>
  <c r="K11" i="10" s="1"/>
  <c r="F11" i="10"/>
  <c r="G11" i="10" s="1"/>
  <c r="H11" i="10" s="1"/>
  <c r="J10" i="10"/>
  <c r="K10" i="10" s="1"/>
  <c r="I10" i="10"/>
  <c r="F10" i="10"/>
  <c r="G10" i="10" s="1"/>
  <c r="H10" i="10" s="1"/>
  <c r="I9" i="10"/>
  <c r="J9" i="10" s="1"/>
  <c r="K9" i="10" s="1"/>
  <c r="H9" i="10"/>
  <c r="F9" i="10"/>
  <c r="G9" i="10" s="1"/>
  <c r="I8" i="10"/>
  <c r="J8" i="10" s="1"/>
  <c r="K8" i="10" s="1"/>
  <c r="F8" i="10"/>
  <c r="G8" i="10" s="1"/>
  <c r="H8" i="10" s="1"/>
  <c r="I6" i="10"/>
  <c r="J6" i="10" s="1"/>
  <c r="K6" i="10" s="1"/>
  <c r="F6" i="10"/>
  <c r="G6" i="10" s="1"/>
  <c r="H6" i="10" s="1"/>
  <c r="I5" i="10"/>
  <c r="J5" i="10" s="1"/>
  <c r="K5" i="10" s="1"/>
  <c r="F5" i="10"/>
  <c r="G5" i="10" s="1"/>
  <c r="H5" i="10" s="1"/>
  <c r="I4" i="10"/>
  <c r="J4" i="10" s="1"/>
  <c r="K4" i="10" s="1"/>
  <c r="F4" i="10"/>
  <c r="G4" i="10" s="1"/>
  <c r="H4" i="10" s="1"/>
  <c r="I3" i="10"/>
  <c r="J3" i="10" s="1"/>
  <c r="F3" i="10"/>
  <c r="I59" i="9"/>
  <c r="J59" i="9" s="1"/>
  <c r="K59" i="9" s="1"/>
  <c r="F59" i="9"/>
  <c r="G59" i="9" s="1"/>
  <c r="H59" i="9" s="1"/>
  <c r="I58" i="9"/>
  <c r="J58" i="9" s="1"/>
  <c r="K58" i="9" s="1"/>
  <c r="F58" i="9"/>
  <c r="G58" i="9" s="1"/>
  <c r="H58" i="9" s="1"/>
  <c r="I57" i="9"/>
  <c r="J57" i="9" s="1"/>
  <c r="K57" i="9" s="1"/>
  <c r="F57" i="9"/>
  <c r="G57" i="9" s="1"/>
  <c r="H57" i="9" s="1"/>
  <c r="I56" i="9"/>
  <c r="J56" i="9" s="1"/>
  <c r="K56" i="9" s="1"/>
  <c r="F56" i="9"/>
  <c r="G56" i="9" s="1"/>
  <c r="H56" i="9" s="1"/>
  <c r="I54" i="9"/>
  <c r="J54" i="9" s="1"/>
  <c r="K54" i="9" s="1"/>
  <c r="F54" i="9"/>
  <c r="G54" i="9" s="1"/>
  <c r="H54" i="9" s="1"/>
  <c r="I53" i="9"/>
  <c r="J53" i="9" s="1"/>
  <c r="K53" i="9" s="1"/>
  <c r="F53" i="9"/>
  <c r="G53" i="9" s="1"/>
  <c r="H53" i="9" s="1"/>
  <c r="I52" i="9"/>
  <c r="J52" i="9" s="1"/>
  <c r="K52" i="9" s="1"/>
  <c r="F52" i="9"/>
  <c r="G52" i="9" s="1"/>
  <c r="H52" i="9" s="1"/>
  <c r="I51" i="9"/>
  <c r="J51" i="9" s="1"/>
  <c r="K51" i="9" s="1"/>
  <c r="F51" i="9"/>
  <c r="G51" i="9" s="1"/>
  <c r="H51" i="9" s="1"/>
  <c r="I50" i="9"/>
  <c r="J50" i="9" s="1"/>
  <c r="K50" i="9" s="1"/>
  <c r="F50" i="9"/>
  <c r="G50" i="9" s="1"/>
  <c r="H50" i="9" s="1"/>
  <c r="I49" i="9"/>
  <c r="J49" i="9" s="1"/>
  <c r="K49" i="9" s="1"/>
  <c r="F49" i="9"/>
  <c r="G49" i="9" s="1"/>
  <c r="H49" i="9" s="1"/>
  <c r="I48" i="9"/>
  <c r="J48" i="9" s="1"/>
  <c r="K48" i="9" s="1"/>
  <c r="F48" i="9"/>
  <c r="G48" i="9" s="1"/>
  <c r="H48" i="9" s="1"/>
  <c r="I46" i="9"/>
  <c r="J46" i="9" s="1"/>
  <c r="K46" i="9" s="1"/>
  <c r="F46" i="9"/>
  <c r="G46" i="9" s="1"/>
  <c r="H46" i="9" s="1"/>
  <c r="I45" i="9"/>
  <c r="J45" i="9" s="1"/>
  <c r="K45" i="9" s="1"/>
  <c r="F45" i="9"/>
  <c r="G45" i="9" s="1"/>
  <c r="H45" i="9" s="1"/>
  <c r="I44" i="9"/>
  <c r="J44" i="9" s="1"/>
  <c r="K44" i="9" s="1"/>
  <c r="F44" i="9"/>
  <c r="G44" i="9" s="1"/>
  <c r="H44" i="9" s="1"/>
  <c r="I43" i="9"/>
  <c r="J43" i="9" s="1"/>
  <c r="K43" i="9" s="1"/>
  <c r="F43" i="9"/>
  <c r="G43" i="9" s="1"/>
  <c r="H43" i="9" s="1"/>
  <c r="I41" i="9"/>
  <c r="J41" i="9" s="1"/>
  <c r="K41" i="9" s="1"/>
  <c r="F41" i="9"/>
  <c r="G41" i="9" s="1"/>
  <c r="H41" i="9" s="1"/>
  <c r="I40" i="9"/>
  <c r="J40" i="9" s="1"/>
  <c r="K40" i="9" s="1"/>
  <c r="F40" i="9"/>
  <c r="G40" i="9" s="1"/>
  <c r="H40" i="9" s="1"/>
  <c r="I39" i="9"/>
  <c r="J39" i="9" s="1"/>
  <c r="K39" i="9" s="1"/>
  <c r="F39" i="9"/>
  <c r="G39" i="9" s="1"/>
  <c r="H39" i="9" s="1"/>
  <c r="I38" i="9"/>
  <c r="J38" i="9" s="1"/>
  <c r="K38" i="9" s="1"/>
  <c r="F38" i="9"/>
  <c r="G38" i="9" s="1"/>
  <c r="H38" i="9" s="1"/>
  <c r="I36" i="9"/>
  <c r="J36" i="9" s="1"/>
  <c r="K36" i="9" s="1"/>
  <c r="F36" i="9"/>
  <c r="G36" i="9" s="1"/>
  <c r="H36" i="9" s="1"/>
  <c r="I35" i="9"/>
  <c r="J35" i="9" s="1"/>
  <c r="K35" i="9" s="1"/>
  <c r="F35" i="9"/>
  <c r="G35" i="9" s="1"/>
  <c r="H35" i="9" s="1"/>
  <c r="I34" i="9"/>
  <c r="J34" i="9" s="1"/>
  <c r="K34" i="9" s="1"/>
  <c r="F34" i="9"/>
  <c r="G34" i="9" s="1"/>
  <c r="H34" i="9" s="1"/>
  <c r="I30" i="9"/>
  <c r="J30" i="9" s="1"/>
  <c r="K30" i="9" s="1"/>
  <c r="F30" i="9"/>
  <c r="G30" i="9" s="1"/>
  <c r="H30" i="9" s="1"/>
  <c r="I29" i="9"/>
  <c r="J29" i="9" s="1"/>
  <c r="K29" i="9" s="1"/>
  <c r="F29" i="9"/>
  <c r="G29" i="9" s="1"/>
  <c r="H29" i="9" s="1"/>
  <c r="I28" i="9"/>
  <c r="J28" i="9" s="1"/>
  <c r="K28" i="9" s="1"/>
  <c r="F28" i="9"/>
  <c r="G28" i="9" s="1"/>
  <c r="H28" i="9" s="1"/>
  <c r="I26" i="9"/>
  <c r="J26" i="9" s="1"/>
  <c r="K26" i="9" s="1"/>
  <c r="F26" i="9"/>
  <c r="G26" i="9" s="1"/>
  <c r="H26" i="9" s="1"/>
  <c r="I25" i="9"/>
  <c r="J25" i="9" s="1"/>
  <c r="K25" i="9" s="1"/>
  <c r="F25" i="9"/>
  <c r="G25" i="9" s="1"/>
  <c r="H25" i="9" s="1"/>
  <c r="I24" i="9"/>
  <c r="J24" i="9" s="1"/>
  <c r="K24" i="9" s="1"/>
  <c r="F24" i="9"/>
  <c r="G24" i="9" s="1"/>
  <c r="H24" i="9" s="1"/>
  <c r="I23" i="9"/>
  <c r="J23" i="9" s="1"/>
  <c r="K23" i="9" s="1"/>
  <c r="F23" i="9"/>
  <c r="G23" i="9" s="1"/>
  <c r="H23" i="9" s="1"/>
  <c r="I22" i="9"/>
  <c r="J22" i="9" s="1"/>
  <c r="K22" i="9" s="1"/>
  <c r="F22" i="9"/>
  <c r="G22" i="9" s="1"/>
  <c r="H22" i="9" s="1"/>
  <c r="I21" i="9"/>
  <c r="J21" i="9" s="1"/>
  <c r="K21" i="9" s="1"/>
  <c r="F21" i="9"/>
  <c r="G21" i="9" s="1"/>
  <c r="H21" i="9" s="1"/>
  <c r="I19" i="9"/>
  <c r="J19" i="9" s="1"/>
  <c r="K19" i="9" s="1"/>
  <c r="F19" i="9"/>
  <c r="G19" i="9" s="1"/>
  <c r="H19" i="9" s="1"/>
  <c r="I18" i="9"/>
  <c r="J18" i="9" s="1"/>
  <c r="K18" i="9" s="1"/>
  <c r="F18" i="9"/>
  <c r="G18" i="9" s="1"/>
  <c r="H18" i="9" s="1"/>
  <c r="I17" i="9"/>
  <c r="J17" i="9" s="1"/>
  <c r="K17" i="9" s="1"/>
  <c r="F17" i="9"/>
  <c r="G17" i="9" s="1"/>
  <c r="H17" i="9" s="1"/>
  <c r="I16" i="9"/>
  <c r="J16" i="9" s="1"/>
  <c r="K16" i="9" s="1"/>
  <c r="F16" i="9"/>
  <c r="G16" i="9" s="1"/>
  <c r="H16" i="9" s="1"/>
  <c r="I15" i="9"/>
  <c r="J15" i="9" s="1"/>
  <c r="K15" i="9" s="1"/>
  <c r="F15" i="9"/>
  <c r="G15" i="9" s="1"/>
  <c r="H15" i="9" s="1"/>
  <c r="I14" i="9"/>
  <c r="J14" i="9" s="1"/>
  <c r="K14" i="9" s="1"/>
  <c r="F14" i="9"/>
  <c r="G14" i="9" s="1"/>
  <c r="H14" i="9" s="1"/>
  <c r="I13" i="9"/>
  <c r="J13" i="9" s="1"/>
  <c r="K13" i="9" s="1"/>
  <c r="F13" i="9"/>
  <c r="G13" i="9" s="1"/>
  <c r="H13" i="9" s="1"/>
  <c r="I12" i="9"/>
  <c r="J12" i="9" s="1"/>
  <c r="K12" i="9" s="1"/>
  <c r="F12" i="9"/>
  <c r="G12" i="9" s="1"/>
  <c r="H12" i="9" s="1"/>
  <c r="I10" i="9"/>
  <c r="J10" i="9" s="1"/>
  <c r="K10" i="9" s="1"/>
  <c r="F10" i="9"/>
  <c r="G10" i="9" s="1"/>
  <c r="H10" i="9" s="1"/>
  <c r="I9" i="9"/>
  <c r="J9" i="9" s="1"/>
  <c r="F9" i="9"/>
  <c r="G9" i="9" s="1"/>
  <c r="H9" i="9" s="1"/>
  <c r="I8" i="9"/>
  <c r="J8" i="9" s="1"/>
  <c r="K8" i="9" s="1"/>
  <c r="F8" i="9"/>
  <c r="G8" i="9" s="1"/>
  <c r="H8" i="9" s="1"/>
  <c r="I7" i="9"/>
  <c r="J7" i="9" s="1"/>
  <c r="K7" i="9" s="1"/>
  <c r="F7" i="9"/>
  <c r="G7" i="9" s="1"/>
  <c r="H7" i="9" s="1"/>
  <c r="I6" i="9"/>
  <c r="J6" i="9" s="1"/>
  <c r="K6" i="9" s="1"/>
  <c r="F6" i="9"/>
  <c r="G6" i="9" s="1"/>
  <c r="H6" i="9" s="1"/>
  <c r="I5" i="9"/>
  <c r="J5" i="9" s="1"/>
  <c r="K5" i="9" s="1"/>
  <c r="F5" i="9"/>
  <c r="G5" i="9" s="1"/>
  <c r="H5" i="9" s="1"/>
  <c r="I4" i="9"/>
  <c r="J4" i="9" s="1"/>
  <c r="K4" i="9" s="1"/>
  <c r="F4" i="9"/>
  <c r="G4" i="9" s="1"/>
  <c r="H4" i="9" s="1"/>
  <c r="J3" i="9"/>
  <c r="I3" i="9"/>
  <c r="F3" i="9"/>
  <c r="G3" i="9" s="1"/>
  <c r="H3" i="9" s="1"/>
  <c r="I47" i="8"/>
  <c r="J47" i="8" s="1"/>
  <c r="K47" i="8" s="1"/>
  <c r="F47" i="8"/>
  <c r="G47" i="8" s="1"/>
  <c r="H47" i="8" s="1"/>
  <c r="I46" i="8"/>
  <c r="J46" i="8" s="1"/>
  <c r="K46" i="8" s="1"/>
  <c r="F46" i="8"/>
  <c r="G46" i="8" s="1"/>
  <c r="H46" i="8" s="1"/>
  <c r="I45" i="8"/>
  <c r="J45" i="8" s="1"/>
  <c r="K45" i="8" s="1"/>
  <c r="F45" i="8"/>
  <c r="G45" i="8" s="1"/>
  <c r="H45" i="8" s="1"/>
  <c r="I44" i="8"/>
  <c r="J44" i="8" s="1"/>
  <c r="K44" i="8" s="1"/>
  <c r="F44" i="8"/>
  <c r="G44" i="8" s="1"/>
  <c r="H44" i="8" s="1"/>
  <c r="I43" i="8"/>
  <c r="J43" i="8" s="1"/>
  <c r="K43" i="8" s="1"/>
  <c r="F43" i="8"/>
  <c r="G43" i="8" s="1"/>
  <c r="H43" i="8" s="1"/>
  <c r="I42" i="8"/>
  <c r="J42" i="8" s="1"/>
  <c r="K42" i="8" s="1"/>
  <c r="F42" i="8"/>
  <c r="G42" i="8" s="1"/>
  <c r="H42" i="8" s="1"/>
  <c r="I41" i="8"/>
  <c r="J41" i="8" s="1"/>
  <c r="K41" i="8" s="1"/>
  <c r="F41" i="8"/>
  <c r="G41" i="8" s="1"/>
  <c r="H41" i="8" s="1"/>
  <c r="I40" i="8"/>
  <c r="J40" i="8" s="1"/>
  <c r="K40" i="8" s="1"/>
  <c r="F40" i="8"/>
  <c r="G40" i="8" s="1"/>
  <c r="H40" i="8" s="1"/>
  <c r="I39" i="8"/>
  <c r="J39" i="8" s="1"/>
  <c r="K39" i="8" s="1"/>
  <c r="F39" i="8"/>
  <c r="G39" i="8" s="1"/>
  <c r="H39" i="8" s="1"/>
  <c r="I38" i="8"/>
  <c r="J38" i="8" s="1"/>
  <c r="K38" i="8" s="1"/>
  <c r="F38" i="8"/>
  <c r="G38" i="8" s="1"/>
  <c r="H38" i="8" s="1"/>
  <c r="I37" i="8"/>
  <c r="J37" i="8" s="1"/>
  <c r="K37" i="8" s="1"/>
  <c r="F37" i="8"/>
  <c r="G37" i="8" s="1"/>
  <c r="H37" i="8" s="1"/>
  <c r="I36" i="8"/>
  <c r="J36" i="8" s="1"/>
  <c r="K36" i="8" s="1"/>
  <c r="F36" i="8"/>
  <c r="G36" i="8" s="1"/>
  <c r="H36" i="8" s="1"/>
  <c r="I34" i="8"/>
  <c r="J34" i="8" s="1"/>
  <c r="K34" i="8" s="1"/>
  <c r="G34" i="8"/>
  <c r="H34" i="8" s="1"/>
  <c r="F34" i="8"/>
  <c r="I33" i="8"/>
  <c r="J33" i="8" s="1"/>
  <c r="K33" i="8" s="1"/>
  <c r="F33" i="8"/>
  <c r="G33" i="8" s="1"/>
  <c r="H33" i="8" s="1"/>
  <c r="J32" i="8"/>
  <c r="K32" i="8" s="1"/>
  <c r="I32" i="8"/>
  <c r="F32" i="8"/>
  <c r="G32" i="8" s="1"/>
  <c r="H32" i="8" s="1"/>
  <c r="I31" i="8"/>
  <c r="J31" i="8" s="1"/>
  <c r="K31" i="8" s="1"/>
  <c r="F31" i="8"/>
  <c r="G31" i="8" s="1"/>
  <c r="H31" i="8" s="1"/>
  <c r="I30" i="8"/>
  <c r="J30" i="8" s="1"/>
  <c r="K30" i="8" s="1"/>
  <c r="F30" i="8"/>
  <c r="G30" i="8" s="1"/>
  <c r="H30" i="8" s="1"/>
  <c r="J29" i="8"/>
  <c r="K29" i="8" s="1"/>
  <c r="I29" i="8"/>
  <c r="F29" i="8"/>
  <c r="G29" i="8" s="1"/>
  <c r="H29" i="8" s="1"/>
  <c r="I27" i="8"/>
  <c r="J27" i="8" s="1"/>
  <c r="K27" i="8" s="1"/>
  <c r="G27" i="8"/>
  <c r="H27" i="8" s="1"/>
  <c r="F27" i="8"/>
  <c r="I26" i="8"/>
  <c r="J26" i="8" s="1"/>
  <c r="K26" i="8" s="1"/>
  <c r="F26" i="8"/>
  <c r="G26" i="8" s="1"/>
  <c r="H26" i="8" s="1"/>
  <c r="I25" i="8"/>
  <c r="J25" i="8" s="1"/>
  <c r="K25" i="8" s="1"/>
  <c r="F25" i="8"/>
  <c r="G25" i="8" s="1"/>
  <c r="H25" i="8" s="1"/>
  <c r="I24" i="8"/>
  <c r="J24" i="8" s="1"/>
  <c r="K24" i="8" s="1"/>
  <c r="F24" i="8"/>
  <c r="G24" i="8" s="1"/>
  <c r="H24" i="8" s="1"/>
  <c r="I23" i="8"/>
  <c r="J23" i="8" s="1"/>
  <c r="K23" i="8" s="1"/>
  <c r="F23" i="8"/>
  <c r="G23" i="8" s="1"/>
  <c r="H23" i="8" s="1"/>
  <c r="I22" i="8"/>
  <c r="J22" i="8" s="1"/>
  <c r="K22" i="8" s="1"/>
  <c r="F22" i="8"/>
  <c r="G22" i="8" s="1"/>
  <c r="H22" i="8" s="1"/>
  <c r="I20" i="8"/>
  <c r="J20" i="8" s="1"/>
  <c r="K20" i="8" s="1"/>
  <c r="F20" i="8"/>
  <c r="G20" i="8" s="1"/>
  <c r="H20" i="8" s="1"/>
  <c r="I19" i="8"/>
  <c r="J19" i="8" s="1"/>
  <c r="K19" i="8" s="1"/>
  <c r="F19" i="8"/>
  <c r="G19" i="8" s="1"/>
  <c r="H19" i="8" s="1"/>
  <c r="I18" i="8"/>
  <c r="J18" i="8" s="1"/>
  <c r="K18" i="8" s="1"/>
  <c r="F18" i="8"/>
  <c r="G18" i="8" s="1"/>
  <c r="H18" i="8" s="1"/>
  <c r="I16" i="8"/>
  <c r="J16" i="8" s="1"/>
  <c r="K16" i="8" s="1"/>
  <c r="G16" i="8"/>
  <c r="H16" i="8" s="1"/>
  <c r="F16" i="8"/>
  <c r="I15" i="8"/>
  <c r="J15" i="8" s="1"/>
  <c r="K15" i="8" s="1"/>
  <c r="F15" i="8"/>
  <c r="G15" i="8" s="1"/>
  <c r="H15" i="8" s="1"/>
  <c r="J14" i="8"/>
  <c r="K14" i="8" s="1"/>
  <c r="I14" i="8"/>
  <c r="F14" i="8"/>
  <c r="G14" i="8" s="1"/>
  <c r="H14" i="8" s="1"/>
  <c r="I12" i="8"/>
  <c r="J12" i="8" s="1"/>
  <c r="K12" i="8" s="1"/>
  <c r="F12" i="8"/>
  <c r="G12" i="8" s="1"/>
  <c r="H12" i="8" s="1"/>
  <c r="I11" i="8"/>
  <c r="J11" i="8" s="1"/>
  <c r="K11" i="8" s="1"/>
  <c r="F11" i="8"/>
  <c r="G11" i="8" s="1"/>
  <c r="H11" i="8" s="1"/>
  <c r="I10" i="8"/>
  <c r="J10" i="8" s="1"/>
  <c r="K10" i="8" s="1"/>
  <c r="F10" i="8"/>
  <c r="G10" i="8" s="1"/>
  <c r="H10" i="8" s="1"/>
  <c r="I9" i="8"/>
  <c r="J9" i="8" s="1"/>
  <c r="K9" i="8" s="1"/>
  <c r="F9" i="8"/>
  <c r="G9" i="8" s="1"/>
  <c r="H9" i="8" s="1"/>
  <c r="I8" i="8"/>
  <c r="F8" i="8"/>
  <c r="G8" i="8" s="1"/>
  <c r="H8" i="8" s="1"/>
  <c r="I6" i="8"/>
  <c r="J6" i="8" s="1"/>
  <c r="K6" i="8" s="1"/>
  <c r="F6" i="8"/>
  <c r="G6" i="8" s="1"/>
  <c r="I5" i="8"/>
  <c r="J5" i="8" s="1"/>
  <c r="K5" i="8" s="1"/>
  <c r="F5" i="8"/>
  <c r="G5" i="8" s="1"/>
  <c r="H5" i="8" s="1"/>
  <c r="I4" i="8"/>
  <c r="J4" i="8" s="1"/>
  <c r="K4" i="8" s="1"/>
  <c r="F4" i="8"/>
  <c r="G4" i="8" s="1"/>
  <c r="H4" i="8" s="1"/>
  <c r="I3" i="8"/>
  <c r="J3" i="8" s="1"/>
  <c r="F3" i="8"/>
  <c r="G3" i="8" s="1"/>
  <c r="H3" i="8" s="1"/>
  <c r="I106" i="7"/>
  <c r="J106" i="7" s="1"/>
  <c r="K106" i="7" s="1"/>
  <c r="F106" i="7"/>
  <c r="G106" i="7" s="1"/>
  <c r="H106" i="7" s="1"/>
  <c r="I105" i="7"/>
  <c r="J105" i="7" s="1"/>
  <c r="K105" i="7" s="1"/>
  <c r="F105" i="7"/>
  <c r="G105" i="7" s="1"/>
  <c r="H105" i="7" s="1"/>
  <c r="J104" i="7"/>
  <c r="K104" i="7" s="1"/>
  <c r="I104" i="7"/>
  <c r="F104" i="7"/>
  <c r="G104" i="7" s="1"/>
  <c r="H104" i="7" s="1"/>
  <c r="I103" i="7"/>
  <c r="J103" i="7" s="1"/>
  <c r="K103" i="7" s="1"/>
  <c r="F103" i="7"/>
  <c r="G103" i="7" s="1"/>
  <c r="H103" i="7" s="1"/>
  <c r="I101" i="7"/>
  <c r="J101" i="7" s="1"/>
  <c r="K101" i="7" s="1"/>
  <c r="F101" i="7"/>
  <c r="G101" i="7" s="1"/>
  <c r="H101" i="7" s="1"/>
  <c r="I100" i="7"/>
  <c r="J100" i="7" s="1"/>
  <c r="K100" i="7" s="1"/>
  <c r="F100" i="7"/>
  <c r="G100" i="7" s="1"/>
  <c r="H100" i="7" s="1"/>
  <c r="I99" i="7"/>
  <c r="J99" i="7" s="1"/>
  <c r="K99" i="7" s="1"/>
  <c r="F99" i="7"/>
  <c r="G99" i="7" s="1"/>
  <c r="H99" i="7" s="1"/>
  <c r="I98" i="7"/>
  <c r="J98" i="7" s="1"/>
  <c r="K98" i="7" s="1"/>
  <c r="F98" i="7"/>
  <c r="G98" i="7" s="1"/>
  <c r="H98" i="7" s="1"/>
  <c r="I96" i="7"/>
  <c r="J96" i="7" s="1"/>
  <c r="K96" i="7" s="1"/>
  <c r="F96" i="7"/>
  <c r="G96" i="7" s="1"/>
  <c r="H96" i="7" s="1"/>
  <c r="I95" i="7"/>
  <c r="J95" i="7" s="1"/>
  <c r="K95" i="7" s="1"/>
  <c r="H95" i="7"/>
  <c r="G95" i="7"/>
  <c r="F95" i="7"/>
  <c r="I94" i="7"/>
  <c r="J94" i="7" s="1"/>
  <c r="K94" i="7" s="1"/>
  <c r="F94" i="7"/>
  <c r="G94" i="7" s="1"/>
  <c r="H94" i="7" s="1"/>
  <c r="I93" i="7"/>
  <c r="J93" i="7" s="1"/>
  <c r="K93" i="7" s="1"/>
  <c r="F93" i="7"/>
  <c r="G93" i="7" s="1"/>
  <c r="H93" i="7" s="1"/>
  <c r="I91" i="7"/>
  <c r="J91" i="7" s="1"/>
  <c r="K91" i="7" s="1"/>
  <c r="F91" i="7"/>
  <c r="G91" i="7" s="1"/>
  <c r="H91" i="7" s="1"/>
  <c r="I90" i="7"/>
  <c r="J90" i="7" s="1"/>
  <c r="K90" i="7" s="1"/>
  <c r="F90" i="7"/>
  <c r="G90" i="7" s="1"/>
  <c r="H90" i="7" s="1"/>
  <c r="I89" i="7"/>
  <c r="J89" i="7" s="1"/>
  <c r="K89" i="7" s="1"/>
  <c r="F89" i="7"/>
  <c r="G89" i="7" s="1"/>
  <c r="H89" i="7" s="1"/>
  <c r="I88" i="7"/>
  <c r="J88" i="7" s="1"/>
  <c r="K88" i="7" s="1"/>
  <c r="F88" i="7"/>
  <c r="G88" i="7" s="1"/>
  <c r="H88" i="7" s="1"/>
  <c r="I86" i="7"/>
  <c r="J86" i="7" s="1"/>
  <c r="K86" i="7" s="1"/>
  <c r="F86" i="7"/>
  <c r="G86" i="7" s="1"/>
  <c r="H86" i="7" s="1"/>
  <c r="I85" i="7"/>
  <c r="J85" i="7" s="1"/>
  <c r="K85" i="7" s="1"/>
  <c r="F85" i="7"/>
  <c r="G85" i="7" s="1"/>
  <c r="H85" i="7" s="1"/>
  <c r="I84" i="7"/>
  <c r="J84" i="7" s="1"/>
  <c r="K84" i="7" s="1"/>
  <c r="F84" i="7"/>
  <c r="G84" i="7" s="1"/>
  <c r="H84" i="7" s="1"/>
  <c r="I83" i="7"/>
  <c r="J83" i="7" s="1"/>
  <c r="K83" i="7" s="1"/>
  <c r="F83" i="7"/>
  <c r="G83" i="7" s="1"/>
  <c r="H83" i="7" s="1"/>
  <c r="I81" i="7"/>
  <c r="J81" i="7" s="1"/>
  <c r="K81" i="7" s="1"/>
  <c r="F81" i="7"/>
  <c r="G81" i="7" s="1"/>
  <c r="H81" i="7" s="1"/>
  <c r="I80" i="7"/>
  <c r="J80" i="7" s="1"/>
  <c r="K80" i="7" s="1"/>
  <c r="F80" i="7"/>
  <c r="G80" i="7" s="1"/>
  <c r="H80" i="7" s="1"/>
  <c r="I79" i="7"/>
  <c r="J79" i="7" s="1"/>
  <c r="K79" i="7" s="1"/>
  <c r="F79" i="7"/>
  <c r="G79" i="7" s="1"/>
  <c r="H79" i="7" s="1"/>
  <c r="I78" i="7"/>
  <c r="J78" i="7" s="1"/>
  <c r="K78" i="7" s="1"/>
  <c r="F78" i="7"/>
  <c r="G78" i="7" s="1"/>
  <c r="H78" i="7" s="1"/>
  <c r="I76" i="7"/>
  <c r="J76" i="7" s="1"/>
  <c r="K76" i="7" s="1"/>
  <c r="F76" i="7"/>
  <c r="G76" i="7" s="1"/>
  <c r="H76" i="7" s="1"/>
  <c r="I75" i="7"/>
  <c r="J75" i="7" s="1"/>
  <c r="K75" i="7" s="1"/>
  <c r="F75" i="7"/>
  <c r="G75" i="7" s="1"/>
  <c r="H75" i="7" s="1"/>
  <c r="I74" i="7"/>
  <c r="J74" i="7" s="1"/>
  <c r="K74" i="7" s="1"/>
  <c r="F74" i="7"/>
  <c r="G74" i="7" s="1"/>
  <c r="H74" i="7" s="1"/>
  <c r="I73" i="7"/>
  <c r="J73" i="7" s="1"/>
  <c r="K73" i="7" s="1"/>
  <c r="F73" i="7"/>
  <c r="G73" i="7" s="1"/>
  <c r="H73" i="7" s="1"/>
  <c r="I71" i="7"/>
  <c r="J71" i="7" s="1"/>
  <c r="K71" i="7" s="1"/>
  <c r="F71" i="7"/>
  <c r="G71" i="7" s="1"/>
  <c r="H71" i="7" s="1"/>
  <c r="J70" i="7"/>
  <c r="K70" i="7" s="1"/>
  <c r="I70" i="7"/>
  <c r="F70" i="7"/>
  <c r="G70" i="7" s="1"/>
  <c r="H70" i="7" s="1"/>
  <c r="I69" i="7"/>
  <c r="J69" i="7" s="1"/>
  <c r="K69" i="7" s="1"/>
  <c r="F69" i="7"/>
  <c r="G69" i="7" s="1"/>
  <c r="H69" i="7" s="1"/>
  <c r="I68" i="7"/>
  <c r="J68" i="7" s="1"/>
  <c r="K68" i="7" s="1"/>
  <c r="F68" i="7"/>
  <c r="G68" i="7" s="1"/>
  <c r="H68" i="7" s="1"/>
  <c r="I66" i="7"/>
  <c r="J66" i="7" s="1"/>
  <c r="K66" i="7" s="1"/>
  <c r="F66" i="7"/>
  <c r="G66" i="7" s="1"/>
  <c r="H66" i="7" s="1"/>
  <c r="I65" i="7"/>
  <c r="J65" i="7" s="1"/>
  <c r="K65" i="7" s="1"/>
  <c r="F65" i="7"/>
  <c r="G65" i="7" s="1"/>
  <c r="H65" i="7" s="1"/>
  <c r="I64" i="7"/>
  <c r="J64" i="7" s="1"/>
  <c r="K64" i="7" s="1"/>
  <c r="F64" i="7"/>
  <c r="G64" i="7" s="1"/>
  <c r="H64" i="7" s="1"/>
  <c r="I63" i="7"/>
  <c r="J63" i="7" s="1"/>
  <c r="K63" i="7" s="1"/>
  <c r="F63" i="7"/>
  <c r="G63" i="7" s="1"/>
  <c r="H63" i="7" s="1"/>
  <c r="I61" i="7"/>
  <c r="J61" i="7" s="1"/>
  <c r="K61" i="7" s="1"/>
  <c r="F61" i="7"/>
  <c r="G61" i="7" s="1"/>
  <c r="H61" i="7" s="1"/>
  <c r="I60" i="7"/>
  <c r="J60" i="7" s="1"/>
  <c r="K60" i="7" s="1"/>
  <c r="F60" i="7"/>
  <c r="G60" i="7" s="1"/>
  <c r="H60" i="7" s="1"/>
  <c r="I59" i="7"/>
  <c r="J59" i="7" s="1"/>
  <c r="K59" i="7" s="1"/>
  <c r="F59" i="7"/>
  <c r="G59" i="7" s="1"/>
  <c r="H59" i="7" s="1"/>
  <c r="I58" i="7"/>
  <c r="J58" i="7" s="1"/>
  <c r="K58" i="7" s="1"/>
  <c r="F58" i="7"/>
  <c r="G58" i="7" s="1"/>
  <c r="H58" i="7" s="1"/>
  <c r="I56" i="7"/>
  <c r="J56" i="7" s="1"/>
  <c r="K56" i="7" s="1"/>
  <c r="F56" i="7"/>
  <c r="G56" i="7" s="1"/>
  <c r="H56" i="7" s="1"/>
  <c r="I55" i="7"/>
  <c r="J55" i="7" s="1"/>
  <c r="K55" i="7" s="1"/>
  <c r="F55" i="7"/>
  <c r="G55" i="7" s="1"/>
  <c r="H55" i="7" s="1"/>
  <c r="I54" i="7"/>
  <c r="J54" i="7" s="1"/>
  <c r="K54" i="7" s="1"/>
  <c r="F54" i="7"/>
  <c r="G54" i="7" s="1"/>
  <c r="H54" i="7" s="1"/>
  <c r="I53" i="7"/>
  <c r="J53" i="7" s="1"/>
  <c r="K53" i="7" s="1"/>
  <c r="F53" i="7"/>
  <c r="G53" i="7" s="1"/>
  <c r="H53" i="7" s="1"/>
  <c r="I51" i="7"/>
  <c r="J51" i="7" s="1"/>
  <c r="K51" i="7" s="1"/>
  <c r="F51" i="7"/>
  <c r="G51" i="7" s="1"/>
  <c r="H51" i="7" s="1"/>
  <c r="I50" i="7"/>
  <c r="J50" i="7" s="1"/>
  <c r="K50" i="7" s="1"/>
  <c r="F50" i="7"/>
  <c r="G50" i="7" s="1"/>
  <c r="H50" i="7" s="1"/>
  <c r="I49" i="7"/>
  <c r="J49" i="7" s="1"/>
  <c r="K49" i="7" s="1"/>
  <c r="F49" i="7"/>
  <c r="G49" i="7" s="1"/>
  <c r="H49" i="7" s="1"/>
  <c r="I48" i="7"/>
  <c r="J48" i="7" s="1"/>
  <c r="K48" i="7" s="1"/>
  <c r="F48" i="7"/>
  <c r="G48" i="7" s="1"/>
  <c r="H48" i="7" s="1"/>
  <c r="I46" i="7"/>
  <c r="J46" i="7" s="1"/>
  <c r="K46" i="7" s="1"/>
  <c r="F46" i="7"/>
  <c r="G46" i="7" s="1"/>
  <c r="H46" i="7" s="1"/>
  <c r="I45" i="7"/>
  <c r="J45" i="7" s="1"/>
  <c r="K45" i="7" s="1"/>
  <c r="F45" i="7"/>
  <c r="G45" i="7" s="1"/>
  <c r="H45" i="7" s="1"/>
  <c r="I44" i="7"/>
  <c r="J44" i="7" s="1"/>
  <c r="K44" i="7" s="1"/>
  <c r="F44" i="7"/>
  <c r="G44" i="7" s="1"/>
  <c r="H44" i="7" s="1"/>
  <c r="I43" i="7"/>
  <c r="J43" i="7" s="1"/>
  <c r="K43" i="7" s="1"/>
  <c r="F43" i="7"/>
  <c r="G43" i="7" s="1"/>
  <c r="H43" i="7" s="1"/>
  <c r="I41" i="7"/>
  <c r="J41" i="7" s="1"/>
  <c r="K41" i="7" s="1"/>
  <c r="F41" i="7"/>
  <c r="G41" i="7" s="1"/>
  <c r="H41" i="7" s="1"/>
  <c r="I40" i="7"/>
  <c r="J40" i="7" s="1"/>
  <c r="K40" i="7" s="1"/>
  <c r="F40" i="7"/>
  <c r="G40" i="7" s="1"/>
  <c r="H40" i="7" s="1"/>
  <c r="I39" i="7"/>
  <c r="J39" i="7" s="1"/>
  <c r="K39" i="7" s="1"/>
  <c r="F39" i="7"/>
  <c r="G39" i="7" s="1"/>
  <c r="H39" i="7" s="1"/>
  <c r="I38" i="7"/>
  <c r="J38" i="7" s="1"/>
  <c r="K38" i="7" s="1"/>
  <c r="F38" i="7"/>
  <c r="G38" i="7" s="1"/>
  <c r="H38" i="7" s="1"/>
  <c r="I36" i="7"/>
  <c r="J36" i="7" s="1"/>
  <c r="K36" i="7" s="1"/>
  <c r="F36" i="7"/>
  <c r="G36" i="7" s="1"/>
  <c r="H36" i="7" s="1"/>
  <c r="I35" i="7"/>
  <c r="J35" i="7" s="1"/>
  <c r="K35" i="7" s="1"/>
  <c r="F35" i="7"/>
  <c r="G35" i="7" s="1"/>
  <c r="H35" i="7" s="1"/>
  <c r="I34" i="7"/>
  <c r="J34" i="7" s="1"/>
  <c r="K34" i="7" s="1"/>
  <c r="F34" i="7"/>
  <c r="G34" i="7" s="1"/>
  <c r="H34" i="7" s="1"/>
  <c r="I33" i="7"/>
  <c r="J33" i="7" s="1"/>
  <c r="K33" i="7" s="1"/>
  <c r="F33" i="7"/>
  <c r="G33" i="7" s="1"/>
  <c r="H33" i="7" s="1"/>
  <c r="I31" i="7"/>
  <c r="J31" i="7" s="1"/>
  <c r="K31" i="7" s="1"/>
  <c r="F31" i="7"/>
  <c r="G31" i="7" s="1"/>
  <c r="H31" i="7" s="1"/>
  <c r="I30" i="7"/>
  <c r="J30" i="7" s="1"/>
  <c r="K30" i="7" s="1"/>
  <c r="G30" i="7"/>
  <c r="H30" i="7" s="1"/>
  <c r="F30" i="7"/>
  <c r="I29" i="7"/>
  <c r="J29" i="7" s="1"/>
  <c r="K29" i="7" s="1"/>
  <c r="F29" i="7"/>
  <c r="G29" i="7" s="1"/>
  <c r="H29" i="7" s="1"/>
  <c r="I28" i="7"/>
  <c r="J28" i="7" s="1"/>
  <c r="K28" i="7" s="1"/>
  <c r="F28" i="7"/>
  <c r="G28" i="7" s="1"/>
  <c r="H28" i="7" s="1"/>
  <c r="I26" i="7"/>
  <c r="J26" i="7" s="1"/>
  <c r="K26" i="7" s="1"/>
  <c r="F26" i="7"/>
  <c r="G26" i="7" s="1"/>
  <c r="H26" i="7" s="1"/>
  <c r="I25" i="7"/>
  <c r="J25" i="7" s="1"/>
  <c r="K25" i="7" s="1"/>
  <c r="F25" i="7"/>
  <c r="G25" i="7" s="1"/>
  <c r="H25" i="7" s="1"/>
  <c r="I24" i="7"/>
  <c r="J24" i="7" s="1"/>
  <c r="K24" i="7" s="1"/>
  <c r="F24" i="7"/>
  <c r="G24" i="7" s="1"/>
  <c r="H24" i="7" s="1"/>
  <c r="I23" i="7"/>
  <c r="J23" i="7" s="1"/>
  <c r="K23" i="7" s="1"/>
  <c r="F23" i="7"/>
  <c r="G23" i="7" s="1"/>
  <c r="H23" i="7" s="1"/>
  <c r="I21" i="7"/>
  <c r="J21" i="7" s="1"/>
  <c r="K21" i="7" s="1"/>
  <c r="F21" i="7"/>
  <c r="G21" i="7" s="1"/>
  <c r="H21" i="7" s="1"/>
  <c r="I20" i="7"/>
  <c r="J20" i="7" s="1"/>
  <c r="K20" i="7" s="1"/>
  <c r="F20" i="7"/>
  <c r="G20" i="7" s="1"/>
  <c r="H20" i="7" s="1"/>
  <c r="I19" i="7"/>
  <c r="J19" i="7" s="1"/>
  <c r="K19" i="7" s="1"/>
  <c r="F19" i="7"/>
  <c r="G19" i="7" s="1"/>
  <c r="H19" i="7" s="1"/>
  <c r="I18" i="7"/>
  <c r="J18" i="7" s="1"/>
  <c r="K18" i="7" s="1"/>
  <c r="F18" i="7"/>
  <c r="G18" i="7" s="1"/>
  <c r="H18" i="7" s="1"/>
  <c r="I16" i="7"/>
  <c r="J16" i="7" s="1"/>
  <c r="K16" i="7" s="1"/>
  <c r="F16" i="7"/>
  <c r="G16" i="7" s="1"/>
  <c r="H16" i="7" s="1"/>
  <c r="I15" i="7"/>
  <c r="J15" i="7" s="1"/>
  <c r="K15" i="7" s="1"/>
  <c r="F15" i="7"/>
  <c r="G15" i="7" s="1"/>
  <c r="H15" i="7" s="1"/>
  <c r="I14" i="7"/>
  <c r="J14" i="7" s="1"/>
  <c r="K14" i="7" s="1"/>
  <c r="F14" i="7"/>
  <c r="G14" i="7" s="1"/>
  <c r="H14" i="7" s="1"/>
  <c r="I13" i="7"/>
  <c r="J13" i="7" s="1"/>
  <c r="K13" i="7" s="1"/>
  <c r="G13" i="7"/>
  <c r="H13" i="7" s="1"/>
  <c r="F13" i="7"/>
  <c r="I11" i="7"/>
  <c r="J11" i="7" s="1"/>
  <c r="K11" i="7" s="1"/>
  <c r="F11" i="7"/>
  <c r="G11" i="7" s="1"/>
  <c r="H11" i="7" s="1"/>
  <c r="I10" i="7"/>
  <c r="J10" i="7" s="1"/>
  <c r="K10" i="7" s="1"/>
  <c r="F10" i="7"/>
  <c r="G10" i="7" s="1"/>
  <c r="H10" i="7" s="1"/>
  <c r="I9" i="7"/>
  <c r="J9" i="7" s="1"/>
  <c r="K9" i="7" s="1"/>
  <c r="F9" i="7"/>
  <c r="G9" i="7" s="1"/>
  <c r="H9" i="7" s="1"/>
  <c r="I8" i="7"/>
  <c r="J8" i="7" s="1"/>
  <c r="K8" i="7" s="1"/>
  <c r="F8" i="7"/>
  <c r="G8" i="7" s="1"/>
  <c r="H8" i="7" s="1"/>
  <c r="I6" i="7"/>
  <c r="J6" i="7" s="1"/>
  <c r="K6" i="7" s="1"/>
  <c r="F6" i="7"/>
  <c r="G6" i="7" s="1"/>
  <c r="H6" i="7" s="1"/>
  <c r="I5" i="7"/>
  <c r="J5" i="7" s="1"/>
  <c r="K5" i="7" s="1"/>
  <c r="F5" i="7"/>
  <c r="G5" i="7" s="1"/>
  <c r="H5" i="7" s="1"/>
  <c r="I4" i="7"/>
  <c r="J4" i="7" s="1"/>
  <c r="K4" i="7" s="1"/>
  <c r="F4" i="7"/>
  <c r="G4" i="7" s="1"/>
  <c r="H4" i="7" s="1"/>
  <c r="I3" i="7"/>
  <c r="F3" i="7"/>
  <c r="G3" i="7" s="1"/>
  <c r="H3" i="7" s="1"/>
  <c r="I57" i="6"/>
  <c r="J57" i="6" s="1"/>
  <c r="K57" i="6" s="1"/>
  <c r="F57" i="6"/>
  <c r="G57" i="6" s="1"/>
  <c r="H57" i="6" s="1"/>
  <c r="I56" i="6"/>
  <c r="J56" i="6" s="1"/>
  <c r="K56" i="6" s="1"/>
  <c r="F56" i="6"/>
  <c r="G56" i="6" s="1"/>
  <c r="H56" i="6" s="1"/>
  <c r="I55" i="6"/>
  <c r="J55" i="6" s="1"/>
  <c r="K55" i="6" s="1"/>
  <c r="F55" i="6"/>
  <c r="G55" i="6" s="1"/>
  <c r="H55" i="6" s="1"/>
  <c r="I54" i="6"/>
  <c r="J54" i="6" s="1"/>
  <c r="K54" i="6" s="1"/>
  <c r="F54" i="6"/>
  <c r="G54" i="6" s="1"/>
  <c r="H54" i="6" s="1"/>
  <c r="I53" i="6"/>
  <c r="J53" i="6" s="1"/>
  <c r="K53" i="6" s="1"/>
  <c r="G53" i="6"/>
  <c r="H53" i="6" s="1"/>
  <c r="F53" i="6"/>
  <c r="I52" i="6"/>
  <c r="J52" i="6" s="1"/>
  <c r="K52" i="6" s="1"/>
  <c r="F52" i="6"/>
  <c r="G52" i="6" s="1"/>
  <c r="H52" i="6" s="1"/>
  <c r="I50" i="6"/>
  <c r="J50" i="6" s="1"/>
  <c r="K50" i="6" s="1"/>
  <c r="F50" i="6"/>
  <c r="G50" i="6" s="1"/>
  <c r="H50" i="6" s="1"/>
  <c r="I49" i="6"/>
  <c r="J49" i="6" s="1"/>
  <c r="K49" i="6" s="1"/>
  <c r="F49" i="6"/>
  <c r="G49" i="6" s="1"/>
  <c r="H49" i="6" s="1"/>
  <c r="I48" i="6"/>
  <c r="J48" i="6" s="1"/>
  <c r="K48" i="6" s="1"/>
  <c r="G48" i="6"/>
  <c r="H48" i="6" s="1"/>
  <c r="F48" i="6"/>
  <c r="I47" i="6"/>
  <c r="J47" i="6" s="1"/>
  <c r="K47" i="6" s="1"/>
  <c r="F47" i="6"/>
  <c r="G47" i="6" s="1"/>
  <c r="H47" i="6" s="1"/>
  <c r="I46" i="6"/>
  <c r="J46" i="6" s="1"/>
  <c r="K46" i="6" s="1"/>
  <c r="F46" i="6"/>
  <c r="G46" i="6" s="1"/>
  <c r="H46" i="6" s="1"/>
  <c r="I45" i="6"/>
  <c r="J45" i="6" s="1"/>
  <c r="K45" i="6" s="1"/>
  <c r="F45" i="6"/>
  <c r="G45" i="6" s="1"/>
  <c r="H45" i="6" s="1"/>
  <c r="I43" i="6"/>
  <c r="J43" i="6" s="1"/>
  <c r="K43" i="6" s="1"/>
  <c r="G43" i="6"/>
  <c r="H43" i="6" s="1"/>
  <c r="F43" i="6"/>
  <c r="I42" i="6"/>
  <c r="J42" i="6" s="1"/>
  <c r="K42" i="6" s="1"/>
  <c r="F42" i="6"/>
  <c r="G42" i="6" s="1"/>
  <c r="H42" i="6" s="1"/>
  <c r="I41" i="6"/>
  <c r="J41" i="6" s="1"/>
  <c r="K41" i="6" s="1"/>
  <c r="F41" i="6"/>
  <c r="G41" i="6" s="1"/>
  <c r="H41" i="6" s="1"/>
  <c r="I40" i="6"/>
  <c r="J40" i="6" s="1"/>
  <c r="K40" i="6" s="1"/>
  <c r="F40" i="6"/>
  <c r="G40" i="6" s="1"/>
  <c r="H40" i="6" s="1"/>
  <c r="I39" i="6"/>
  <c r="J39" i="6" s="1"/>
  <c r="K39" i="6" s="1"/>
  <c r="F39" i="6"/>
  <c r="G39" i="6" s="1"/>
  <c r="H39" i="6" s="1"/>
  <c r="I38" i="6"/>
  <c r="J38" i="6" s="1"/>
  <c r="K38" i="6" s="1"/>
  <c r="F38" i="6"/>
  <c r="G38" i="6" s="1"/>
  <c r="H38" i="6" s="1"/>
  <c r="I36" i="6"/>
  <c r="J36" i="6" s="1"/>
  <c r="K36" i="6" s="1"/>
  <c r="F36" i="6"/>
  <c r="G36" i="6" s="1"/>
  <c r="H36" i="6" s="1"/>
  <c r="I35" i="6"/>
  <c r="J35" i="6" s="1"/>
  <c r="K35" i="6" s="1"/>
  <c r="F35" i="6"/>
  <c r="G35" i="6" s="1"/>
  <c r="H35" i="6" s="1"/>
  <c r="I34" i="6"/>
  <c r="J34" i="6" s="1"/>
  <c r="K34" i="6" s="1"/>
  <c r="F34" i="6"/>
  <c r="G34" i="6" s="1"/>
  <c r="H34" i="6" s="1"/>
  <c r="I33" i="6"/>
  <c r="J33" i="6" s="1"/>
  <c r="K33" i="6" s="1"/>
  <c r="G33" i="6"/>
  <c r="H33" i="6" s="1"/>
  <c r="F33" i="6"/>
  <c r="I32" i="6"/>
  <c r="J32" i="6" s="1"/>
  <c r="K32" i="6" s="1"/>
  <c r="F32" i="6"/>
  <c r="G32" i="6" s="1"/>
  <c r="H32" i="6" s="1"/>
  <c r="I31" i="6"/>
  <c r="J31" i="6" s="1"/>
  <c r="K31" i="6" s="1"/>
  <c r="F31" i="6"/>
  <c r="G31" i="6" s="1"/>
  <c r="H31" i="6" s="1"/>
  <c r="I29" i="6"/>
  <c r="J29" i="6" s="1"/>
  <c r="K29" i="6" s="1"/>
  <c r="F29" i="6"/>
  <c r="G29" i="6" s="1"/>
  <c r="H29" i="6" s="1"/>
  <c r="I28" i="6"/>
  <c r="J28" i="6" s="1"/>
  <c r="K28" i="6" s="1"/>
  <c r="F28" i="6"/>
  <c r="G28" i="6" s="1"/>
  <c r="H28" i="6" s="1"/>
  <c r="I27" i="6"/>
  <c r="J27" i="6" s="1"/>
  <c r="K27" i="6" s="1"/>
  <c r="F27" i="6"/>
  <c r="G27" i="6" s="1"/>
  <c r="H27" i="6" s="1"/>
  <c r="I26" i="6"/>
  <c r="J26" i="6" s="1"/>
  <c r="K26" i="6" s="1"/>
  <c r="F26" i="6"/>
  <c r="G26" i="6" s="1"/>
  <c r="H26" i="6" s="1"/>
  <c r="I25" i="6"/>
  <c r="J25" i="6" s="1"/>
  <c r="K25" i="6" s="1"/>
  <c r="F25" i="6"/>
  <c r="G25" i="6" s="1"/>
  <c r="H25" i="6" s="1"/>
  <c r="I24" i="6"/>
  <c r="J24" i="6" s="1"/>
  <c r="K24" i="6" s="1"/>
  <c r="F24" i="6"/>
  <c r="G24" i="6" s="1"/>
  <c r="H24" i="6" s="1"/>
  <c r="I22" i="6"/>
  <c r="J22" i="6" s="1"/>
  <c r="K22" i="6" s="1"/>
  <c r="F22" i="6"/>
  <c r="G22" i="6" s="1"/>
  <c r="H22" i="6" s="1"/>
  <c r="I21" i="6"/>
  <c r="J21" i="6" s="1"/>
  <c r="K21" i="6" s="1"/>
  <c r="F21" i="6"/>
  <c r="G21" i="6" s="1"/>
  <c r="H21" i="6" s="1"/>
  <c r="I20" i="6"/>
  <c r="J20" i="6" s="1"/>
  <c r="K20" i="6" s="1"/>
  <c r="F20" i="6"/>
  <c r="G20" i="6" s="1"/>
  <c r="H20" i="6" s="1"/>
  <c r="I19" i="6"/>
  <c r="J19" i="6" s="1"/>
  <c r="K19" i="6" s="1"/>
  <c r="G19" i="6"/>
  <c r="H19" i="6" s="1"/>
  <c r="F19" i="6"/>
  <c r="I18" i="6"/>
  <c r="J18" i="6" s="1"/>
  <c r="K18" i="6" s="1"/>
  <c r="F18" i="6"/>
  <c r="G18" i="6" s="1"/>
  <c r="H18" i="6" s="1"/>
  <c r="I17" i="6"/>
  <c r="J17" i="6" s="1"/>
  <c r="K17" i="6" s="1"/>
  <c r="F17" i="6"/>
  <c r="G17" i="6" s="1"/>
  <c r="H17" i="6" s="1"/>
  <c r="I15" i="6"/>
  <c r="J15" i="6" s="1"/>
  <c r="K15" i="6" s="1"/>
  <c r="F15" i="6"/>
  <c r="G15" i="6" s="1"/>
  <c r="H15" i="6" s="1"/>
  <c r="I14" i="6"/>
  <c r="J14" i="6" s="1"/>
  <c r="K14" i="6" s="1"/>
  <c r="G14" i="6"/>
  <c r="H14" i="6" s="1"/>
  <c r="F14" i="6"/>
  <c r="I13" i="6"/>
  <c r="J13" i="6" s="1"/>
  <c r="K13" i="6" s="1"/>
  <c r="F13" i="6"/>
  <c r="G13" i="6" s="1"/>
  <c r="H13" i="6" s="1"/>
  <c r="K12" i="6"/>
  <c r="I12" i="6"/>
  <c r="J12" i="6" s="1"/>
  <c r="F12" i="6"/>
  <c r="G12" i="6" s="1"/>
  <c r="H12" i="6" s="1"/>
  <c r="I11" i="6"/>
  <c r="J11" i="6" s="1"/>
  <c r="K11" i="6" s="1"/>
  <c r="F11" i="6"/>
  <c r="G11" i="6" s="1"/>
  <c r="H11" i="6" s="1"/>
  <c r="I10" i="6"/>
  <c r="J10" i="6" s="1"/>
  <c r="K10" i="6" s="1"/>
  <c r="F10" i="6"/>
  <c r="G10" i="6" s="1"/>
  <c r="H10" i="6" s="1"/>
  <c r="K8" i="6"/>
  <c r="I8" i="6"/>
  <c r="J8" i="6" s="1"/>
  <c r="F8" i="6"/>
  <c r="G8" i="6" s="1"/>
  <c r="H8" i="6" s="1"/>
  <c r="I7" i="6"/>
  <c r="J7" i="6" s="1"/>
  <c r="K7" i="6" s="1"/>
  <c r="F7" i="6"/>
  <c r="G7" i="6" s="1"/>
  <c r="H7" i="6" s="1"/>
  <c r="I6" i="6"/>
  <c r="J6" i="6" s="1"/>
  <c r="K6" i="6" s="1"/>
  <c r="F6" i="6"/>
  <c r="G6" i="6" s="1"/>
  <c r="H6" i="6" s="1"/>
  <c r="I5" i="6"/>
  <c r="J5" i="6" s="1"/>
  <c r="K5" i="6" s="1"/>
  <c r="F5" i="6"/>
  <c r="G5" i="6" s="1"/>
  <c r="H5" i="6" s="1"/>
  <c r="I4" i="6"/>
  <c r="J4" i="6" s="1"/>
  <c r="K4" i="6" s="1"/>
  <c r="F4" i="6"/>
  <c r="G4" i="6" s="1"/>
  <c r="H4" i="6" s="1"/>
  <c r="I3" i="6"/>
  <c r="F3" i="6"/>
  <c r="G3" i="6" s="1"/>
  <c r="H3" i="6" s="1"/>
  <c r="I80" i="19"/>
  <c r="J80" i="19" s="1"/>
  <c r="K80" i="19" s="1"/>
  <c r="G80" i="19"/>
  <c r="H80" i="19" s="1"/>
  <c r="F80" i="19"/>
  <c r="I79" i="19"/>
  <c r="J79" i="19" s="1"/>
  <c r="K79" i="19" s="1"/>
  <c r="F79" i="19"/>
  <c r="G79" i="19" s="1"/>
  <c r="H79" i="19" s="1"/>
  <c r="I78" i="19"/>
  <c r="J78" i="19" s="1"/>
  <c r="K78" i="19" s="1"/>
  <c r="G78" i="19"/>
  <c r="H78" i="19" s="1"/>
  <c r="F78" i="19"/>
  <c r="I77" i="19"/>
  <c r="J77" i="19" s="1"/>
  <c r="K77" i="19" s="1"/>
  <c r="G77" i="19"/>
  <c r="H77" i="19" s="1"/>
  <c r="F77" i="19"/>
  <c r="I76" i="19"/>
  <c r="J76" i="19" s="1"/>
  <c r="K76" i="19" s="1"/>
  <c r="F76" i="19"/>
  <c r="G76" i="19" s="1"/>
  <c r="H76" i="19" s="1"/>
  <c r="I74" i="19"/>
  <c r="J74" i="19" s="1"/>
  <c r="K74" i="19" s="1"/>
  <c r="F74" i="19"/>
  <c r="G74" i="19" s="1"/>
  <c r="H74" i="19" s="1"/>
  <c r="I73" i="19"/>
  <c r="J73" i="19" s="1"/>
  <c r="K73" i="19" s="1"/>
  <c r="F73" i="19"/>
  <c r="G73" i="19" s="1"/>
  <c r="H73" i="19" s="1"/>
  <c r="I72" i="19"/>
  <c r="J72" i="19" s="1"/>
  <c r="K72" i="19" s="1"/>
  <c r="F72" i="19"/>
  <c r="G72" i="19" s="1"/>
  <c r="H72" i="19" s="1"/>
  <c r="I71" i="19"/>
  <c r="J71" i="19" s="1"/>
  <c r="K71" i="19" s="1"/>
  <c r="G71" i="19"/>
  <c r="H71" i="19" s="1"/>
  <c r="F71" i="19"/>
  <c r="I70" i="19"/>
  <c r="J70" i="19" s="1"/>
  <c r="K70" i="19" s="1"/>
  <c r="F70" i="19"/>
  <c r="G70" i="19" s="1"/>
  <c r="H70" i="19" s="1"/>
  <c r="I69" i="19"/>
  <c r="J69" i="19" s="1"/>
  <c r="K69" i="19" s="1"/>
  <c r="F69" i="19"/>
  <c r="G69" i="19" s="1"/>
  <c r="H69" i="19" s="1"/>
  <c r="I68" i="19"/>
  <c r="J68" i="19" s="1"/>
  <c r="K68" i="19" s="1"/>
  <c r="G68" i="19"/>
  <c r="H68" i="19" s="1"/>
  <c r="F68" i="19"/>
  <c r="J67" i="19"/>
  <c r="K67" i="19" s="1"/>
  <c r="I67" i="19"/>
  <c r="F67" i="19"/>
  <c r="G67" i="19" s="1"/>
  <c r="H67" i="19" s="1"/>
  <c r="I65" i="19"/>
  <c r="J65" i="19" s="1"/>
  <c r="K65" i="19" s="1"/>
  <c r="F65" i="19"/>
  <c r="G65" i="19" s="1"/>
  <c r="H65" i="19" s="1"/>
  <c r="K64" i="19"/>
  <c r="J64" i="19"/>
  <c r="I64" i="19"/>
  <c r="F64" i="19"/>
  <c r="G64" i="19" s="1"/>
  <c r="H64" i="19" s="1"/>
  <c r="I63" i="19"/>
  <c r="J63" i="19" s="1"/>
  <c r="K63" i="19" s="1"/>
  <c r="F63" i="19"/>
  <c r="G63" i="19" s="1"/>
  <c r="H63" i="19" s="1"/>
  <c r="I62" i="19"/>
  <c r="J62" i="19" s="1"/>
  <c r="K62" i="19" s="1"/>
  <c r="G62" i="19"/>
  <c r="H62" i="19" s="1"/>
  <c r="F62" i="19"/>
  <c r="I60" i="19"/>
  <c r="J60" i="19" s="1"/>
  <c r="K60" i="19" s="1"/>
  <c r="F60" i="19"/>
  <c r="G60" i="19" s="1"/>
  <c r="H60" i="19" s="1"/>
  <c r="I59" i="19"/>
  <c r="J59" i="19" s="1"/>
  <c r="K59" i="19" s="1"/>
  <c r="G59" i="19"/>
  <c r="H59" i="19" s="1"/>
  <c r="F59" i="19"/>
  <c r="I58" i="19"/>
  <c r="J58" i="19" s="1"/>
  <c r="K58" i="19" s="1"/>
  <c r="F58" i="19"/>
  <c r="G58" i="19" s="1"/>
  <c r="H58" i="19" s="1"/>
  <c r="K57" i="19"/>
  <c r="I57" i="19"/>
  <c r="J57" i="19" s="1"/>
  <c r="F57" i="19"/>
  <c r="G57" i="19" s="1"/>
  <c r="H57" i="19" s="1"/>
  <c r="I55" i="19"/>
  <c r="J55" i="19" s="1"/>
  <c r="K55" i="19" s="1"/>
  <c r="F55" i="19"/>
  <c r="G55" i="19" s="1"/>
  <c r="H55" i="19" s="1"/>
  <c r="J54" i="19"/>
  <c r="K54" i="19" s="1"/>
  <c r="I54" i="19"/>
  <c r="F54" i="19"/>
  <c r="G54" i="19" s="1"/>
  <c r="H54" i="19" s="1"/>
  <c r="I53" i="19"/>
  <c r="J53" i="19" s="1"/>
  <c r="K53" i="19" s="1"/>
  <c r="F53" i="19"/>
  <c r="G53" i="19" s="1"/>
  <c r="H53" i="19" s="1"/>
  <c r="J52" i="19"/>
  <c r="K52" i="19" s="1"/>
  <c r="I52" i="19"/>
  <c r="F52" i="19"/>
  <c r="G52" i="19" s="1"/>
  <c r="H52" i="19" s="1"/>
  <c r="I50" i="19"/>
  <c r="J50" i="19" s="1"/>
  <c r="K50" i="19" s="1"/>
  <c r="F50" i="19"/>
  <c r="G50" i="19" s="1"/>
  <c r="H50" i="19" s="1"/>
  <c r="I49" i="19"/>
  <c r="J49" i="19" s="1"/>
  <c r="K49" i="19" s="1"/>
  <c r="G49" i="19"/>
  <c r="H49" i="19" s="1"/>
  <c r="F49" i="19"/>
  <c r="I48" i="19"/>
  <c r="J48" i="19" s="1"/>
  <c r="K48" i="19" s="1"/>
  <c r="F48" i="19"/>
  <c r="G48" i="19" s="1"/>
  <c r="H48" i="19" s="1"/>
  <c r="I47" i="19"/>
  <c r="J47" i="19" s="1"/>
  <c r="K47" i="19" s="1"/>
  <c r="G47" i="19"/>
  <c r="H47" i="19" s="1"/>
  <c r="F47" i="19"/>
  <c r="I46" i="19"/>
  <c r="J46" i="19" s="1"/>
  <c r="K46" i="19" s="1"/>
  <c r="F46" i="19"/>
  <c r="G46" i="19" s="1"/>
  <c r="H46" i="19" s="1"/>
  <c r="J45" i="19"/>
  <c r="K45" i="19" s="1"/>
  <c r="I45" i="19"/>
  <c r="F45" i="19"/>
  <c r="G45" i="19" s="1"/>
  <c r="H45" i="19" s="1"/>
  <c r="I43" i="19"/>
  <c r="J43" i="19" s="1"/>
  <c r="K43" i="19" s="1"/>
  <c r="F43" i="19"/>
  <c r="G43" i="19" s="1"/>
  <c r="H43" i="19" s="1"/>
  <c r="I42" i="19"/>
  <c r="J42" i="19" s="1"/>
  <c r="K42" i="19" s="1"/>
  <c r="F42" i="19"/>
  <c r="G42" i="19" s="1"/>
  <c r="H42" i="19" s="1"/>
  <c r="I41" i="19"/>
  <c r="J41" i="19" s="1"/>
  <c r="K41" i="19" s="1"/>
  <c r="F41" i="19"/>
  <c r="G41" i="19" s="1"/>
  <c r="H41" i="19" s="1"/>
  <c r="I40" i="19"/>
  <c r="J40" i="19" s="1"/>
  <c r="K40" i="19" s="1"/>
  <c r="G40" i="19"/>
  <c r="H40" i="19" s="1"/>
  <c r="F40" i="19"/>
  <c r="I38" i="19"/>
  <c r="J38" i="19" s="1"/>
  <c r="K38" i="19" s="1"/>
  <c r="F38" i="19"/>
  <c r="G38" i="19" s="1"/>
  <c r="H38" i="19" s="1"/>
  <c r="I37" i="19"/>
  <c r="J37" i="19" s="1"/>
  <c r="K37" i="19" s="1"/>
  <c r="G37" i="19"/>
  <c r="H37" i="19" s="1"/>
  <c r="F37" i="19"/>
  <c r="I36" i="19"/>
  <c r="J36" i="19" s="1"/>
  <c r="K36" i="19" s="1"/>
  <c r="F36" i="19"/>
  <c r="G36" i="19" s="1"/>
  <c r="H36" i="19" s="1"/>
  <c r="I35" i="19"/>
  <c r="J35" i="19" s="1"/>
  <c r="K35" i="19" s="1"/>
  <c r="F35" i="19"/>
  <c r="G35" i="19" s="1"/>
  <c r="H35" i="19" s="1"/>
  <c r="I34" i="19"/>
  <c r="J34" i="19" s="1"/>
  <c r="K34" i="19" s="1"/>
  <c r="F34" i="19"/>
  <c r="G34" i="19" s="1"/>
  <c r="H34" i="19" s="1"/>
  <c r="I33" i="19"/>
  <c r="J33" i="19" s="1"/>
  <c r="K33" i="19" s="1"/>
  <c r="F33" i="19"/>
  <c r="G33" i="19" s="1"/>
  <c r="H33" i="19" s="1"/>
  <c r="I31" i="19"/>
  <c r="J31" i="19" s="1"/>
  <c r="K31" i="19" s="1"/>
  <c r="F31" i="19"/>
  <c r="G31" i="19" s="1"/>
  <c r="H31" i="19" s="1"/>
  <c r="I30" i="19"/>
  <c r="J30" i="19" s="1"/>
  <c r="K30" i="19" s="1"/>
  <c r="G30" i="19"/>
  <c r="H30" i="19" s="1"/>
  <c r="F30" i="19"/>
  <c r="I29" i="19"/>
  <c r="J29" i="19" s="1"/>
  <c r="K29" i="19" s="1"/>
  <c r="F29" i="19"/>
  <c r="G29" i="19" s="1"/>
  <c r="H29" i="19" s="1"/>
  <c r="I28" i="19"/>
  <c r="J28" i="19" s="1"/>
  <c r="K28" i="19" s="1"/>
  <c r="F28" i="19"/>
  <c r="G28" i="19" s="1"/>
  <c r="H28" i="19" s="1"/>
  <c r="I27" i="19"/>
  <c r="J27" i="19" s="1"/>
  <c r="K27" i="19" s="1"/>
  <c r="F27" i="19"/>
  <c r="G27" i="19" s="1"/>
  <c r="H27" i="19" s="1"/>
  <c r="J26" i="19"/>
  <c r="K26" i="19" s="1"/>
  <c r="I26" i="19"/>
  <c r="F26" i="19"/>
  <c r="G26" i="19" s="1"/>
  <c r="H26" i="19" s="1"/>
  <c r="I25" i="19"/>
  <c r="J25" i="19" s="1"/>
  <c r="K25" i="19" s="1"/>
  <c r="F25" i="19"/>
  <c r="G25" i="19" s="1"/>
  <c r="H25" i="19" s="1"/>
  <c r="I24" i="19"/>
  <c r="J24" i="19" s="1"/>
  <c r="K24" i="19" s="1"/>
  <c r="F24" i="19"/>
  <c r="G24" i="19" s="1"/>
  <c r="H24" i="19" s="1"/>
  <c r="I23" i="19"/>
  <c r="J23" i="19" s="1"/>
  <c r="K23" i="19" s="1"/>
  <c r="F23" i="19"/>
  <c r="G23" i="19" s="1"/>
  <c r="H23" i="19" s="1"/>
  <c r="I22" i="19"/>
  <c r="J22" i="19" s="1"/>
  <c r="K22" i="19" s="1"/>
  <c r="F22" i="19"/>
  <c r="G22" i="19" s="1"/>
  <c r="H22" i="19" s="1"/>
  <c r="I20" i="19"/>
  <c r="J20" i="19" s="1"/>
  <c r="K20" i="19" s="1"/>
  <c r="F20" i="19"/>
  <c r="G20" i="19" s="1"/>
  <c r="H20" i="19" s="1"/>
  <c r="I19" i="19"/>
  <c r="J19" i="19" s="1"/>
  <c r="K19" i="19" s="1"/>
  <c r="F19" i="19"/>
  <c r="G19" i="19" s="1"/>
  <c r="H19" i="19" s="1"/>
  <c r="I18" i="19"/>
  <c r="J18" i="19" s="1"/>
  <c r="K18" i="19" s="1"/>
  <c r="F18" i="19"/>
  <c r="G18" i="19" s="1"/>
  <c r="H18" i="19" s="1"/>
  <c r="J17" i="19"/>
  <c r="K17" i="19" s="1"/>
  <c r="I17" i="19"/>
  <c r="F17" i="19"/>
  <c r="G17" i="19" s="1"/>
  <c r="H17" i="19" s="1"/>
  <c r="I15" i="19"/>
  <c r="J15" i="19" s="1"/>
  <c r="K15" i="19" s="1"/>
  <c r="G15" i="19"/>
  <c r="H15" i="19" s="1"/>
  <c r="F15" i="19"/>
  <c r="I14" i="19"/>
  <c r="J14" i="19" s="1"/>
  <c r="K14" i="19" s="1"/>
  <c r="F14" i="19"/>
  <c r="G14" i="19" s="1"/>
  <c r="H14" i="19" s="1"/>
  <c r="I13" i="19"/>
  <c r="J13" i="19" s="1"/>
  <c r="K13" i="19" s="1"/>
  <c r="G13" i="19"/>
  <c r="H13" i="19" s="1"/>
  <c r="F13" i="19"/>
  <c r="I12" i="19"/>
  <c r="J12" i="19" s="1"/>
  <c r="K12" i="19" s="1"/>
  <c r="F12" i="19"/>
  <c r="G12" i="19" s="1"/>
  <c r="H12" i="19" s="1"/>
  <c r="I11" i="19"/>
  <c r="J11" i="19" s="1"/>
  <c r="K11" i="19" s="1"/>
  <c r="F11" i="19"/>
  <c r="G11" i="19" s="1"/>
  <c r="H11" i="19" s="1"/>
  <c r="I10" i="19"/>
  <c r="J10" i="19" s="1"/>
  <c r="K10" i="19" s="1"/>
  <c r="F10" i="19"/>
  <c r="G10" i="19" s="1"/>
  <c r="H10" i="19" s="1"/>
  <c r="I8" i="19"/>
  <c r="J8" i="19" s="1"/>
  <c r="K8" i="19" s="1"/>
  <c r="F8" i="19"/>
  <c r="G8" i="19" s="1"/>
  <c r="H8" i="19" s="1"/>
  <c r="J7" i="19"/>
  <c r="K7" i="19" s="1"/>
  <c r="I7" i="19"/>
  <c r="F7" i="19"/>
  <c r="G7" i="19" s="1"/>
  <c r="H7" i="19" s="1"/>
  <c r="I6" i="19"/>
  <c r="J6" i="19" s="1"/>
  <c r="K6" i="19" s="1"/>
  <c r="F6" i="19"/>
  <c r="G6" i="19" s="1"/>
  <c r="H6" i="19" s="1"/>
  <c r="I5" i="19"/>
  <c r="J5" i="19" s="1"/>
  <c r="K5" i="19" s="1"/>
  <c r="F5" i="19"/>
  <c r="G5" i="19" s="1"/>
  <c r="H5" i="19" s="1"/>
  <c r="I4" i="19"/>
  <c r="J4" i="19" s="1"/>
  <c r="K4" i="19" s="1"/>
  <c r="F4" i="19"/>
  <c r="G4" i="19" s="1"/>
  <c r="H4" i="19" s="1"/>
  <c r="I3" i="19"/>
  <c r="J3" i="19" s="1"/>
  <c r="F3" i="19"/>
  <c r="G3" i="19" s="1"/>
  <c r="H3" i="19" s="1"/>
  <c r="I127" i="5"/>
  <c r="J127" i="5" s="1"/>
  <c r="K127" i="5" s="1"/>
  <c r="F127" i="5"/>
  <c r="G127" i="5" s="1"/>
  <c r="H127" i="5" s="1"/>
  <c r="I126" i="5"/>
  <c r="J126" i="5" s="1"/>
  <c r="K126" i="5" s="1"/>
  <c r="F126" i="5"/>
  <c r="G126" i="5" s="1"/>
  <c r="H126" i="5" s="1"/>
  <c r="I125" i="5"/>
  <c r="J125" i="5" s="1"/>
  <c r="K125" i="5" s="1"/>
  <c r="F125" i="5"/>
  <c r="G125" i="5" s="1"/>
  <c r="H125" i="5" s="1"/>
  <c r="I124" i="5"/>
  <c r="J124" i="5" s="1"/>
  <c r="K124" i="5" s="1"/>
  <c r="F124" i="5"/>
  <c r="G124" i="5" s="1"/>
  <c r="H124" i="5" s="1"/>
  <c r="I122" i="5"/>
  <c r="J122" i="5" s="1"/>
  <c r="K122" i="5" s="1"/>
  <c r="F122" i="5"/>
  <c r="G122" i="5" s="1"/>
  <c r="H122" i="5" s="1"/>
  <c r="I121" i="5"/>
  <c r="J121" i="5" s="1"/>
  <c r="K121" i="5" s="1"/>
  <c r="F121" i="5"/>
  <c r="G121" i="5" s="1"/>
  <c r="H121" i="5" s="1"/>
  <c r="I120" i="5"/>
  <c r="J120" i="5" s="1"/>
  <c r="K120" i="5" s="1"/>
  <c r="F120" i="5"/>
  <c r="G120" i="5" s="1"/>
  <c r="H120" i="5" s="1"/>
  <c r="I119" i="5"/>
  <c r="J119" i="5" s="1"/>
  <c r="K119" i="5" s="1"/>
  <c r="F119" i="5"/>
  <c r="G119" i="5" s="1"/>
  <c r="H119" i="5" s="1"/>
  <c r="I117" i="5"/>
  <c r="J117" i="5" s="1"/>
  <c r="K117" i="5" s="1"/>
  <c r="F117" i="5"/>
  <c r="G117" i="5" s="1"/>
  <c r="H117" i="5" s="1"/>
  <c r="I116" i="5"/>
  <c r="J116" i="5" s="1"/>
  <c r="K116" i="5" s="1"/>
  <c r="F116" i="5"/>
  <c r="G116" i="5" s="1"/>
  <c r="H116" i="5" s="1"/>
  <c r="I115" i="5"/>
  <c r="J115" i="5" s="1"/>
  <c r="K115" i="5" s="1"/>
  <c r="F115" i="5"/>
  <c r="G115" i="5" s="1"/>
  <c r="H115" i="5" s="1"/>
  <c r="I114" i="5"/>
  <c r="J114" i="5" s="1"/>
  <c r="K114" i="5" s="1"/>
  <c r="F114" i="5"/>
  <c r="G114" i="5" s="1"/>
  <c r="H114" i="5" s="1"/>
  <c r="I113" i="5"/>
  <c r="J113" i="5" s="1"/>
  <c r="K113" i="5" s="1"/>
  <c r="F113" i="5"/>
  <c r="G113" i="5" s="1"/>
  <c r="H113" i="5" s="1"/>
  <c r="I112" i="5"/>
  <c r="J112" i="5" s="1"/>
  <c r="K112" i="5" s="1"/>
  <c r="F112" i="5"/>
  <c r="G112" i="5" s="1"/>
  <c r="H112" i="5" s="1"/>
  <c r="I109" i="5"/>
  <c r="J109" i="5" s="1"/>
  <c r="K109" i="5" s="1"/>
  <c r="F109" i="5"/>
  <c r="G109" i="5" s="1"/>
  <c r="H109" i="5" s="1"/>
  <c r="J108" i="5"/>
  <c r="K108" i="5" s="1"/>
  <c r="I108" i="5"/>
  <c r="F108" i="5"/>
  <c r="G108" i="5" s="1"/>
  <c r="H108" i="5" s="1"/>
  <c r="I107" i="5"/>
  <c r="J107" i="5" s="1"/>
  <c r="K107" i="5" s="1"/>
  <c r="F107" i="5"/>
  <c r="G107" i="5" s="1"/>
  <c r="H107" i="5" s="1"/>
  <c r="I105" i="5"/>
  <c r="J105" i="5" s="1"/>
  <c r="K105" i="5" s="1"/>
  <c r="F105" i="5"/>
  <c r="G105" i="5" s="1"/>
  <c r="H105" i="5" s="1"/>
  <c r="I104" i="5"/>
  <c r="J104" i="5" s="1"/>
  <c r="K104" i="5" s="1"/>
  <c r="F104" i="5"/>
  <c r="G104" i="5" s="1"/>
  <c r="H104" i="5" s="1"/>
  <c r="I102" i="5"/>
  <c r="J102" i="5" s="1"/>
  <c r="K102" i="5" s="1"/>
  <c r="F102" i="5"/>
  <c r="G102" i="5" s="1"/>
  <c r="H102" i="5" s="1"/>
  <c r="I101" i="5"/>
  <c r="J101" i="5" s="1"/>
  <c r="K101" i="5" s="1"/>
  <c r="F101" i="5"/>
  <c r="G101" i="5" s="1"/>
  <c r="H101" i="5" s="1"/>
  <c r="I100" i="5"/>
  <c r="J100" i="5" s="1"/>
  <c r="K100" i="5" s="1"/>
  <c r="F100" i="5"/>
  <c r="G100" i="5" s="1"/>
  <c r="H100" i="5" s="1"/>
  <c r="I99" i="5"/>
  <c r="J99" i="5" s="1"/>
  <c r="K99" i="5" s="1"/>
  <c r="F99" i="5"/>
  <c r="G99" i="5" s="1"/>
  <c r="H99" i="5" s="1"/>
  <c r="I97" i="5"/>
  <c r="J97" i="5" s="1"/>
  <c r="K97" i="5" s="1"/>
  <c r="F97" i="5"/>
  <c r="G97" i="5" s="1"/>
  <c r="H97" i="5" s="1"/>
  <c r="I96" i="5"/>
  <c r="J96" i="5" s="1"/>
  <c r="K96" i="5" s="1"/>
  <c r="F96" i="5"/>
  <c r="G96" i="5" s="1"/>
  <c r="H96" i="5" s="1"/>
  <c r="I95" i="5"/>
  <c r="J95" i="5" s="1"/>
  <c r="K95" i="5" s="1"/>
  <c r="F95" i="5"/>
  <c r="G95" i="5" s="1"/>
  <c r="H95" i="5" s="1"/>
  <c r="I94" i="5"/>
  <c r="J94" i="5" s="1"/>
  <c r="K94" i="5" s="1"/>
  <c r="F94" i="5"/>
  <c r="G94" i="5" s="1"/>
  <c r="H94" i="5" s="1"/>
  <c r="I92" i="5"/>
  <c r="J92" i="5" s="1"/>
  <c r="K92" i="5" s="1"/>
  <c r="F92" i="5"/>
  <c r="G92" i="5" s="1"/>
  <c r="H92" i="5" s="1"/>
  <c r="J91" i="5"/>
  <c r="K91" i="5" s="1"/>
  <c r="I91" i="5"/>
  <c r="F91" i="5"/>
  <c r="G91" i="5" s="1"/>
  <c r="H91" i="5" s="1"/>
  <c r="I90" i="5"/>
  <c r="J90" i="5" s="1"/>
  <c r="K90" i="5" s="1"/>
  <c r="F90" i="5"/>
  <c r="G90" i="5" s="1"/>
  <c r="H90" i="5" s="1"/>
  <c r="I89" i="5"/>
  <c r="J89" i="5" s="1"/>
  <c r="K89" i="5" s="1"/>
  <c r="F89" i="5"/>
  <c r="G89" i="5" s="1"/>
  <c r="H89" i="5" s="1"/>
  <c r="I88" i="5"/>
  <c r="J88" i="5" s="1"/>
  <c r="K88" i="5" s="1"/>
  <c r="F88" i="5"/>
  <c r="G88" i="5" s="1"/>
  <c r="H88" i="5" s="1"/>
  <c r="I87" i="5"/>
  <c r="J87" i="5" s="1"/>
  <c r="K87" i="5" s="1"/>
  <c r="F87" i="5"/>
  <c r="G87" i="5" s="1"/>
  <c r="H87" i="5" s="1"/>
  <c r="I85" i="5"/>
  <c r="J85" i="5" s="1"/>
  <c r="K85" i="5" s="1"/>
  <c r="F85" i="5"/>
  <c r="G85" i="5" s="1"/>
  <c r="H85" i="5" s="1"/>
  <c r="I84" i="5"/>
  <c r="J84" i="5" s="1"/>
  <c r="K84" i="5" s="1"/>
  <c r="F84" i="5"/>
  <c r="G84" i="5" s="1"/>
  <c r="H84" i="5" s="1"/>
  <c r="I83" i="5"/>
  <c r="J83" i="5" s="1"/>
  <c r="K83" i="5" s="1"/>
  <c r="F83" i="5"/>
  <c r="G83" i="5" s="1"/>
  <c r="H83" i="5" s="1"/>
  <c r="I82" i="5"/>
  <c r="J82" i="5" s="1"/>
  <c r="K82" i="5" s="1"/>
  <c r="F82" i="5"/>
  <c r="G82" i="5" s="1"/>
  <c r="H82" i="5" s="1"/>
  <c r="I81" i="5"/>
  <c r="J81" i="5" s="1"/>
  <c r="K81" i="5" s="1"/>
  <c r="F81" i="5"/>
  <c r="G81" i="5" s="1"/>
  <c r="H81" i="5" s="1"/>
  <c r="I80" i="5"/>
  <c r="J80" i="5" s="1"/>
  <c r="K80" i="5" s="1"/>
  <c r="F80" i="5"/>
  <c r="G80" i="5" s="1"/>
  <c r="H80" i="5" s="1"/>
  <c r="I78" i="5"/>
  <c r="J78" i="5" s="1"/>
  <c r="K78" i="5" s="1"/>
  <c r="F78" i="5"/>
  <c r="G78" i="5" s="1"/>
  <c r="H78" i="5" s="1"/>
  <c r="I77" i="5"/>
  <c r="J77" i="5" s="1"/>
  <c r="K77" i="5" s="1"/>
  <c r="F77" i="5"/>
  <c r="G77" i="5" s="1"/>
  <c r="H77" i="5" s="1"/>
  <c r="I76" i="5"/>
  <c r="J76" i="5" s="1"/>
  <c r="K76" i="5" s="1"/>
  <c r="F76" i="5"/>
  <c r="G76" i="5" s="1"/>
  <c r="H76" i="5" s="1"/>
  <c r="I75" i="5"/>
  <c r="J75" i="5" s="1"/>
  <c r="K75" i="5" s="1"/>
  <c r="F75" i="5"/>
  <c r="G75" i="5" s="1"/>
  <c r="H75" i="5" s="1"/>
  <c r="I73" i="5"/>
  <c r="J73" i="5" s="1"/>
  <c r="K73" i="5" s="1"/>
  <c r="F73" i="5"/>
  <c r="G73" i="5" s="1"/>
  <c r="H73" i="5" s="1"/>
  <c r="I72" i="5"/>
  <c r="J72" i="5" s="1"/>
  <c r="K72" i="5" s="1"/>
  <c r="F72" i="5"/>
  <c r="G72" i="5" s="1"/>
  <c r="H72" i="5" s="1"/>
  <c r="I71" i="5"/>
  <c r="J71" i="5" s="1"/>
  <c r="K71" i="5" s="1"/>
  <c r="F71" i="5"/>
  <c r="G71" i="5" s="1"/>
  <c r="H71" i="5" s="1"/>
  <c r="I70" i="5"/>
  <c r="J70" i="5" s="1"/>
  <c r="K70" i="5" s="1"/>
  <c r="F70" i="5"/>
  <c r="G70" i="5" s="1"/>
  <c r="H70" i="5" s="1"/>
  <c r="I68" i="5"/>
  <c r="J68" i="5" s="1"/>
  <c r="K68" i="5" s="1"/>
  <c r="F68" i="5"/>
  <c r="G68" i="5" s="1"/>
  <c r="H68" i="5" s="1"/>
  <c r="I67" i="5"/>
  <c r="J67" i="5" s="1"/>
  <c r="K67" i="5" s="1"/>
  <c r="F67" i="5"/>
  <c r="G67" i="5" s="1"/>
  <c r="H67" i="5" s="1"/>
  <c r="I66" i="5"/>
  <c r="J66" i="5" s="1"/>
  <c r="K66" i="5" s="1"/>
  <c r="F66" i="5"/>
  <c r="G66" i="5" s="1"/>
  <c r="H66" i="5" s="1"/>
  <c r="I65" i="5"/>
  <c r="J65" i="5" s="1"/>
  <c r="K65" i="5" s="1"/>
  <c r="F65" i="5"/>
  <c r="G65" i="5" s="1"/>
  <c r="H65" i="5" s="1"/>
  <c r="I64" i="5"/>
  <c r="J64" i="5" s="1"/>
  <c r="K64" i="5" s="1"/>
  <c r="F64" i="5"/>
  <c r="G64" i="5" s="1"/>
  <c r="H64" i="5" s="1"/>
  <c r="I63" i="5"/>
  <c r="J63" i="5" s="1"/>
  <c r="K63" i="5" s="1"/>
  <c r="F63" i="5"/>
  <c r="G63" i="5" s="1"/>
  <c r="H63" i="5" s="1"/>
  <c r="I60" i="5"/>
  <c r="J60" i="5" s="1"/>
  <c r="K60" i="5" s="1"/>
  <c r="F60" i="5"/>
  <c r="G60" i="5" s="1"/>
  <c r="H60" i="5" s="1"/>
  <c r="I59" i="5"/>
  <c r="J59" i="5" s="1"/>
  <c r="K59" i="5" s="1"/>
  <c r="F59" i="5"/>
  <c r="G59" i="5" s="1"/>
  <c r="H59" i="5" s="1"/>
  <c r="I58" i="5"/>
  <c r="J58" i="5" s="1"/>
  <c r="K58" i="5" s="1"/>
  <c r="F58" i="5"/>
  <c r="G58" i="5" s="1"/>
  <c r="H58" i="5" s="1"/>
  <c r="I57" i="5"/>
  <c r="J57" i="5" s="1"/>
  <c r="K57" i="5" s="1"/>
  <c r="F57" i="5"/>
  <c r="G57" i="5" s="1"/>
  <c r="H57" i="5" s="1"/>
  <c r="I55" i="5"/>
  <c r="J55" i="5" s="1"/>
  <c r="K55" i="5" s="1"/>
  <c r="F55" i="5"/>
  <c r="G55" i="5" s="1"/>
  <c r="H55" i="5" s="1"/>
  <c r="I54" i="5"/>
  <c r="J54" i="5" s="1"/>
  <c r="K54" i="5" s="1"/>
  <c r="F54" i="5"/>
  <c r="G54" i="5" s="1"/>
  <c r="H54" i="5" s="1"/>
  <c r="I53" i="5"/>
  <c r="J53" i="5" s="1"/>
  <c r="K53" i="5" s="1"/>
  <c r="F53" i="5"/>
  <c r="G53" i="5" s="1"/>
  <c r="H53" i="5" s="1"/>
  <c r="I52" i="5"/>
  <c r="J52" i="5" s="1"/>
  <c r="K52" i="5" s="1"/>
  <c r="F52" i="5"/>
  <c r="G52" i="5" s="1"/>
  <c r="H52" i="5" s="1"/>
  <c r="I50" i="5"/>
  <c r="J50" i="5" s="1"/>
  <c r="K50" i="5" s="1"/>
  <c r="F50" i="5"/>
  <c r="G50" i="5" s="1"/>
  <c r="H50" i="5" s="1"/>
  <c r="I49" i="5"/>
  <c r="J49" i="5" s="1"/>
  <c r="K49" i="5" s="1"/>
  <c r="F49" i="5"/>
  <c r="G49" i="5" s="1"/>
  <c r="H49" i="5" s="1"/>
  <c r="I48" i="5"/>
  <c r="J48" i="5" s="1"/>
  <c r="K48" i="5" s="1"/>
  <c r="F48" i="5"/>
  <c r="G48" i="5" s="1"/>
  <c r="H48" i="5" s="1"/>
  <c r="I47" i="5"/>
  <c r="J47" i="5" s="1"/>
  <c r="K47" i="5" s="1"/>
  <c r="F47" i="5"/>
  <c r="G47" i="5" s="1"/>
  <c r="H47" i="5" s="1"/>
  <c r="I46" i="5"/>
  <c r="J46" i="5" s="1"/>
  <c r="K46" i="5" s="1"/>
  <c r="F46" i="5"/>
  <c r="G46" i="5" s="1"/>
  <c r="H46" i="5" s="1"/>
  <c r="I45" i="5"/>
  <c r="J45" i="5" s="1"/>
  <c r="K45" i="5" s="1"/>
  <c r="F45" i="5"/>
  <c r="G45" i="5" s="1"/>
  <c r="H45" i="5" s="1"/>
  <c r="I44" i="5"/>
  <c r="J44" i="5" s="1"/>
  <c r="K44" i="5" s="1"/>
  <c r="F44" i="5"/>
  <c r="G44" i="5" s="1"/>
  <c r="H44" i="5" s="1"/>
  <c r="I43" i="5"/>
  <c r="J43" i="5" s="1"/>
  <c r="K43" i="5" s="1"/>
  <c r="F43" i="5"/>
  <c r="G43" i="5" s="1"/>
  <c r="H43" i="5" s="1"/>
  <c r="I41" i="5"/>
  <c r="J41" i="5" s="1"/>
  <c r="K41" i="5" s="1"/>
  <c r="F41" i="5"/>
  <c r="G41" i="5" s="1"/>
  <c r="H41" i="5" s="1"/>
  <c r="I40" i="5"/>
  <c r="J40" i="5" s="1"/>
  <c r="K40" i="5" s="1"/>
  <c r="F40" i="5"/>
  <c r="G40" i="5" s="1"/>
  <c r="H40" i="5" s="1"/>
  <c r="I39" i="5"/>
  <c r="J39" i="5" s="1"/>
  <c r="K39" i="5" s="1"/>
  <c r="F39" i="5"/>
  <c r="G39" i="5" s="1"/>
  <c r="H39" i="5" s="1"/>
  <c r="I38" i="5"/>
  <c r="J38" i="5" s="1"/>
  <c r="K38" i="5" s="1"/>
  <c r="F38" i="5"/>
  <c r="G38" i="5" s="1"/>
  <c r="H38" i="5" s="1"/>
  <c r="I37" i="5"/>
  <c r="J37" i="5" s="1"/>
  <c r="K37" i="5" s="1"/>
  <c r="F37" i="5"/>
  <c r="G37" i="5" s="1"/>
  <c r="H37" i="5" s="1"/>
  <c r="I36" i="5"/>
  <c r="J36" i="5" s="1"/>
  <c r="K36" i="5" s="1"/>
  <c r="F36" i="5"/>
  <c r="G36" i="5" s="1"/>
  <c r="H36" i="5" s="1"/>
  <c r="I35" i="5"/>
  <c r="J35" i="5" s="1"/>
  <c r="K35" i="5" s="1"/>
  <c r="F35" i="5"/>
  <c r="G35" i="5" s="1"/>
  <c r="H35" i="5" s="1"/>
  <c r="J34" i="5"/>
  <c r="K34" i="5" s="1"/>
  <c r="I34" i="5"/>
  <c r="F34" i="5"/>
  <c r="G34" i="5" s="1"/>
  <c r="H34" i="5" s="1"/>
  <c r="I32" i="5"/>
  <c r="J32" i="5" s="1"/>
  <c r="K32" i="5" s="1"/>
  <c r="F32" i="5"/>
  <c r="G32" i="5" s="1"/>
  <c r="H32" i="5" s="1"/>
  <c r="I31" i="5"/>
  <c r="J31" i="5" s="1"/>
  <c r="K31" i="5" s="1"/>
  <c r="F31" i="5"/>
  <c r="G31" i="5" s="1"/>
  <c r="H31" i="5" s="1"/>
  <c r="I30" i="5"/>
  <c r="J30" i="5" s="1"/>
  <c r="K30" i="5" s="1"/>
  <c r="F30" i="5"/>
  <c r="G30" i="5" s="1"/>
  <c r="H30" i="5" s="1"/>
  <c r="I29" i="5"/>
  <c r="J29" i="5" s="1"/>
  <c r="K29" i="5" s="1"/>
  <c r="F29" i="5"/>
  <c r="G29" i="5" s="1"/>
  <c r="H29" i="5" s="1"/>
  <c r="I28" i="5"/>
  <c r="J28" i="5" s="1"/>
  <c r="K28" i="5" s="1"/>
  <c r="F28" i="5"/>
  <c r="G28" i="5" s="1"/>
  <c r="H28" i="5" s="1"/>
  <c r="J27" i="5"/>
  <c r="K27" i="5" s="1"/>
  <c r="I27" i="5"/>
  <c r="F27" i="5"/>
  <c r="G27" i="5" s="1"/>
  <c r="H27" i="5" s="1"/>
  <c r="I26" i="5"/>
  <c r="J26" i="5" s="1"/>
  <c r="K26" i="5" s="1"/>
  <c r="F26" i="5"/>
  <c r="G26" i="5" s="1"/>
  <c r="H26" i="5" s="1"/>
  <c r="I25" i="5"/>
  <c r="J25" i="5" s="1"/>
  <c r="K25" i="5" s="1"/>
  <c r="F25" i="5"/>
  <c r="G25" i="5" s="1"/>
  <c r="H25" i="5" s="1"/>
  <c r="I23" i="5"/>
  <c r="J23" i="5" s="1"/>
  <c r="F23" i="5"/>
  <c r="G23" i="5" s="1"/>
  <c r="H23" i="5" s="1"/>
  <c r="I22" i="5"/>
  <c r="J22" i="5" s="1"/>
  <c r="K22" i="5" s="1"/>
  <c r="F22" i="5"/>
  <c r="G22" i="5" s="1"/>
  <c r="H22" i="5" s="1"/>
  <c r="I21" i="5"/>
  <c r="J21" i="5" s="1"/>
  <c r="K21" i="5" s="1"/>
  <c r="F21" i="5"/>
  <c r="G21" i="5" s="1"/>
  <c r="H21" i="5" s="1"/>
  <c r="I20" i="5"/>
  <c r="J20" i="5" s="1"/>
  <c r="K20" i="5" s="1"/>
  <c r="F20" i="5"/>
  <c r="G20" i="5" s="1"/>
  <c r="H20" i="5" s="1"/>
  <c r="I19" i="5"/>
  <c r="J19" i="5" s="1"/>
  <c r="K19" i="5" s="1"/>
  <c r="F19" i="5"/>
  <c r="G19" i="5" s="1"/>
  <c r="H19" i="5" s="1"/>
  <c r="I18" i="5"/>
  <c r="J18" i="5" s="1"/>
  <c r="K18" i="5" s="1"/>
  <c r="F18" i="5"/>
  <c r="G18" i="5" s="1"/>
  <c r="H18" i="5" s="1"/>
  <c r="I17" i="5"/>
  <c r="J17" i="5" s="1"/>
  <c r="K17" i="5" s="1"/>
  <c r="F17" i="5"/>
  <c r="G17" i="5" s="1"/>
  <c r="H17" i="5" s="1"/>
  <c r="I16" i="5"/>
  <c r="J16" i="5" s="1"/>
  <c r="K16" i="5" s="1"/>
  <c r="F16" i="5"/>
  <c r="G16" i="5" s="1"/>
  <c r="H16" i="5" s="1"/>
  <c r="I15" i="5"/>
  <c r="J15" i="5" s="1"/>
  <c r="K15" i="5" s="1"/>
  <c r="F15" i="5"/>
  <c r="G15" i="5" s="1"/>
  <c r="H15" i="5" s="1"/>
  <c r="I14" i="5"/>
  <c r="J14" i="5" s="1"/>
  <c r="K14" i="5" s="1"/>
  <c r="F14" i="5"/>
  <c r="G14" i="5" s="1"/>
  <c r="H14" i="5" s="1"/>
  <c r="J13" i="5"/>
  <c r="K13" i="5" s="1"/>
  <c r="I13" i="5"/>
  <c r="F13" i="5"/>
  <c r="G13" i="5" s="1"/>
  <c r="H13" i="5" s="1"/>
  <c r="I12" i="5"/>
  <c r="J12" i="5" s="1"/>
  <c r="K12" i="5" s="1"/>
  <c r="F12" i="5"/>
  <c r="G12" i="5" s="1"/>
  <c r="H12" i="5" s="1"/>
  <c r="I10" i="5"/>
  <c r="J10" i="5" s="1"/>
  <c r="K10" i="5" s="1"/>
  <c r="F10" i="5"/>
  <c r="G10" i="5" s="1"/>
  <c r="H10" i="5" s="1"/>
  <c r="I9" i="5"/>
  <c r="J9" i="5" s="1"/>
  <c r="K9" i="5" s="1"/>
  <c r="F9" i="5"/>
  <c r="G9" i="5" s="1"/>
  <c r="H9" i="5" s="1"/>
  <c r="I8" i="5"/>
  <c r="J8" i="5" s="1"/>
  <c r="K8" i="5" s="1"/>
  <c r="F8" i="5"/>
  <c r="G8" i="5" s="1"/>
  <c r="H8" i="5" s="1"/>
  <c r="I7" i="5"/>
  <c r="J7" i="5" s="1"/>
  <c r="K7" i="5" s="1"/>
  <c r="F7" i="5"/>
  <c r="G7" i="5" s="1"/>
  <c r="H7" i="5" s="1"/>
  <c r="I6" i="5"/>
  <c r="J6" i="5" s="1"/>
  <c r="K6" i="5" s="1"/>
  <c r="F6" i="5"/>
  <c r="G6" i="5" s="1"/>
  <c r="H6" i="5" s="1"/>
  <c r="I5" i="5"/>
  <c r="J5" i="5" s="1"/>
  <c r="K5" i="5" s="1"/>
  <c r="F5" i="5"/>
  <c r="G5" i="5" s="1"/>
  <c r="H5" i="5" s="1"/>
  <c r="I4" i="5"/>
  <c r="J4" i="5" s="1"/>
  <c r="K4" i="5" s="1"/>
  <c r="F4" i="5"/>
  <c r="G4" i="5" s="1"/>
  <c r="H4" i="5" s="1"/>
  <c r="I3" i="5"/>
  <c r="F3" i="5"/>
  <c r="G3" i="5" s="1"/>
  <c r="H3" i="5" s="1"/>
  <c r="H15" i="4"/>
  <c r="I15" i="4" s="1"/>
  <c r="J15" i="4" s="1"/>
  <c r="E15" i="4"/>
  <c r="F15" i="4" s="1"/>
  <c r="G15" i="4" s="1"/>
  <c r="H14" i="4"/>
  <c r="I14" i="4" s="1"/>
  <c r="J14" i="4" s="1"/>
  <c r="E14" i="4"/>
  <c r="F14" i="4" s="1"/>
  <c r="G14" i="4" s="1"/>
  <c r="H13" i="4"/>
  <c r="I13" i="4" s="1"/>
  <c r="J13" i="4" s="1"/>
  <c r="E13" i="4"/>
  <c r="F13" i="4" s="1"/>
  <c r="G13" i="4" s="1"/>
  <c r="H12" i="4"/>
  <c r="I12" i="4" s="1"/>
  <c r="J12" i="4" s="1"/>
  <c r="E12" i="4"/>
  <c r="F12" i="4" s="1"/>
  <c r="G12" i="4" s="1"/>
  <c r="H11" i="4"/>
  <c r="I11" i="4" s="1"/>
  <c r="J11" i="4" s="1"/>
  <c r="E11" i="4"/>
  <c r="F11" i="4" s="1"/>
  <c r="G11" i="4" s="1"/>
  <c r="H10" i="4"/>
  <c r="I10" i="4" s="1"/>
  <c r="J10" i="4" s="1"/>
  <c r="E10" i="4"/>
  <c r="F10" i="4" s="1"/>
  <c r="G10" i="4" s="1"/>
  <c r="H9" i="4"/>
  <c r="I9" i="4" s="1"/>
  <c r="J9" i="4" s="1"/>
  <c r="E9" i="4"/>
  <c r="F9" i="4" s="1"/>
  <c r="G9" i="4" s="1"/>
  <c r="H8" i="4"/>
  <c r="I8" i="4" s="1"/>
  <c r="J8" i="4" s="1"/>
  <c r="E8" i="4"/>
  <c r="F8" i="4" s="1"/>
  <c r="G8" i="4" s="1"/>
  <c r="H7" i="4"/>
  <c r="I7" i="4" s="1"/>
  <c r="J7" i="4" s="1"/>
  <c r="E7" i="4"/>
  <c r="F7" i="4" s="1"/>
  <c r="G7" i="4" s="1"/>
  <c r="H6" i="4"/>
  <c r="I6" i="4" s="1"/>
  <c r="J6" i="4" s="1"/>
  <c r="E6" i="4"/>
  <c r="F6" i="4" s="1"/>
  <c r="G6" i="4" s="1"/>
  <c r="H5" i="4"/>
  <c r="I5" i="4" s="1"/>
  <c r="J5" i="4" s="1"/>
  <c r="E5" i="4"/>
  <c r="F5" i="4" s="1"/>
  <c r="G5" i="4" s="1"/>
  <c r="I4" i="4"/>
  <c r="J4" i="4" s="1"/>
  <c r="H4" i="4"/>
  <c r="E4" i="4"/>
  <c r="F4" i="4" s="1"/>
  <c r="G4" i="4" s="1"/>
  <c r="H3" i="4"/>
  <c r="E3" i="4"/>
  <c r="I22" i="3"/>
  <c r="J22" i="3" s="1"/>
  <c r="K22" i="3" s="1"/>
  <c r="F22" i="3"/>
  <c r="G22" i="3" s="1"/>
  <c r="H22" i="3" s="1"/>
  <c r="I21" i="3"/>
  <c r="J21" i="3" s="1"/>
  <c r="K21" i="3" s="1"/>
  <c r="G21" i="3"/>
  <c r="H21" i="3" s="1"/>
  <c r="F21" i="3"/>
  <c r="I20" i="3"/>
  <c r="J20" i="3" s="1"/>
  <c r="K20" i="3" s="1"/>
  <c r="F20" i="3"/>
  <c r="G20" i="3" s="1"/>
  <c r="H20" i="3" s="1"/>
  <c r="I19" i="3"/>
  <c r="J19" i="3" s="1"/>
  <c r="K19" i="3" s="1"/>
  <c r="F19" i="3"/>
  <c r="G19" i="3" s="1"/>
  <c r="H19" i="3" s="1"/>
  <c r="I18" i="3"/>
  <c r="J18" i="3" s="1"/>
  <c r="K18" i="3" s="1"/>
  <c r="F18" i="3"/>
  <c r="G18" i="3" s="1"/>
  <c r="H18" i="3" s="1"/>
  <c r="I17" i="3"/>
  <c r="J17" i="3" s="1"/>
  <c r="K17" i="3" s="1"/>
  <c r="G17" i="3"/>
  <c r="H17" i="3" s="1"/>
  <c r="F17" i="3"/>
  <c r="I16" i="3"/>
  <c r="J16" i="3" s="1"/>
  <c r="K16" i="3" s="1"/>
  <c r="F16" i="3"/>
  <c r="G16" i="3" s="1"/>
  <c r="H16" i="3" s="1"/>
  <c r="I15" i="3"/>
  <c r="J15" i="3" s="1"/>
  <c r="K15" i="3" s="1"/>
  <c r="F15" i="3"/>
  <c r="G15" i="3" s="1"/>
  <c r="H15" i="3" s="1"/>
  <c r="I14" i="3"/>
  <c r="J14" i="3" s="1"/>
  <c r="K14" i="3" s="1"/>
  <c r="F14" i="3"/>
  <c r="G14" i="3" s="1"/>
  <c r="H14" i="3" s="1"/>
  <c r="I13" i="3"/>
  <c r="J13" i="3" s="1"/>
  <c r="K13" i="3" s="1"/>
  <c r="G13" i="3"/>
  <c r="H13" i="3" s="1"/>
  <c r="F13" i="3"/>
  <c r="I12" i="3"/>
  <c r="J12" i="3" s="1"/>
  <c r="K12" i="3" s="1"/>
  <c r="F12" i="3"/>
  <c r="G12" i="3" s="1"/>
  <c r="H12" i="3" s="1"/>
  <c r="I11" i="3"/>
  <c r="J11" i="3" s="1"/>
  <c r="K11" i="3" s="1"/>
  <c r="F11" i="3"/>
  <c r="G11" i="3" s="1"/>
  <c r="H11" i="3" s="1"/>
  <c r="I10" i="3"/>
  <c r="J10" i="3" s="1"/>
  <c r="K10" i="3" s="1"/>
  <c r="F10" i="3"/>
  <c r="G10" i="3" s="1"/>
  <c r="H10" i="3" s="1"/>
  <c r="I9" i="3"/>
  <c r="J9" i="3" s="1"/>
  <c r="K9" i="3" s="1"/>
  <c r="F9" i="3"/>
  <c r="G9" i="3" s="1"/>
  <c r="H9" i="3" s="1"/>
  <c r="I8" i="3"/>
  <c r="J8" i="3" s="1"/>
  <c r="K8" i="3" s="1"/>
  <c r="F8" i="3"/>
  <c r="G8" i="3" s="1"/>
  <c r="H8" i="3" s="1"/>
  <c r="I7" i="3"/>
  <c r="J7" i="3" s="1"/>
  <c r="K7" i="3" s="1"/>
  <c r="F7" i="3"/>
  <c r="G7" i="3" s="1"/>
  <c r="H7" i="3" s="1"/>
  <c r="I6" i="3"/>
  <c r="J6" i="3" s="1"/>
  <c r="K6" i="3" s="1"/>
  <c r="F6" i="3"/>
  <c r="G6" i="3" s="1"/>
  <c r="H6" i="3" s="1"/>
  <c r="I5" i="3"/>
  <c r="J5" i="3" s="1"/>
  <c r="K5" i="3" s="1"/>
  <c r="G5" i="3"/>
  <c r="H5" i="3" s="1"/>
  <c r="F5" i="3"/>
  <c r="I4" i="3"/>
  <c r="J4" i="3" s="1"/>
  <c r="K4" i="3" s="1"/>
  <c r="F4" i="3"/>
  <c r="G4" i="3" s="1"/>
  <c r="H4" i="3" s="1"/>
  <c r="I3" i="3"/>
  <c r="F3" i="3"/>
  <c r="H87" i="2"/>
  <c r="I87" i="2" s="1"/>
  <c r="J87" i="2" s="1"/>
  <c r="E87" i="2"/>
  <c r="F87" i="2" s="1"/>
  <c r="G87" i="2" s="1"/>
  <c r="H86" i="2"/>
  <c r="I86" i="2" s="1"/>
  <c r="J86" i="2" s="1"/>
  <c r="E86" i="2"/>
  <c r="F86" i="2" s="1"/>
  <c r="G86" i="2" s="1"/>
  <c r="H85" i="2"/>
  <c r="I85" i="2" s="1"/>
  <c r="J85" i="2" s="1"/>
  <c r="E85" i="2"/>
  <c r="F85" i="2" s="1"/>
  <c r="G85" i="2" s="1"/>
  <c r="H84" i="2"/>
  <c r="I84" i="2" s="1"/>
  <c r="J84" i="2" s="1"/>
  <c r="E84" i="2"/>
  <c r="F84" i="2" s="1"/>
  <c r="G84" i="2" s="1"/>
  <c r="H83" i="2"/>
  <c r="I83" i="2" s="1"/>
  <c r="J83" i="2" s="1"/>
  <c r="E83" i="2"/>
  <c r="F83" i="2" s="1"/>
  <c r="G83" i="2" s="1"/>
  <c r="H82" i="2"/>
  <c r="I82" i="2" s="1"/>
  <c r="J82" i="2" s="1"/>
  <c r="E82" i="2"/>
  <c r="F82" i="2" s="1"/>
  <c r="G82" i="2" s="1"/>
  <c r="H81" i="2"/>
  <c r="I81" i="2" s="1"/>
  <c r="J81" i="2" s="1"/>
  <c r="E81" i="2"/>
  <c r="F81" i="2" s="1"/>
  <c r="G81" i="2" s="1"/>
  <c r="H80" i="2"/>
  <c r="I80" i="2" s="1"/>
  <c r="J80" i="2" s="1"/>
  <c r="E80" i="2"/>
  <c r="F80" i="2" s="1"/>
  <c r="G80" i="2" s="1"/>
  <c r="H79" i="2"/>
  <c r="I79" i="2" s="1"/>
  <c r="J79" i="2" s="1"/>
  <c r="E79" i="2"/>
  <c r="F79" i="2" s="1"/>
  <c r="G79" i="2" s="1"/>
  <c r="H78" i="2"/>
  <c r="I78" i="2" s="1"/>
  <c r="J78" i="2" s="1"/>
  <c r="E78" i="2"/>
  <c r="F78" i="2" s="1"/>
  <c r="G78" i="2" s="1"/>
  <c r="H77" i="2"/>
  <c r="I77" i="2" s="1"/>
  <c r="J77" i="2" s="1"/>
  <c r="E77" i="2"/>
  <c r="F77" i="2" s="1"/>
  <c r="G77" i="2" s="1"/>
  <c r="H76" i="2"/>
  <c r="I76" i="2" s="1"/>
  <c r="J76" i="2" s="1"/>
  <c r="E76" i="2"/>
  <c r="F76" i="2" s="1"/>
  <c r="G76" i="2" s="1"/>
  <c r="H75" i="2"/>
  <c r="I75" i="2" s="1"/>
  <c r="J75" i="2" s="1"/>
  <c r="E75" i="2"/>
  <c r="F75" i="2" s="1"/>
  <c r="G75" i="2" s="1"/>
  <c r="H74" i="2"/>
  <c r="I74" i="2" s="1"/>
  <c r="J74" i="2" s="1"/>
  <c r="E74" i="2"/>
  <c r="F74" i="2" s="1"/>
  <c r="G74" i="2" s="1"/>
  <c r="H73" i="2"/>
  <c r="I73" i="2" s="1"/>
  <c r="J73" i="2" s="1"/>
  <c r="E73" i="2"/>
  <c r="F73" i="2" s="1"/>
  <c r="G73" i="2" s="1"/>
  <c r="H72" i="2"/>
  <c r="I72" i="2" s="1"/>
  <c r="J72" i="2" s="1"/>
  <c r="E72" i="2"/>
  <c r="F72" i="2" s="1"/>
  <c r="G72" i="2" s="1"/>
  <c r="H71" i="2"/>
  <c r="I71" i="2" s="1"/>
  <c r="J71" i="2" s="1"/>
  <c r="E71" i="2"/>
  <c r="F71" i="2" s="1"/>
  <c r="G71" i="2" s="1"/>
  <c r="H70" i="2"/>
  <c r="I70" i="2" s="1"/>
  <c r="J70" i="2" s="1"/>
  <c r="E70" i="2"/>
  <c r="F70" i="2" s="1"/>
  <c r="G70" i="2" s="1"/>
  <c r="H69" i="2"/>
  <c r="I69" i="2" s="1"/>
  <c r="J69" i="2" s="1"/>
  <c r="E69" i="2"/>
  <c r="F69" i="2" s="1"/>
  <c r="G69" i="2" s="1"/>
  <c r="H60" i="2"/>
  <c r="I60" i="2" s="1"/>
  <c r="J60" i="2" s="1"/>
  <c r="E60" i="2"/>
  <c r="F60" i="2" s="1"/>
  <c r="G60" i="2" s="1"/>
  <c r="H59" i="2"/>
  <c r="I59" i="2" s="1"/>
  <c r="J59" i="2" s="1"/>
  <c r="E59" i="2"/>
  <c r="F59" i="2" s="1"/>
  <c r="G59" i="2" s="1"/>
  <c r="H58" i="2"/>
  <c r="I58" i="2" s="1"/>
  <c r="J58" i="2" s="1"/>
  <c r="E58" i="2"/>
  <c r="F58" i="2" s="1"/>
  <c r="G58" i="2" s="1"/>
  <c r="H57" i="2"/>
  <c r="I57" i="2" s="1"/>
  <c r="J57" i="2" s="1"/>
  <c r="E57" i="2"/>
  <c r="F57" i="2" s="1"/>
  <c r="G57" i="2" s="1"/>
  <c r="H56" i="2"/>
  <c r="I56" i="2" s="1"/>
  <c r="J56" i="2" s="1"/>
  <c r="E56" i="2"/>
  <c r="F56" i="2" s="1"/>
  <c r="G56" i="2" s="1"/>
  <c r="H55" i="2"/>
  <c r="I55" i="2" s="1"/>
  <c r="J55" i="2" s="1"/>
  <c r="E55" i="2"/>
  <c r="F55" i="2" s="1"/>
  <c r="G55" i="2" s="1"/>
  <c r="H54" i="2"/>
  <c r="I54" i="2" s="1"/>
  <c r="J54" i="2" s="1"/>
  <c r="E54" i="2"/>
  <c r="F54" i="2" s="1"/>
  <c r="G54" i="2" s="1"/>
  <c r="H53" i="2"/>
  <c r="I53" i="2" s="1"/>
  <c r="J53" i="2" s="1"/>
  <c r="E53" i="2"/>
  <c r="F53" i="2" s="1"/>
  <c r="G53" i="2" s="1"/>
  <c r="H52" i="2"/>
  <c r="I52" i="2" s="1"/>
  <c r="J52" i="2" s="1"/>
  <c r="E52" i="2"/>
  <c r="F52" i="2" s="1"/>
  <c r="G52" i="2" s="1"/>
  <c r="H51" i="2"/>
  <c r="I51" i="2" s="1"/>
  <c r="J51" i="2" s="1"/>
  <c r="E51" i="2"/>
  <c r="F51" i="2" s="1"/>
  <c r="G51" i="2" s="1"/>
  <c r="H50" i="2"/>
  <c r="I50" i="2" s="1"/>
  <c r="J50" i="2" s="1"/>
  <c r="E50" i="2"/>
  <c r="F50" i="2" s="1"/>
  <c r="G50" i="2" s="1"/>
  <c r="H49" i="2"/>
  <c r="I49" i="2" s="1"/>
  <c r="J49" i="2" s="1"/>
  <c r="E49" i="2"/>
  <c r="F49" i="2" s="1"/>
  <c r="G49" i="2" s="1"/>
  <c r="H48" i="2"/>
  <c r="I48" i="2" s="1"/>
  <c r="J48" i="2" s="1"/>
  <c r="E48" i="2"/>
  <c r="F48" i="2" s="1"/>
  <c r="G48" i="2" s="1"/>
  <c r="H47" i="2"/>
  <c r="I47" i="2" s="1"/>
  <c r="J47" i="2" s="1"/>
  <c r="E47" i="2"/>
  <c r="F47" i="2" s="1"/>
  <c r="G47" i="2" s="1"/>
  <c r="H46" i="2"/>
  <c r="I46" i="2" s="1"/>
  <c r="J46" i="2" s="1"/>
  <c r="E46" i="2"/>
  <c r="F46" i="2" s="1"/>
  <c r="G46" i="2" s="1"/>
  <c r="H45" i="2"/>
  <c r="I45" i="2" s="1"/>
  <c r="J45" i="2" s="1"/>
  <c r="E45" i="2"/>
  <c r="F45" i="2" s="1"/>
  <c r="G45" i="2" s="1"/>
  <c r="H44" i="2"/>
  <c r="I44" i="2" s="1"/>
  <c r="J44" i="2" s="1"/>
  <c r="E44" i="2"/>
  <c r="F44" i="2" s="1"/>
  <c r="G44" i="2" s="1"/>
  <c r="H43" i="2"/>
  <c r="I43" i="2" s="1"/>
  <c r="J43" i="2" s="1"/>
  <c r="E43" i="2"/>
  <c r="F43" i="2" s="1"/>
  <c r="G43" i="2" s="1"/>
  <c r="H42" i="2"/>
  <c r="I42" i="2" s="1"/>
  <c r="J42" i="2" s="1"/>
  <c r="E42" i="2"/>
  <c r="F42" i="2" s="1"/>
  <c r="G42" i="2" s="1"/>
  <c r="H41" i="2"/>
  <c r="I41" i="2" s="1"/>
  <c r="J41" i="2" s="1"/>
  <c r="E41" i="2"/>
  <c r="F41" i="2" s="1"/>
  <c r="G41" i="2" s="1"/>
  <c r="H40" i="2"/>
  <c r="I40" i="2" s="1"/>
  <c r="J40" i="2" s="1"/>
  <c r="E40" i="2"/>
  <c r="F40" i="2" s="1"/>
  <c r="G40" i="2" s="1"/>
  <c r="H39" i="2"/>
  <c r="I39" i="2" s="1"/>
  <c r="J39" i="2" s="1"/>
  <c r="E39" i="2"/>
  <c r="F39" i="2" s="1"/>
  <c r="G39" i="2" s="1"/>
  <c r="H38" i="2"/>
  <c r="I38" i="2" s="1"/>
  <c r="J38" i="2" s="1"/>
  <c r="E38" i="2"/>
  <c r="F38" i="2" s="1"/>
  <c r="G38" i="2" s="1"/>
  <c r="H37" i="2"/>
  <c r="I37" i="2" s="1"/>
  <c r="J37" i="2" s="1"/>
  <c r="E37" i="2"/>
  <c r="F37" i="2" s="1"/>
  <c r="G37" i="2" s="1"/>
  <c r="H36" i="2"/>
  <c r="I36" i="2" s="1"/>
  <c r="J36" i="2" s="1"/>
  <c r="E36" i="2"/>
  <c r="F36" i="2" s="1"/>
  <c r="G36" i="2" s="1"/>
  <c r="H28" i="2"/>
  <c r="I28" i="2" s="1"/>
  <c r="J28" i="2" s="1"/>
  <c r="E28" i="2"/>
  <c r="F28" i="2" s="1"/>
  <c r="G28" i="2" s="1"/>
  <c r="H27" i="2"/>
  <c r="I27" i="2" s="1"/>
  <c r="J27" i="2" s="1"/>
  <c r="E27" i="2"/>
  <c r="F27" i="2" s="1"/>
  <c r="G27" i="2" s="1"/>
  <c r="H26" i="2"/>
  <c r="I26" i="2" s="1"/>
  <c r="J26" i="2" s="1"/>
  <c r="E26" i="2"/>
  <c r="F26" i="2" s="1"/>
  <c r="G26" i="2" s="1"/>
  <c r="H25" i="2"/>
  <c r="I25" i="2" s="1"/>
  <c r="J25" i="2" s="1"/>
  <c r="E25" i="2"/>
  <c r="F25" i="2" s="1"/>
  <c r="G25" i="2" s="1"/>
  <c r="H24" i="2"/>
  <c r="I24" i="2" s="1"/>
  <c r="J24" i="2" s="1"/>
  <c r="E24" i="2"/>
  <c r="F24" i="2" s="1"/>
  <c r="G24" i="2" s="1"/>
  <c r="H23" i="2"/>
  <c r="I23" i="2" s="1"/>
  <c r="J23" i="2" s="1"/>
  <c r="E23" i="2"/>
  <c r="F23" i="2" s="1"/>
  <c r="G23" i="2" s="1"/>
  <c r="H22" i="2"/>
  <c r="I22" i="2" s="1"/>
  <c r="J22" i="2" s="1"/>
  <c r="E22" i="2"/>
  <c r="F22" i="2" s="1"/>
  <c r="G22" i="2" s="1"/>
  <c r="H21" i="2"/>
  <c r="I21" i="2" s="1"/>
  <c r="J21" i="2" s="1"/>
  <c r="E21" i="2"/>
  <c r="F21" i="2" s="1"/>
  <c r="G21" i="2" s="1"/>
  <c r="H20" i="2"/>
  <c r="I20" i="2" s="1"/>
  <c r="J20" i="2" s="1"/>
  <c r="E20" i="2"/>
  <c r="F20" i="2" s="1"/>
  <c r="G20" i="2" s="1"/>
  <c r="H19" i="2"/>
  <c r="I19" i="2" s="1"/>
  <c r="J19" i="2" s="1"/>
  <c r="E19" i="2"/>
  <c r="F19" i="2" s="1"/>
  <c r="G19" i="2" s="1"/>
  <c r="H18" i="2"/>
  <c r="I18" i="2" s="1"/>
  <c r="J18" i="2" s="1"/>
  <c r="E18" i="2"/>
  <c r="F18" i="2" s="1"/>
  <c r="G18" i="2" s="1"/>
  <c r="H17" i="2"/>
  <c r="I17" i="2" s="1"/>
  <c r="J17" i="2" s="1"/>
  <c r="E17" i="2"/>
  <c r="F17" i="2" s="1"/>
  <c r="G17" i="2" s="1"/>
  <c r="H16" i="2"/>
  <c r="I16" i="2" s="1"/>
  <c r="J16" i="2" s="1"/>
  <c r="E16" i="2"/>
  <c r="F16" i="2" s="1"/>
  <c r="G16" i="2" s="1"/>
  <c r="H15" i="2"/>
  <c r="I15" i="2" s="1"/>
  <c r="J15" i="2" s="1"/>
  <c r="E15" i="2"/>
  <c r="F15" i="2" s="1"/>
  <c r="G15" i="2" s="1"/>
  <c r="H14" i="2"/>
  <c r="I14" i="2" s="1"/>
  <c r="J14" i="2" s="1"/>
  <c r="E14" i="2"/>
  <c r="F14" i="2" s="1"/>
  <c r="G14" i="2" s="1"/>
  <c r="H13" i="2"/>
  <c r="I13" i="2" s="1"/>
  <c r="J13" i="2" s="1"/>
  <c r="E13" i="2"/>
  <c r="F13" i="2" s="1"/>
  <c r="G13" i="2" s="1"/>
  <c r="H12" i="2"/>
  <c r="I12" i="2" s="1"/>
  <c r="J12" i="2" s="1"/>
  <c r="E12" i="2"/>
  <c r="F12" i="2" s="1"/>
  <c r="G12" i="2" s="1"/>
  <c r="H11" i="2"/>
  <c r="I11" i="2" s="1"/>
  <c r="J11" i="2" s="1"/>
  <c r="E11" i="2"/>
  <c r="F11" i="2" s="1"/>
  <c r="G11" i="2" s="1"/>
  <c r="H10" i="2"/>
  <c r="I10" i="2" s="1"/>
  <c r="J10" i="2" s="1"/>
  <c r="E10" i="2"/>
  <c r="F10" i="2" s="1"/>
  <c r="G10" i="2" s="1"/>
  <c r="H9" i="2"/>
  <c r="I9" i="2" s="1"/>
  <c r="J9" i="2" s="1"/>
  <c r="E9" i="2"/>
  <c r="F9" i="2" s="1"/>
  <c r="G9" i="2" s="1"/>
  <c r="H8" i="2"/>
  <c r="I8" i="2" s="1"/>
  <c r="J8" i="2" s="1"/>
  <c r="E8" i="2"/>
  <c r="F8" i="2" s="1"/>
  <c r="G8" i="2" s="1"/>
  <c r="H7" i="2"/>
  <c r="I7" i="2" s="1"/>
  <c r="J7" i="2" s="1"/>
  <c r="E7" i="2"/>
  <c r="F7" i="2" s="1"/>
  <c r="G7" i="2" s="1"/>
  <c r="H6" i="2"/>
  <c r="I6" i="2" s="1"/>
  <c r="J6" i="2" s="1"/>
  <c r="E6" i="2"/>
  <c r="F6" i="2" s="1"/>
  <c r="G6" i="2" s="1"/>
  <c r="H5" i="2"/>
  <c r="I5" i="2" s="1"/>
  <c r="J5" i="2" s="1"/>
  <c r="E5" i="2"/>
  <c r="F5" i="2" s="1"/>
  <c r="G5" i="2" s="1"/>
  <c r="H4" i="2"/>
  <c r="I4" i="2" s="1"/>
  <c r="J4" i="2" s="1"/>
  <c r="E4" i="2"/>
  <c r="F4" i="2" s="1"/>
  <c r="G4" i="2" s="1"/>
  <c r="H3" i="2"/>
  <c r="I3" i="2" s="1"/>
  <c r="E3" i="2"/>
  <c r="F3" i="2" s="1"/>
  <c r="G3" i="2" s="1"/>
  <c r="J142" i="12" l="1"/>
  <c r="K3" i="8"/>
  <c r="J81" i="19"/>
  <c r="K3" i="9"/>
  <c r="J60" i="9"/>
  <c r="J5" i="17"/>
  <c r="J512" i="17" s="1"/>
  <c r="I512" i="17"/>
  <c r="J126" i="10"/>
  <c r="K3" i="11"/>
  <c r="K107" i="11" s="1"/>
  <c r="J107" i="11"/>
  <c r="I61" i="2"/>
  <c r="J61" i="2" s="1"/>
  <c r="I89" i="2"/>
  <c r="J89" i="2" s="1"/>
  <c r="K19" i="10"/>
  <c r="K9" i="9"/>
  <c r="K23" i="5"/>
  <c r="I29" i="2"/>
  <c r="K3" i="12"/>
  <c r="K142" i="12" s="1"/>
  <c r="J8" i="8"/>
  <c r="K8" i="8" s="1"/>
  <c r="F3" i="17"/>
  <c r="G3" i="12"/>
  <c r="G3" i="11"/>
  <c r="H3" i="11" s="1"/>
  <c r="G15" i="11"/>
  <c r="G3" i="10"/>
  <c r="K3" i="10"/>
  <c r="K126" i="10" s="1"/>
  <c r="H6" i="8"/>
  <c r="J3" i="7"/>
  <c r="J3" i="6"/>
  <c r="J58" i="6" s="1"/>
  <c r="K3" i="19"/>
  <c r="K81" i="19" s="1"/>
  <c r="J3" i="5"/>
  <c r="J128" i="5" s="1"/>
  <c r="F3" i="4"/>
  <c r="G3" i="4" s="1"/>
  <c r="I3" i="4"/>
  <c r="I16" i="4" s="1"/>
  <c r="G3" i="3"/>
  <c r="H3" i="3" s="1"/>
  <c r="J3" i="3"/>
  <c r="J3" i="2"/>
  <c r="J29" i="2" s="1"/>
  <c r="K60" i="9" l="1"/>
  <c r="J48" i="8"/>
  <c r="K3" i="3"/>
  <c r="J23" i="3"/>
  <c r="K23" i="3" s="1"/>
  <c r="K3" i="5"/>
  <c r="K128" i="5" s="1"/>
  <c r="K3" i="7"/>
  <c r="K107" i="7" s="1"/>
  <c r="J107" i="7"/>
  <c r="K48" i="8"/>
  <c r="J3" i="4"/>
  <c r="J16" i="4" s="1"/>
  <c r="G3" i="17"/>
  <c r="H3" i="12"/>
  <c r="H15" i="11"/>
  <c r="H3" i="10"/>
  <c r="K3" i="6"/>
  <c r="K58" i="6" s="1"/>
  <c r="H543" i="20"/>
  <c r="I543" i="20" s="1"/>
  <c r="E543" i="20"/>
  <c r="F543" i="20" s="1"/>
  <c r="G543" i="20" s="1"/>
  <c r="H541" i="20"/>
  <c r="I541" i="20" s="1"/>
  <c r="E541" i="20"/>
  <c r="F541" i="20" s="1"/>
  <c r="G541" i="20" s="1"/>
  <c r="H538" i="20"/>
  <c r="I538" i="20" s="1"/>
  <c r="E538" i="20"/>
  <c r="F538" i="20" s="1"/>
  <c r="G538" i="20" s="1"/>
  <c r="H536" i="20"/>
  <c r="I536" i="20" s="1"/>
  <c r="E536" i="20"/>
  <c r="F536" i="20" s="1"/>
  <c r="G536" i="20" s="1"/>
  <c r="H534" i="20"/>
  <c r="I534" i="20" s="1"/>
  <c r="E534" i="20"/>
  <c r="F534" i="20" s="1"/>
  <c r="G534" i="20" s="1"/>
  <c r="H532" i="20"/>
  <c r="I532" i="20" s="1"/>
  <c r="E532" i="20"/>
  <c r="F532" i="20" s="1"/>
  <c r="G532" i="20" s="1"/>
  <c r="H530" i="20"/>
  <c r="I530" i="20" s="1"/>
  <c r="E530" i="20"/>
  <c r="F530" i="20" s="1"/>
  <c r="G530" i="20" s="1"/>
  <c r="H528" i="20"/>
  <c r="I528" i="20" s="1"/>
  <c r="E528" i="20"/>
  <c r="F528" i="20" s="1"/>
  <c r="G528" i="20" s="1"/>
  <c r="H526" i="20"/>
  <c r="I526" i="20" s="1"/>
  <c r="E526" i="20"/>
  <c r="F526" i="20" s="1"/>
  <c r="G526" i="20" s="1"/>
  <c r="H521" i="20"/>
  <c r="I521" i="20" s="1"/>
  <c r="E521" i="20"/>
  <c r="F521" i="20" s="1"/>
  <c r="G521" i="20" s="1"/>
  <c r="H520" i="20"/>
  <c r="I520" i="20" s="1"/>
  <c r="E520" i="20"/>
  <c r="F520" i="20" s="1"/>
  <c r="G520" i="20" s="1"/>
  <c r="H519" i="20"/>
  <c r="I519" i="20" s="1"/>
  <c r="E519" i="20"/>
  <c r="F519" i="20" s="1"/>
  <c r="G519" i="20" s="1"/>
  <c r="H518" i="20"/>
  <c r="I518" i="20" s="1"/>
  <c r="E518" i="20"/>
  <c r="F518" i="20" s="1"/>
  <c r="G518" i="20" s="1"/>
  <c r="H517" i="20"/>
  <c r="I517" i="20" s="1"/>
  <c r="E517" i="20"/>
  <c r="F517" i="20" s="1"/>
  <c r="G517" i="20" s="1"/>
  <c r="H516" i="20"/>
  <c r="I516" i="20" s="1"/>
  <c r="E516" i="20"/>
  <c r="F516" i="20" s="1"/>
  <c r="G516" i="20" s="1"/>
  <c r="H515" i="20"/>
  <c r="I515" i="20" s="1"/>
  <c r="E515" i="20"/>
  <c r="F515" i="20" s="1"/>
  <c r="G515" i="20" s="1"/>
  <c r="H514" i="20"/>
  <c r="I514" i="20" s="1"/>
  <c r="E514" i="20"/>
  <c r="F514" i="20" s="1"/>
  <c r="G514" i="20" s="1"/>
  <c r="H513" i="20"/>
  <c r="I513" i="20" s="1"/>
  <c r="E513" i="20"/>
  <c r="F513" i="20" s="1"/>
  <c r="G513" i="20" s="1"/>
  <c r="H512" i="20"/>
  <c r="I512" i="20" s="1"/>
  <c r="E512" i="20"/>
  <c r="F512" i="20" s="1"/>
  <c r="G512" i="20" s="1"/>
  <c r="H510" i="20"/>
  <c r="I510" i="20" s="1"/>
  <c r="E510" i="20"/>
  <c r="F510" i="20" s="1"/>
  <c r="G510" i="20" s="1"/>
  <c r="H509" i="20"/>
  <c r="I509" i="20" s="1"/>
  <c r="E509" i="20"/>
  <c r="F509" i="20" s="1"/>
  <c r="G509" i="20" s="1"/>
  <c r="H508" i="20"/>
  <c r="I508" i="20" s="1"/>
  <c r="E508" i="20"/>
  <c r="F508" i="20" s="1"/>
  <c r="G508" i="20" s="1"/>
  <c r="H507" i="20"/>
  <c r="I507" i="20" s="1"/>
  <c r="E507" i="20"/>
  <c r="F507" i="20" s="1"/>
  <c r="G507" i="20" s="1"/>
  <c r="H506" i="20"/>
  <c r="I506" i="20" s="1"/>
  <c r="E506" i="20"/>
  <c r="F506" i="20" s="1"/>
  <c r="G506" i="20" s="1"/>
  <c r="H505" i="20"/>
  <c r="I505" i="20" s="1"/>
  <c r="E505" i="20"/>
  <c r="F505" i="20" s="1"/>
  <c r="G505" i="20" s="1"/>
  <c r="H504" i="20"/>
  <c r="I504" i="20" s="1"/>
  <c r="E504" i="20"/>
  <c r="F504" i="20" s="1"/>
  <c r="G504" i="20" s="1"/>
  <c r="H503" i="20"/>
  <c r="I503" i="20" s="1"/>
  <c r="E503" i="20"/>
  <c r="F503" i="20" s="1"/>
  <c r="G503" i="20" s="1"/>
  <c r="H501" i="20"/>
  <c r="I501" i="20" s="1"/>
  <c r="E501" i="20"/>
  <c r="F501" i="20" s="1"/>
  <c r="G501" i="20" s="1"/>
  <c r="H500" i="20"/>
  <c r="I500" i="20" s="1"/>
  <c r="E500" i="20"/>
  <c r="F500" i="20" s="1"/>
  <c r="G500" i="20" s="1"/>
  <c r="H499" i="20"/>
  <c r="I499" i="20" s="1"/>
  <c r="E499" i="20"/>
  <c r="F499" i="20" s="1"/>
  <c r="G499" i="20" s="1"/>
  <c r="H498" i="20"/>
  <c r="I498" i="20" s="1"/>
  <c r="E498" i="20"/>
  <c r="F498" i="20" s="1"/>
  <c r="G498" i="20" s="1"/>
  <c r="H497" i="20"/>
  <c r="I497" i="20" s="1"/>
  <c r="E497" i="20"/>
  <c r="F497" i="20" s="1"/>
  <c r="G497" i="20" s="1"/>
  <c r="H496" i="20"/>
  <c r="I496" i="20" s="1"/>
  <c r="E496" i="20"/>
  <c r="F496" i="20" s="1"/>
  <c r="G496" i="20" s="1"/>
  <c r="H495" i="20"/>
  <c r="I495" i="20" s="1"/>
  <c r="E495" i="20"/>
  <c r="F495" i="20" s="1"/>
  <c r="G495" i="20" s="1"/>
  <c r="H494" i="20"/>
  <c r="I494" i="20" s="1"/>
  <c r="E494" i="20"/>
  <c r="F494" i="20" s="1"/>
  <c r="G494" i="20" s="1"/>
  <c r="H492" i="20"/>
  <c r="I492" i="20" s="1"/>
  <c r="E492" i="20"/>
  <c r="F492" i="20" s="1"/>
  <c r="G492" i="20" s="1"/>
  <c r="H491" i="20"/>
  <c r="I491" i="20" s="1"/>
  <c r="E491" i="20"/>
  <c r="F491" i="20" s="1"/>
  <c r="G491" i="20" s="1"/>
  <c r="H489" i="20"/>
  <c r="I489" i="20" s="1"/>
  <c r="E489" i="20"/>
  <c r="F489" i="20" s="1"/>
  <c r="G489" i="20" s="1"/>
  <c r="H488" i="20"/>
  <c r="I488" i="20" s="1"/>
  <c r="E488" i="20"/>
  <c r="F488" i="20" s="1"/>
  <c r="G488" i="20" s="1"/>
  <c r="H487" i="20"/>
  <c r="I487" i="20" s="1"/>
  <c r="E487" i="20"/>
  <c r="F487" i="20" s="1"/>
  <c r="G487" i="20" s="1"/>
  <c r="H486" i="20"/>
  <c r="I486" i="20" s="1"/>
  <c r="E486" i="20"/>
  <c r="F486" i="20" s="1"/>
  <c r="G486" i="20" s="1"/>
  <c r="H485" i="20"/>
  <c r="I485" i="20" s="1"/>
  <c r="E485" i="20"/>
  <c r="F485" i="20" s="1"/>
  <c r="G485" i="20" s="1"/>
  <c r="H484" i="20"/>
  <c r="I484" i="20" s="1"/>
  <c r="E484" i="20"/>
  <c r="F484" i="20" s="1"/>
  <c r="G484" i="20" s="1"/>
  <c r="H483" i="20"/>
  <c r="I483" i="20" s="1"/>
  <c r="E483" i="20"/>
  <c r="F483" i="20" s="1"/>
  <c r="G483" i="20" s="1"/>
  <c r="H482" i="20"/>
  <c r="I482" i="20" s="1"/>
  <c r="E482" i="20"/>
  <c r="F482" i="20" s="1"/>
  <c r="G482" i="20" s="1"/>
  <c r="H480" i="20"/>
  <c r="I480" i="20" s="1"/>
  <c r="E480" i="20"/>
  <c r="F480" i="20" s="1"/>
  <c r="G480" i="20" s="1"/>
  <c r="H479" i="20"/>
  <c r="I479" i="20" s="1"/>
  <c r="E479" i="20"/>
  <c r="F479" i="20" s="1"/>
  <c r="G479" i="20" s="1"/>
  <c r="H478" i="20"/>
  <c r="I478" i="20" s="1"/>
  <c r="E478" i="20"/>
  <c r="F478" i="20" s="1"/>
  <c r="G478" i="20" s="1"/>
  <c r="H477" i="20"/>
  <c r="I477" i="20" s="1"/>
  <c r="E477" i="20"/>
  <c r="F477" i="20" s="1"/>
  <c r="G477" i="20" s="1"/>
  <c r="H476" i="20"/>
  <c r="I476" i="20" s="1"/>
  <c r="E476" i="20"/>
  <c r="F476" i="20" s="1"/>
  <c r="G476" i="20" s="1"/>
  <c r="H475" i="20"/>
  <c r="I475" i="20" s="1"/>
  <c r="E475" i="20"/>
  <c r="F475" i="20" s="1"/>
  <c r="G475" i="20" s="1"/>
  <c r="H473" i="20"/>
  <c r="I473" i="20" s="1"/>
  <c r="E473" i="20"/>
  <c r="F473" i="20" s="1"/>
  <c r="G473" i="20" s="1"/>
  <c r="H472" i="20"/>
  <c r="I472" i="20" s="1"/>
  <c r="E472" i="20"/>
  <c r="F472" i="20" s="1"/>
  <c r="G472" i="20" s="1"/>
  <c r="H471" i="20"/>
  <c r="I471" i="20" s="1"/>
  <c r="E471" i="20"/>
  <c r="F471" i="20" s="1"/>
  <c r="G471" i="20" s="1"/>
  <c r="H470" i="20"/>
  <c r="I470" i="20" s="1"/>
  <c r="E470" i="20"/>
  <c r="F470" i="20" s="1"/>
  <c r="G470" i="20" s="1"/>
  <c r="H469" i="20"/>
  <c r="I469" i="20" s="1"/>
  <c r="E469" i="20"/>
  <c r="F469" i="20" s="1"/>
  <c r="G469" i="20" s="1"/>
  <c r="H468" i="20"/>
  <c r="I468" i="20" s="1"/>
  <c r="E468" i="20"/>
  <c r="F468" i="20" s="1"/>
  <c r="G468" i="20" s="1"/>
  <c r="H467" i="20"/>
  <c r="I467" i="20" s="1"/>
  <c r="E467" i="20"/>
  <c r="F467" i="20" s="1"/>
  <c r="G467" i="20" s="1"/>
  <c r="H466" i="20"/>
  <c r="I466" i="20" s="1"/>
  <c r="E466" i="20"/>
  <c r="F466" i="20" s="1"/>
  <c r="G466" i="20" s="1"/>
  <c r="H465" i="20"/>
  <c r="I465" i="20" s="1"/>
  <c r="E465" i="20"/>
  <c r="F465" i="20" s="1"/>
  <c r="G465" i="20" s="1"/>
  <c r="H464" i="20"/>
  <c r="I464" i="20" s="1"/>
  <c r="E464" i="20"/>
  <c r="F464" i="20" s="1"/>
  <c r="G464" i="20" s="1"/>
  <c r="H463" i="20"/>
  <c r="I463" i="20" s="1"/>
  <c r="E463" i="20"/>
  <c r="F463" i="20" s="1"/>
  <c r="G463" i="20" s="1"/>
  <c r="H461" i="20"/>
  <c r="I461" i="20" s="1"/>
  <c r="E461" i="20"/>
  <c r="F461" i="20" s="1"/>
  <c r="G461" i="20" s="1"/>
  <c r="H460" i="20"/>
  <c r="I460" i="20" s="1"/>
  <c r="E460" i="20"/>
  <c r="F460" i="20" s="1"/>
  <c r="G460" i="20" s="1"/>
  <c r="H459" i="20"/>
  <c r="I459" i="20" s="1"/>
  <c r="E459" i="20"/>
  <c r="F459" i="20" s="1"/>
  <c r="G459" i="20" s="1"/>
  <c r="H458" i="20"/>
  <c r="I458" i="20" s="1"/>
  <c r="E458" i="20"/>
  <c r="F458" i="20" s="1"/>
  <c r="G458" i="20" s="1"/>
  <c r="H457" i="20"/>
  <c r="I457" i="20" s="1"/>
  <c r="E457" i="20"/>
  <c r="F457" i="20" s="1"/>
  <c r="G457" i="20" s="1"/>
  <c r="H456" i="20"/>
  <c r="I456" i="20" s="1"/>
  <c r="E456" i="20"/>
  <c r="F456" i="20" s="1"/>
  <c r="G456" i="20" s="1"/>
  <c r="H455" i="20"/>
  <c r="I455" i="20" s="1"/>
  <c r="E455" i="20"/>
  <c r="F455" i="20" s="1"/>
  <c r="G455" i="20" s="1"/>
  <c r="H454" i="20"/>
  <c r="I454" i="20" s="1"/>
  <c r="E454" i="20"/>
  <c r="F454" i="20" s="1"/>
  <c r="G454" i="20" s="1"/>
  <c r="H453" i="20"/>
  <c r="I453" i="20" s="1"/>
  <c r="E453" i="20"/>
  <c r="F453" i="20" s="1"/>
  <c r="G453" i="20" s="1"/>
  <c r="H452" i="20"/>
  <c r="I452" i="20" s="1"/>
  <c r="E452" i="20"/>
  <c r="F452" i="20" s="1"/>
  <c r="G452" i="20" s="1"/>
  <c r="H450" i="20"/>
  <c r="I450" i="20" s="1"/>
  <c r="E450" i="20"/>
  <c r="F450" i="20" s="1"/>
  <c r="G450" i="20" s="1"/>
  <c r="H449" i="20"/>
  <c r="I449" i="20" s="1"/>
  <c r="E449" i="20"/>
  <c r="F449" i="20" s="1"/>
  <c r="G449" i="20" s="1"/>
  <c r="H448" i="20"/>
  <c r="I448" i="20" s="1"/>
  <c r="E448" i="20"/>
  <c r="F448" i="20" s="1"/>
  <c r="G448" i="20" s="1"/>
  <c r="H447" i="20"/>
  <c r="I447" i="20" s="1"/>
  <c r="E447" i="20"/>
  <c r="F447" i="20" s="1"/>
  <c r="G447" i="20" s="1"/>
  <c r="H446" i="20"/>
  <c r="I446" i="20" s="1"/>
  <c r="E446" i="20"/>
  <c r="F446" i="20" s="1"/>
  <c r="G446" i="20" s="1"/>
  <c r="H445" i="20"/>
  <c r="I445" i="20" s="1"/>
  <c r="E445" i="20"/>
  <c r="F445" i="20" s="1"/>
  <c r="G445" i="20" s="1"/>
  <c r="H444" i="20"/>
  <c r="I444" i="20" s="1"/>
  <c r="E444" i="20"/>
  <c r="F444" i="20" s="1"/>
  <c r="G444" i="20" s="1"/>
  <c r="H443" i="20"/>
  <c r="I443" i="20" s="1"/>
  <c r="E443" i="20"/>
  <c r="F443" i="20" s="1"/>
  <c r="G443" i="20" s="1"/>
  <c r="H442" i="20"/>
  <c r="I442" i="20" s="1"/>
  <c r="E442" i="20"/>
  <c r="F442" i="20" s="1"/>
  <c r="G442" i="20" s="1"/>
  <c r="H440" i="20"/>
  <c r="I440" i="20" s="1"/>
  <c r="E440" i="20"/>
  <c r="F440" i="20" s="1"/>
  <c r="G440" i="20" s="1"/>
  <c r="H439" i="20"/>
  <c r="I439" i="20" s="1"/>
  <c r="E439" i="20"/>
  <c r="F439" i="20" s="1"/>
  <c r="G439" i="20" s="1"/>
  <c r="H438" i="20"/>
  <c r="I438" i="20" s="1"/>
  <c r="E438" i="20"/>
  <c r="F438" i="20" s="1"/>
  <c r="G438" i="20" s="1"/>
  <c r="H437" i="20"/>
  <c r="I437" i="20" s="1"/>
  <c r="E437" i="20"/>
  <c r="F437" i="20" s="1"/>
  <c r="G437" i="20" s="1"/>
  <c r="H436" i="20"/>
  <c r="I436" i="20" s="1"/>
  <c r="E436" i="20"/>
  <c r="F436" i="20" s="1"/>
  <c r="G436" i="20" s="1"/>
  <c r="H435" i="20"/>
  <c r="I435" i="20" s="1"/>
  <c r="E435" i="20"/>
  <c r="F435" i="20" s="1"/>
  <c r="G435" i="20" s="1"/>
  <c r="H434" i="20"/>
  <c r="I434" i="20" s="1"/>
  <c r="E434" i="20"/>
  <c r="F434" i="20" s="1"/>
  <c r="G434" i="20" s="1"/>
  <c r="H433" i="20"/>
  <c r="I433" i="20" s="1"/>
  <c r="E433" i="20"/>
  <c r="F433" i="20" s="1"/>
  <c r="G433" i="20" s="1"/>
  <c r="H431" i="20"/>
  <c r="I431" i="20" s="1"/>
  <c r="E431" i="20"/>
  <c r="F431" i="20" s="1"/>
  <c r="G431" i="20" s="1"/>
  <c r="H430" i="20"/>
  <c r="I430" i="20" s="1"/>
  <c r="E430" i="20"/>
  <c r="F430" i="20" s="1"/>
  <c r="G430" i="20" s="1"/>
  <c r="H429" i="20"/>
  <c r="I429" i="20" s="1"/>
  <c r="E429" i="20"/>
  <c r="F429" i="20" s="1"/>
  <c r="G429" i="20" s="1"/>
  <c r="H428" i="20"/>
  <c r="I428" i="20" s="1"/>
  <c r="E428" i="20"/>
  <c r="F428" i="20" s="1"/>
  <c r="G428" i="20" s="1"/>
  <c r="H427" i="20"/>
  <c r="I427" i="20" s="1"/>
  <c r="E427" i="20"/>
  <c r="F427" i="20" s="1"/>
  <c r="G427" i="20" s="1"/>
  <c r="H426" i="20"/>
  <c r="I426" i="20" s="1"/>
  <c r="E426" i="20"/>
  <c r="F426" i="20" s="1"/>
  <c r="G426" i="20" s="1"/>
  <c r="H425" i="20"/>
  <c r="I425" i="20" s="1"/>
  <c r="E425" i="20"/>
  <c r="F425" i="20" s="1"/>
  <c r="G425" i="20" s="1"/>
  <c r="H424" i="20"/>
  <c r="I424" i="20" s="1"/>
  <c r="E424" i="20"/>
  <c r="F424" i="20" s="1"/>
  <c r="G424" i="20" s="1"/>
  <c r="H422" i="20"/>
  <c r="I422" i="20" s="1"/>
  <c r="E422" i="20"/>
  <c r="F422" i="20" s="1"/>
  <c r="G422" i="20" s="1"/>
  <c r="H421" i="20"/>
  <c r="I421" i="20" s="1"/>
  <c r="E421" i="20"/>
  <c r="F421" i="20" s="1"/>
  <c r="G421" i="20" s="1"/>
  <c r="H420" i="20"/>
  <c r="I420" i="20" s="1"/>
  <c r="E420" i="20"/>
  <c r="F420" i="20" s="1"/>
  <c r="G420" i="20" s="1"/>
  <c r="H419" i="20"/>
  <c r="I419" i="20" s="1"/>
  <c r="E419" i="20"/>
  <c r="F419" i="20" s="1"/>
  <c r="G419" i="20" s="1"/>
  <c r="H417" i="20"/>
  <c r="I417" i="20" s="1"/>
  <c r="E417" i="20"/>
  <c r="F417" i="20" s="1"/>
  <c r="G417" i="20" s="1"/>
  <c r="H416" i="20"/>
  <c r="I416" i="20" s="1"/>
  <c r="E416" i="20"/>
  <c r="F416" i="20" s="1"/>
  <c r="G416" i="20" s="1"/>
  <c r="H415" i="20"/>
  <c r="I415" i="20" s="1"/>
  <c r="E415" i="20"/>
  <c r="F415" i="20" s="1"/>
  <c r="G415" i="20" s="1"/>
  <c r="H414" i="20"/>
  <c r="I414" i="20" s="1"/>
  <c r="E414" i="20"/>
  <c r="F414" i="20" s="1"/>
  <c r="G414" i="20" s="1"/>
  <c r="H413" i="20"/>
  <c r="I413" i="20" s="1"/>
  <c r="E413" i="20"/>
  <c r="F413" i="20" s="1"/>
  <c r="G413" i="20" s="1"/>
  <c r="H412" i="20"/>
  <c r="I412" i="20" s="1"/>
  <c r="E412" i="20"/>
  <c r="F412" i="20" s="1"/>
  <c r="G412" i="20" s="1"/>
  <c r="H410" i="20"/>
  <c r="I410" i="20" s="1"/>
  <c r="E410" i="20"/>
  <c r="F410" i="20" s="1"/>
  <c r="G410" i="20" s="1"/>
  <c r="H409" i="20"/>
  <c r="I409" i="20" s="1"/>
  <c r="E409" i="20"/>
  <c r="F409" i="20" s="1"/>
  <c r="G409" i="20" s="1"/>
  <c r="H408" i="20"/>
  <c r="I408" i="20" s="1"/>
  <c r="E408" i="20"/>
  <c r="F408" i="20" s="1"/>
  <c r="G408" i="20" s="1"/>
  <c r="H407" i="20"/>
  <c r="I407" i="20" s="1"/>
  <c r="E407" i="20"/>
  <c r="F407" i="20" s="1"/>
  <c r="G407" i="20" s="1"/>
  <c r="H406" i="20"/>
  <c r="I406" i="20" s="1"/>
  <c r="E406" i="20"/>
  <c r="F406" i="20" s="1"/>
  <c r="G406" i="20" s="1"/>
  <c r="H405" i="20"/>
  <c r="I405" i="20" s="1"/>
  <c r="E405" i="20"/>
  <c r="F405" i="20" s="1"/>
  <c r="G405" i="20" s="1"/>
  <c r="H404" i="20"/>
  <c r="I404" i="20" s="1"/>
  <c r="E404" i="20"/>
  <c r="F404" i="20" s="1"/>
  <c r="G404" i="20" s="1"/>
  <c r="H403" i="20"/>
  <c r="I403" i="20" s="1"/>
  <c r="E403" i="20"/>
  <c r="F403" i="20" s="1"/>
  <c r="G403" i="20" s="1"/>
  <c r="H401" i="20"/>
  <c r="I401" i="20" s="1"/>
  <c r="E401" i="20"/>
  <c r="F401" i="20" s="1"/>
  <c r="G401" i="20" s="1"/>
  <c r="H400" i="20"/>
  <c r="I400" i="20" s="1"/>
  <c r="E400" i="20"/>
  <c r="F400" i="20" s="1"/>
  <c r="G400" i="20" s="1"/>
  <c r="H399" i="20"/>
  <c r="I399" i="20" s="1"/>
  <c r="E399" i="20"/>
  <c r="F399" i="20" s="1"/>
  <c r="G399" i="20" s="1"/>
  <c r="H398" i="20"/>
  <c r="I398" i="20" s="1"/>
  <c r="E398" i="20"/>
  <c r="F398" i="20" s="1"/>
  <c r="G398" i="20" s="1"/>
  <c r="H396" i="20"/>
  <c r="I396" i="20" s="1"/>
  <c r="E396" i="20"/>
  <c r="F396" i="20" s="1"/>
  <c r="G396" i="20" s="1"/>
  <c r="H395" i="20"/>
  <c r="I395" i="20" s="1"/>
  <c r="E395" i="20"/>
  <c r="F395" i="20" s="1"/>
  <c r="G395" i="20" s="1"/>
  <c r="H394" i="20"/>
  <c r="I394" i="20" s="1"/>
  <c r="E394" i="20"/>
  <c r="F394" i="20" s="1"/>
  <c r="G394" i="20" s="1"/>
  <c r="H392" i="20"/>
  <c r="I392" i="20" s="1"/>
  <c r="E392" i="20"/>
  <c r="F392" i="20" s="1"/>
  <c r="G392" i="20" s="1"/>
  <c r="H391" i="20"/>
  <c r="I391" i="20" s="1"/>
  <c r="E391" i="20"/>
  <c r="F391" i="20" s="1"/>
  <c r="G391" i="20" s="1"/>
  <c r="H390" i="20"/>
  <c r="I390" i="20" s="1"/>
  <c r="E390" i="20"/>
  <c r="F390" i="20" s="1"/>
  <c r="G390" i="20" s="1"/>
  <c r="H389" i="20"/>
  <c r="I389" i="20" s="1"/>
  <c r="E389" i="20"/>
  <c r="F389" i="20" s="1"/>
  <c r="G389" i="20" s="1"/>
  <c r="H387" i="20"/>
  <c r="I387" i="20" s="1"/>
  <c r="E387" i="20"/>
  <c r="F387" i="20" s="1"/>
  <c r="G387" i="20" s="1"/>
  <c r="H386" i="20"/>
  <c r="I386" i="20" s="1"/>
  <c r="E386" i="20"/>
  <c r="F386" i="20" s="1"/>
  <c r="G386" i="20" s="1"/>
  <c r="H385" i="20"/>
  <c r="I385" i="20" s="1"/>
  <c r="E385" i="20"/>
  <c r="F385" i="20" s="1"/>
  <c r="G385" i="20" s="1"/>
  <c r="H384" i="20"/>
  <c r="I384" i="20" s="1"/>
  <c r="E384" i="20"/>
  <c r="F384" i="20" s="1"/>
  <c r="G384" i="20" s="1"/>
  <c r="H383" i="20"/>
  <c r="I383" i="20" s="1"/>
  <c r="E383" i="20"/>
  <c r="F383" i="20" s="1"/>
  <c r="G383" i="20" s="1"/>
  <c r="H382" i="20"/>
  <c r="I382" i="20" s="1"/>
  <c r="E382" i="20"/>
  <c r="F382" i="20" s="1"/>
  <c r="G382" i="20" s="1"/>
  <c r="H381" i="20"/>
  <c r="I381" i="20" s="1"/>
  <c r="E381" i="20"/>
  <c r="F381" i="20" s="1"/>
  <c r="G381" i="20" s="1"/>
  <c r="H380" i="20"/>
  <c r="I380" i="20" s="1"/>
  <c r="E380" i="20"/>
  <c r="F380" i="20" s="1"/>
  <c r="G380" i="20" s="1"/>
  <c r="H379" i="20"/>
  <c r="I379" i="20" s="1"/>
  <c r="E379" i="20"/>
  <c r="F379" i="20" s="1"/>
  <c r="G379" i="20" s="1"/>
  <c r="H378" i="20"/>
  <c r="I378" i="20" s="1"/>
  <c r="E378" i="20"/>
  <c r="F378" i="20" s="1"/>
  <c r="G378" i="20" s="1"/>
  <c r="H377" i="20"/>
  <c r="I377" i="20" s="1"/>
  <c r="E377" i="20"/>
  <c r="F377" i="20" s="1"/>
  <c r="G377" i="20" s="1"/>
  <c r="H376" i="20"/>
  <c r="I376" i="20" s="1"/>
  <c r="E376" i="20"/>
  <c r="F376" i="20" s="1"/>
  <c r="G376" i="20" s="1"/>
  <c r="H374" i="20"/>
  <c r="I374" i="20" s="1"/>
  <c r="E374" i="20"/>
  <c r="F374" i="20" s="1"/>
  <c r="G374" i="20" s="1"/>
  <c r="H373" i="20"/>
  <c r="I373" i="20" s="1"/>
  <c r="E373" i="20"/>
  <c r="F373" i="20" s="1"/>
  <c r="G373" i="20" s="1"/>
  <c r="H372" i="20"/>
  <c r="I372" i="20" s="1"/>
  <c r="E372" i="20"/>
  <c r="F372" i="20" s="1"/>
  <c r="G372" i="20" s="1"/>
  <c r="H371" i="20"/>
  <c r="I371" i="20" s="1"/>
  <c r="E371" i="20"/>
  <c r="F371" i="20" s="1"/>
  <c r="G371" i="20" s="1"/>
  <c r="H370" i="20"/>
  <c r="I370" i="20" s="1"/>
  <c r="E370" i="20"/>
  <c r="F370" i="20" s="1"/>
  <c r="G370" i="20" s="1"/>
  <c r="H369" i="20"/>
  <c r="I369" i="20" s="1"/>
  <c r="E369" i="20"/>
  <c r="F369" i="20" s="1"/>
  <c r="G369" i="20" s="1"/>
  <c r="H368" i="20"/>
  <c r="I368" i="20" s="1"/>
  <c r="J368" i="20" s="1"/>
  <c r="E368" i="20"/>
  <c r="F368" i="20" s="1"/>
  <c r="G368" i="20" s="1"/>
  <c r="H367" i="20"/>
  <c r="I367" i="20" s="1"/>
  <c r="E367" i="20"/>
  <c r="F367" i="20" s="1"/>
  <c r="G367" i="20" s="1"/>
  <c r="H366" i="20"/>
  <c r="I366" i="20" s="1"/>
  <c r="E366" i="20"/>
  <c r="F366" i="20" s="1"/>
  <c r="G366" i="20" s="1"/>
  <c r="H365" i="20"/>
  <c r="I365" i="20" s="1"/>
  <c r="E365" i="20"/>
  <c r="F365" i="20" s="1"/>
  <c r="G365" i="20" s="1"/>
  <c r="H363" i="20"/>
  <c r="I363" i="20" s="1"/>
  <c r="E363" i="20"/>
  <c r="F363" i="20" s="1"/>
  <c r="G363" i="20" s="1"/>
  <c r="H362" i="20"/>
  <c r="I362" i="20" s="1"/>
  <c r="E362" i="20"/>
  <c r="F362" i="20" s="1"/>
  <c r="G362" i="20" s="1"/>
  <c r="H361" i="20"/>
  <c r="I361" i="20" s="1"/>
  <c r="E361" i="20"/>
  <c r="F361" i="20" s="1"/>
  <c r="G361" i="20" s="1"/>
  <c r="H359" i="20"/>
  <c r="I359" i="20" s="1"/>
  <c r="E359" i="20"/>
  <c r="F359" i="20" s="1"/>
  <c r="G359" i="20" s="1"/>
  <c r="H358" i="20"/>
  <c r="I358" i="20" s="1"/>
  <c r="E358" i="20"/>
  <c r="F358" i="20" s="1"/>
  <c r="G358" i="20" s="1"/>
  <c r="H357" i="20"/>
  <c r="I357" i="20" s="1"/>
  <c r="E357" i="20"/>
  <c r="F357" i="20" s="1"/>
  <c r="G357" i="20" s="1"/>
  <c r="H356" i="20"/>
  <c r="I356" i="20" s="1"/>
  <c r="E356" i="20"/>
  <c r="F356" i="20" s="1"/>
  <c r="G356" i="20" s="1"/>
  <c r="H355" i="20"/>
  <c r="I355" i="20" s="1"/>
  <c r="E355" i="20"/>
  <c r="F355" i="20" s="1"/>
  <c r="G355" i="20" s="1"/>
  <c r="H354" i="20"/>
  <c r="I354" i="20" s="1"/>
  <c r="E354" i="20"/>
  <c r="F354" i="20" s="1"/>
  <c r="G354" i="20" s="1"/>
  <c r="H353" i="20"/>
  <c r="I353" i="20" s="1"/>
  <c r="E353" i="20"/>
  <c r="F353" i="20" s="1"/>
  <c r="G353" i="20" s="1"/>
  <c r="H352" i="20"/>
  <c r="I352" i="20" s="1"/>
  <c r="E352" i="20"/>
  <c r="F352" i="20" s="1"/>
  <c r="G352" i="20" s="1"/>
  <c r="H351" i="20"/>
  <c r="I351" i="20" s="1"/>
  <c r="E351" i="20"/>
  <c r="F351" i="20" s="1"/>
  <c r="G351" i="20" s="1"/>
  <c r="H350" i="20"/>
  <c r="I350" i="20" s="1"/>
  <c r="E350" i="20"/>
  <c r="F350" i="20" s="1"/>
  <c r="G350" i="20" s="1"/>
  <c r="H348" i="20"/>
  <c r="I348" i="20" s="1"/>
  <c r="E348" i="20"/>
  <c r="F348" i="20" s="1"/>
  <c r="G348" i="20" s="1"/>
  <c r="H347" i="20"/>
  <c r="I347" i="20" s="1"/>
  <c r="E347" i="20"/>
  <c r="F347" i="20" s="1"/>
  <c r="G347" i="20" s="1"/>
  <c r="H346" i="20"/>
  <c r="I346" i="20" s="1"/>
  <c r="E346" i="20"/>
  <c r="F346" i="20" s="1"/>
  <c r="G346" i="20" s="1"/>
  <c r="H345" i="20"/>
  <c r="I345" i="20" s="1"/>
  <c r="E345" i="20"/>
  <c r="F345" i="20" s="1"/>
  <c r="G345" i="20" s="1"/>
  <c r="H344" i="20"/>
  <c r="I344" i="20" s="1"/>
  <c r="E344" i="20"/>
  <c r="F344" i="20" s="1"/>
  <c r="G344" i="20" s="1"/>
  <c r="H343" i="20"/>
  <c r="I343" i="20" s="1"/>
  <c r="E343" i="20"/>
  <c r="F343" i="20" s="1"/>
  <c r="G343" i="20" s="1"/>
  <c r="H341" i="20"/>
  <c r="I341" i="20" s="1"/>
  <c r="E341" i="20"/>
  <c r="F341" i="20" s="1"/>
  <c r="G341" i="20" s="1"/>
  <c r="H340" i="20"/>
  <c r="I340" i="20" s="1"/>
  <c r="E340" i="20"/>
  <c r="F340" i="20" s="1"/>
  <c r="G340" i="20" s="1"/>
  <c r="H339" i="20"/>
  <c r="I339" i="20" s="1"/>
  <c r="E339" i="20"/>
  <c r="F339" i="20" s="1"/>
  <c r="G339" i="20" s="1"/>
  <c r="H337" i="20"/>
  <c r="I337" i="20" s="1"/>
  <c r="E337" i="20"/>
  <c r="F337" i="20" s="1"/>
  <c r="G337" i="20" s="1"/>
  <c r="H336" i="20"/>
  <c r="I336" i="20" s="1"/>
  <c r="E336" i="20"/>
  <c r="F336" i="20" s="1"/>
  <c r="G336" i="20" s="1"/>
  <c r="H335" i="20"/>
  <c r="I335" i="20" s="1"/>
  <c r="J335" i="20" s="1"/>
  <c r="E335" i="20"/>
  <c r="F335" i="20" s="1"/>
  <c r="G335" i="20" s="1"/>
  <c r="H334" i="20"/>
  <c r="I334" i="20" s="1"/>
  <c r="E334" i="20"/>
  <c r="F334" i="20" s="1"/>
  <c r="G334" i="20" s="1"/>
  <c r="H333" i="20"/>
  <c r="I333" i="20" s="1"/>
  <c r="E333" i="20"/>
  <c r="F333" i="20" s="1"/>
  <c r="G333" i="20" s="1"/>
  <c r="H332" i="20"/>
  <c r="I332" i="20" s="1"/>
  <c r="E332" i="20"/>
  <c r="F332" i="20" s="1"/>
  <c r="G332" i="20" s="1"/>
  <c r="H331" i="20"/>
  <c r="I331" i="20" s="1"/>
  <c r="E331" i="20"/>
  <c r="F331" i="20" s="1"/>
  <c r="G331" i="20" s="1"/>
  <c r="H330" i="20"/>
  <c r="I330" i="20" s="1"/>
  <c r="E330" i="20"/>
  <c r="F330" i="20" s="1"/>
  <c r="G330" i="20" s="1"/>
  <c r="H328" i="20"/>
  <c r="I328" i="20" s="1"/>
  <c r="E328" i="20"/>
  <c r="F328" i="20" s="1"/>
  <c r="G328" i="20" s="1"/>
  <c r="H327" i="20"/>
  <c r="I327" i="20" s="1"/>
  <c r="E327" i="20"/>
  <c r="F327" i="20" s="1"/>
  <c r="G327" i="20" s="1"/>
  <c r="H326" i="20"/>
  <c r="I326" i="20" s="1"/>
  <c r="E326" i="20"/>
  <c r="F326" i="20" s="1"/>
  <c r="G326" i="20" s="1"/>
  <c r="H325" i="20"/>
  <c r="I325" i="20" s="1"/>
  <c r="E325" i="20"/>
  <c r="F325" i="20" s="1"/>
  <c r="G325" i="20" s="1"/>
  <c r="H324" i="20"/>
  <c r="I324" i="20" s="1"/>
  <c r="E324" i="20"/>
  <c r="F324" i="20" s="1"/>
  <c r="G324" i="20" s="1"/>
  <c r="H323" i="20"/>
  <c r="I323" i="20" s="1"/>
  <c r="E323" i="20"/>
  <c r="F323" i="20" s="1"/>
  <c r="G323" i="20" s="1"/>
  <c r="H322" i="20"/>
  <c r="I322" i="20" s="1"/>
  <c r="E322" i="20"/>
  <c r="F322" i="20" s="1"/>
  <c r="G322" i="20" s="1"/>
  <c r="H321" i="20"/>
  <c r="I321" i="20" s="1"/>
  <c r="E321" i="20"/>
  <c r="F321" i="20" s="1"/>
  <c r="G321" i="20" s="1"/>
  <c r="H320" i="20"/>
  <c r="I320" i="20" s="1"/>
  <c r="E320" i="20"/>
  <c r="F320" i="20" s="1"/>
  <c r="G320" i="20" s="1"/>
  <c r="H319" i="20"/>
  <c r="I319" i="20" s="1"/>
  <c r="E319" i="20"/>
  <c r="F319" i="20" s="1"/>
  <c r="G319" i="20" s="1"/>
  <c r="J401" i="20" l="1"/>
  <c r="K401" i="20"/>
  <c r="J404" i="20"/>
  <c r="K404" i="20"/>
  <c r="J406" i="20"/>
  <c r="K406" i="20"/>
  <c r="J408" i="20"/>
  <c r="K408" i="20"/>
  <c r="J410" i="20"/>
  <c r="K410" i="20"/>
  <c r="J413" i="20"/>
  <c r="K413" i="20"/>
  <c r="J415" i="20"/>
  <c r="K415" i="20"/>
  <c r="J417" i="20"/>
  <c r="K417" i="20"/>
  <c r="J420" i="20"/>
  <c r="K420" i="20"/>
  <c r="J422" i="20"/>
  <c r="K422" i="20"/>
  <c r="J425" i="20"/>
  <c r="K425" i="20"/>
  <c r="J427" i="20"/>
  <c r="K427" i="20"/>
  <c r="J429" i="20"/>
  <c r="K429" i="20"/>
  <c r="J431" i="20"/>
  <c r="K431" i="20"/>
  <c r="J434" i="20"/>
  <c r="K434" i="20"/>
  <c r="J436" i="20"/>
  <c r="K436" i="20"/>
  <c r="J438" i="20"/>
  <c r="K438" i="20"/>
  <c r="J440" i="20"/>
  <c r="K440" i="20"/>
  <c r="J443" i="20"/>
  <c r="K443" i="20"/>
  <c r="J445" i="20"/>
  <c r="K445" i="20"/>
  <c r="J447" i="20"/>
  <c r="K447" i="20"/>
  <c r="J449" i="20"/>
  <c r="K449" i="20"/>
  <c r="J452" i="20"/>
  <c r="K452" i="20"/>
  <c r="J454" i="20"/>
  <c r="K454" i="20"/>
  <c r="J456" i="20"/>
  <c r="K456" i="20"/>
  <c r="J458" i="20"/>
  <c r="K458" i="20"/>
  <c r="J460" i="20"/>
  <c r="K460" i="20"/>
  <c r="J463" i="20"/>
  <c r="K463" i="20"/>
  <c r="J465" i="20"/>
  <c r="K465" i="20"/>
  <c r="J467" i="20"/>
  <c r="K467" i="20"/>
  <c r="J469" i="20"/>
  <c r="K469" i="20"/>
  <c r="J471" i="20"/>
  <c r="K471" i="20"/>
  <c r="J473" i="20"/>
  <c r="K473" i="20"/>
  <c r="J476" i="20"/>
  <c r="K476" i="20"/>
  <c r="J478" i="20"/>
  <c r="K478" i="20"/>
  <c r="J480" i="20"/>
  <c r="K480" i="20"/>
  <c r="J483" i="20"/>
  <c r="K483" i="20"/>
  <c r="J485" i="20"/>
  <c r="K485" i="20"/>
  <c r="J487" i="20"/>
  <c r="K487" i="20"/>
  <c r="J489" i="20"/>
  <c r="K489" i="20"/>
  <c r="J492" i="20"/>
  <c r="K492" i="20"/>
  <c r="J495" i="20"/>
  <c r="K495" i="20"/>
  <c r="J497" i="20"/>
  <c r="K497" i="20"/>
  <c r="J499" i="20"/>
  <c r="K499" i="20"/>
  <c r="J501" i="20"/>
  <c r="K501" i="20"/>
  <c r="J504" i="20"/>
  <c r="K504" i="20"/>
  <c r="J506" i="20"/>
  <c r="J508" i="20"/>
  <c r="J510" i="20"/>
  <c r="K510" i="20"/>
  <c r="J513" i="20"/>
  <c r="K513" i="20"/>
  <c r="J515" i="20"/>
  <c r="K515" i="20"/>
  <c r="J517" i="20"/>
  <c r="K517" i="20"/>
  <c r="J519" i="20"/>
  <c r="K519" i="20"/>
  <c r="J521" i="20"/>
  <c r="K521" i="20"/>
  <c r="J528" i="20"/>
  <c r="K528" i="20"/>
  <c r="J532" i="20"/>
  <c r="K532" i="20"/>
  <c r="J536" i="20"/>
  <c r="K536" i="20"/>
  <c r="J541" i="20"/>
  <c r="K541" i="20"/>
  <c r="J320" i="20"/>
  <c r="K320" i="20"/>
  <c r="J322" i="20"/>
  <c r="K322" i="20"/>
  <c r="J324" i="20"/>
  <c r="K324" i="20"/>
  <c r="J326" i="20"/>
  <c r="K326" i="20"/>
  <c r="J328" i="20"/>
  <c r="K328" i="20"/>
  <c r="J331" i="20"/>
  <c r="K331" i="20"/>
  <c r="J333" i="20"/>
  <c r="K333" i="20"/>
  <c r="J337" i="20"/>
  <c r="K337" i="20"/>
  <c r="J340" i="20"/>
  <c r="K340" i="20"/>
  <c r="J343" i="20"/>
  <c r="K343" i="20"/>
  <c r="J345" i="20"/>
  <c r="J347" i="20"/>
  <c r="K347" i="20"/>
  <c r="J350" i="20"/>
  <c r="K350" i="20"/>
  <c r="J352" i="20"/>
  <c r="K352" i="20"/>
  <c r="J354" i="20"/>
  <c r="K354" i="20"/>
  <c r="J356" i="20"/>
  <c r="K356" i="20"/>
  <c r="J358" i="20"/>
  <c r="K358" i="20"/>
  <c r="J361" i="20"/>
  <c r="K361" i="20"/>
  <c r="J363" i="20"/>
  <c r="K363" i="20"/>
  <c r="J366" i="20"/>
  <c r="K366" i="20"/>
  <c r="J370" i="20"/>
  <c r="K370" i="20"/>
  <c r="J372" i="20"/>
  <c r="K372" i="20"/>
  <c r="J374" i="20"/>
  <c r="K374" i="20"/>
  <c r="J377" i="20"/>
  <c r="K377" i="20"/>
  <c r="J379" i="20"/>
  <c r="K379" i="20"/>
  <c r="J381" i="20"/>
  <c r="K381" i="20"/>
  <c r="J383" i="20"/>
  <c r="K383" i="20"/>
  <c r="J385" i="20"/>
  <c r="K385" i="20"/>
  <c r="J387" i="20"/>
  <c r="K387" i="20"/>
  <c r="J390" i="20"/>
  <c r="K390" i="20"/>
  <c r="J392" i="20"/>
  <c r="K392" i="20"/>
  <c r="J395" i="20"/>
  <c r="K395" i="20"/>
  <c r="J398" i="20"/>
  <c r="K398" i="20"/>
  <c r="J400" i="20"/>
  <c r="K400" i="20"/>
  <c r="J403" i="20"/>
  <c r="K403" i="20"/>
  <c r="J405" i="20"/>
  <c r="K405" i="20"/>
  <c r="J407" i="20"/>
  <c r="K407" i="20"/>
  <c r="J409" i="20"/>
  <c r="K409" i="20"/>
  <c r="J412" i="20"/>
  <c r="K412" i="20"/>
  <c r="J414" i="20"/>
  <c r="K414" i="20"/>
  <c r="J416" i="20"/>
  <c r="K416" i="20"/>
  <c r="J419" i="20"/>
  <c r="K419" i="20"/>
  <c r="J421" i="20"/>
  <c r="K421" i="20"/>
  <c r="J424" i="20"/>
  <c r="K424" i="20"/>
  <c r="J426" i="20"/>
  <c r="K426" i="20"/>
  <c r="J428" i="20"/>
  <c r="K428" i="20"/>
  <c r="J430" i="20"/>
  <c r="K430" i="20"/>
  <c r="J433" i="20"/>
  <c r="K433" i="20"/>
  <c r="J435" i="20"/>
  <c r="K435" i="20"/>
  <c r="J437" i="20"/>
  <c r="K437" i="20"/>
  <c r="J439" i="20"/>
  <c r="K439" i="20"/>
  <c r="J442" i="20"/>
  <c r="K442" i="20"/>
  <c r="J444" i="20"/>
  <c r="K444" i="20"/>
  <c r="J446" i="20"/>
  <c r="K446" i="20"/>
  <c r="J448" i="20"/>
  <c r="K448" i="20"/>
  <c r="J450" i="20"/>
  <c r="K450" i="20"/>
  <c r="J453" i="20"/>
  <c r="K453" i="20"/>
  <c r="J455" i="20"/>
  <c r="K455" i="20"/>
  <c r="J457" i="20"/>
  <c r="K457" i="20"/>
  <c r="J459" i="20"/>
  <c r="K459" i="20"/>
  <c r="J461" i="20"/>
  <c r="K461" i="20"/>
  <c r="J464" i="20"/>
  <c r="K464" i="20"/>
  <c r="J466" i="20"/>
  <c r="K466" i="20"/>
  <c r="J468" i="20"/>
  <c r="K468" i="20"/>
  <c r="J470" i="20"/>
  <c r="K470" i="20"/>
  <c r="J472" i="20"/>
  <c r="K472" i="20"/>
  <c r="J475" i="20"/>
  <c r="K475" i="20"/>
  <c r="J477" i="20"/>
  <c r="K477" i="20"/>
  <c r="J479" i="20"/>
  <c r="K479" i="20"/>
  <c r="J482" i="20"/>
  <c r="K482" i="20"/>
  <c r="J484" i="20"/>
  <c r="K484" i="20"/>
  <c r="J486" i="20"/>
  <c r="K486" i="20"/>
  <c r="J488" i="20"/>
  <c r="K488" i="20"/>
  <c r="J491" i="20"/>
  <c r="K491" i="20"/>
  <c r="J494" i="20"/>
  <c r="K494" i="20"/>
  <c r="J496" i="20"/>
  <c r="J498" i="20"/>
  <c r="K498" i="20"/>
  <c r="J500" i="20"/>
  <c r="K500" i="20"/>
  <c r="J503" i="20"/>
  <c r="K503" i="20"/>
  <c r="J505" i="20"/>
  <c r="J507" i="20"/>
  <c r="J509" i="20"/>
  <c r="K509" i="20"/>
  <c r="J512" i="20"/>
  <c r="K512" i="20"/>
  <c r="J514" i="20"/>
  <c r="K514" i="20"/>
  <c r="J516" i="20"/>
  <c r="K516" i="20"/>
  <c r="J518" i="20"/>
  <c r="K518" i="20"/>
  <c r="J520" i="20"/>
  <c r="K520" i="20"/>
  <c r="J526" i="20"/>
  <c r="K526" i="20"/>
  <c r="J530" i="20"/>
  <c r="K530" i="20"/>
  <c r="J534" i="20"/>
  <c r="K534" i="20"/>
  <c r="J538" i="20"/>
  <c r="K538" i="20"/>
  <c r="J543" i="20"/>
  <c r="K543" i="20"/>
  <c r="J319" i="20"/>
  <c r="K319" i="20"/>
  <c r="J321" i="20"/>
  <c r="K321" i="20"/>
  <c r="J323" i="20"/>
  <c r="K323" i="20"/>
  <c r="J325" i="20"/>
  <c r="K325" i="20"/>
  <c r="J327" i="20"/>
  <c r="K327" i="20"/>
  <c r="J330" i="20"/>
  <c r="K330" i="20"/>
  <c r="J332" i="20"/>
  <c r="K332" i="20"/>
  <c r="J334" i="20"/>
  <c r="K334" i="20"/>
  <c r="J336" i="20"/>
  <c r="K336" i="20"/>
  <c r="J339" i="20"/>
  <c r="K339" i="20"/>
  <c r="J341" i="20"/>
  <c r="K341" i="20"/>
  <c r="J344" i="20"/>
  <c r="K344" i="20"/>
  <c r="J346" i="20"/>
  <c r="K346" i="20"/>
  <c r="J348" i="20"/>
  <c r="K348" i="20"/>
  <c r="J351" i="20"/>
  <c r="K351" i="20"/>
  <c r="J353" i="20"/>
  <c r="K353" i="20"/>
  <c r="J355" i="20"/>
  <c r="K355" i="20"/>
  <c r="J357" i="20"/>
  <c r="K357" i="20"/>
  <c r="J359" i="20"/>
  <c r="K359" i="20"/>
  <c r="J362" i="20"/>
  <c r="K362" i="20"/>
  <c r="J365" i="20"/>
  <c r="K365" i="20"/>
  <c r="J367" i="20"/>
  <c r="K367" i="20"/>
  <c r="J369" i="20"/>
  <c r="K369" i="20"/>
  <c r="J371" i="20"/>
  <c r="K371" i="20"/>
  <c r="J373" i="20"/>
  <c r="K373" i="20"/>
  <c r="J376" i="20"/>
  <c r="K376" i="20"/>
  <c r="J378" i="20"/>
  <c r="K378" i="20"/>
  <c r="J380" i="20"/>
  <c r="K380" i="20"/>
  <c r="J382" i="20"/>
  <c r="K382" i="20"/>
  <c r="J384" i="20"/>
  <c r="K384" i="20"/>
  <c r="J386" i="20"/>
  <c r="K386" i="20"/>
  <c r="J389" i="20"/>
  <c r="K389" i="20"/>
  <c r="J391" i="20"/>
  <c r="K391" i="20"/>
  <c r="J394" i="20"/>
  <c r="K394" i="20"/>
  <c r="J396" i="20"/>
  <c r="K396" i="20"/>
  <c r="J399" i="20"/>
  <c r="K399" i="20"/>
  <c r="H317" i="20"/>
  <c r="I317" i="20" s="1"/>
  <c r="E317" i="20"/>
  <c r="F317" i="20" s="1"/>
  <c r="G317" i="20" s="1"/>
  <c r="H316" i="20"/>
  <c r="I316" i="20" s="1"/>
  <c r="E316" i="20"/>
  <c r="F316" i="20" s="1"/>
  <c r="G316" i="20" s="1"/>
  <c r="H315" i="20"/>
  <c r="I315" i="20" s="1"/>
  <c r="E315" i="20"/>
  <c r="F315" i="20" s="1"/>
  <c r="G315" i="20" s="1"/>
  <c r="H313" i="20"/>
  <c r="I313" i="20" s="1"/>
  <c r="E313" i="20"/>
  <c r="F313" i="20" s="1"/>
  <c r="G313" i="20" s="1"/>
  <c r="H314" i="20"/>
  <c r="I314" i="20" s="1"/>
  <c r="E314" i="20"/>
  <c r="F314" i="20" s="1"/>
  <c r="G314" i="20" s="1"/>
  <c r="J316" i="20" l="1"/>
  <c r="K316" i="20"/>
  <c r="J313" i="20"/>
  <c r="K313" i="20"/>
  <c r="J314" i="20"/>
  <c r="K314" i="20"/>
  <c r="J315" i="20"/>
  <c r="K315" i="20"/>
  <c r="J317" i="20"/>
  <c r="K317" i="20"/>
  <c r="H311" i="20"/>
  <c r="I311" i="20" s="1"/>
  <c r="E311" i="20"/>
  <c r="F311" i="20" s="1"/>
  <c r="G311" i="20" s="1"/>
  <c r="H310" i="20"/>
  <c r="I310" i="20" s="1"/>
  <c r="E310" i="20"/>
  <c r="F310" i="20" s="1"/>
  <c r="G310" i="20" s="1"/>
  <c r="H309" i="20"/>
  <c r="I309" i="20" s="1"/>
  <c r="E309" i="20"/>
  <c r="F309" i="20" s="1"/>
  <c r="G309" i="20" s="1"/>
  <c r="H308" i="20"/>
  <c r="I308" i="20" s="1"/>
  <c r="E308" i="20"/>
  <c r="F308" i="20" s="1"/>
  <c r="G308" i="20" s="1"/>
  <c r="H307" i="20"/>
  <c r="I307" i="20" s="1"/>
  <c r="E307" i="20"/>
  <c r="F307" i="20" s="1"/>
  <c r="G307" i="20" s="1"/>
  <c r="H306" i="20"/>
  <c r="I306" i="20" s="1"/>
  <c r="E306" i="20"/>
  <c r="F306" i="20" s="1"/>
  <c r="G306" i="20" s="1"/>
  <c r="H305" i="20"/>
  <c r="I305" i="20" s="1"/>
  <c r="E305" i="20"/>
  <c r="F305" i="20" s="1"/>
  <c r="G305" i="20" s="1"/>
  <c r="H303" i="20"/>
  <c r="I303" i="20" s="1"/>
  <c r="E303" i="20"/>
  <c r="F303" i="20" s="1"/>
  <c r="G303" i="20" s="1"/>
  <c r="H301" i="20"/>
  <c r="I301" i="20" s="1"/>
  <c r="E301" i="20"/>
  <c r="F301" i="20" s="1"/>
  <c r="G301" i="20" s="1"/>
  <c r="H299" i="20"/>
  <c r="I299" i="20" s="1"/>
  <c r="E299" i="20"/>
  <c r="F299" i="20" s="1"/>
  <c r="G299" i="20" s="1"/>
  <c r="H298" i="20"/>
  <c r="I298" i="20" s="1"/>
  <c r="E298" i="20"/>
  <c r="F298" i="20" s="1"/>
  <c r="G298" i="20" s="1"/>
  <c r="H297" i="20"/>
  <c r="I297" i="20" s="1"/>
  <c r="E297" i="20"/>
  <c r="F297" i="20" s="1"/>
  <c r="G297" i="20" s="1"/>
  <c r="H295" i="20"/>
  <c r="I295" i="20" s="1"/>
  <c r="E295" i="20"/>
  <c r="F295" i="20" s="1"/>
  <c r="G295" i="20" s="1"/>
  <c r="H294" i="20"/>
  <c r="I294" i="20" s="1"/>
  <c r="E294" i="20"/>
  <c r="F294" i="20" s="1"/>
  <c r="G294" i="20" s="1"/>
  <c r="H293" i="20"/>
  <c r="I293" i="20" s="1"/>
  <c r="E293" i="20"/>
  <c r="F293" i="20" s="1"/>
  <c r="G293" i="20" s="1"/>
  <c r="H292" i="20"/>
  <c r="I292" i="20" s="1"/>
  <c r="E292" i="20"/>
  <c r="F292" i="20" s="1"/>
  <c r="G292" i="20" s="1"/>
  <c r="H291" i="20"/>
  <c r="I291" i="20" s="1"/>
  <c r="E291" i="20"/>
  <c r="F291" i="20" s="1"/>
  <c r="G291" i="20" s="1"/>
  <c r="H288" i="20"/>
  <c r="I288" i="20" s="1"/>
  <c r="E288" i="20"/>
  <c r="F288" i="20" s="1"/>
  <c r="G288" i="20" s="1"/>
  <c r="H290" i="20"/>
  <c r="I290" i="20" s="1"/>
  <c r="E290" i="20"/>
  <c r="F290" i="20" s="1"/>
  <c r="G290" i="20" s="1"/>
  <c r="H289" i="20"/>
  <c r="I289" i="20" s="1"/>
  <c r="E289" i="20"/>
  <c r="F289" i="20" s="1"/>
  <c r="G289" i="20" s="1"/>
  <c r="H287" i="20"/>
  <c r="I287" i="20" s="1"/>
  <c r="E287" i="20"/>
  <c r="F287" i="20" s="1"/>
  <c r="G287" i="20" s="1"/>
  <c r="H286" i="20"/>
  <c r="I286" i="20" s="1"/>
  <c r="E286" i="20"/>
  <c r="F286" i="20" s="1"/>
  <c r="G286" i="20" s="1"/>
  <c r="H285" i="20"/>
  <c r="I285" i="20" s="1"/>
  <c r="E285" i="20"/>
  <c r="F285" i="20" s="1"/>
  <c r="G285" i="20" s="1"/>
  <c r="H284" i="20"/>
  <c r="I284" i="20" s="1"/>
  <c r="E284" i="20"/>
  <c r="F284" i="20" s="1"/>
  <c r="G284" i="20" s="1"/>
  <c r="H283" i="20"/>
  <c r="I283" i="20" s="1"/>
  <c r="E283" i="20"/>
  <c r="F283" i="20" s="1"/>
  <c r="G283" i="20" s="1"/>
  <c r="H282" i="20"/>
  <c r="I282" i="20" s="1"/>
  <c r="E282" i="20"/>
  <c r="F282" i="20" s="1"/>
  <c r="G282" i="20" s="1"/>
  <c r="H275" i="20"/>
  <c r="I275" i="20" s="1"/>
  <c r="E275" i="20"/>
  <c r="F275" i="20" s="1"/>
  <c r="G275" i="20" s="1"/>
  <c r="H276" i="20"/>
  <c r="I276" i="20" s="1"/>
  <c r="E276" i="20"/>
  <c r="F276" i="20" s="1"/>
  <c r="G276" i="20" s="1"/>
  <c r="H280" i="20"/>
  <c r="I280" i="20" s="1"/>
  <c r="E280" i="20"/>
  <c r="F280" i="20" s="1"/>
  <c r="G280" i="20" s="1"/>
  <c r="H279" i="20"/>
  <c r="I279" i="20" s="1"/>
  <c r="E279" i="20"/>
  <c r="F279" i="20" s="1"/>
  <c r="G279" i="20" s="1"/>
  <c r="H278" i="20"/>
  <c r="I278" i="20" s="1"/>
  <c r="E278" i="20"/>
  <c r="F278" i="20" s="1"/>
  <c r="G278" i="20" s="1"/>
  <c r="H277" i="20"/>
  <c r="I277" i="20" s="1"/>
  <c r="E277" i="20"/>
  <c r="F277" i="20" s="1"/>
  <c r="G277" i="20" s="1"/>
  <c r="H274" i="20"/>
  <c r="I274" i="20" s="1"/>
  <c r="E274" i="20"/>
  <c r="F274" i="20" s="1"/>
  <c r="G274" i="20" s="1"/>
  <c r="H273" i="20"/>
  <c r="I273" i="20" s="1"/>
  <c r="E273" i="20"/>
  <c r="F273" i="20" s="1"/>
  <c r="G273" i="20" s="1"/>
  <c r="H272" i="20"/>
  <c r="I272" i="20" s="1"/>
  <c r="E272" i="20"/>
  <c r="F272" i="20" s="1"/>
  <c r="G272" i="20" s="1"/>
  <c r="H271" i="20"/>
  <c r="I271" i="20" s="1"/>
  <c r="E271" i="20"/>
  <c r="F271" i="20" s="1"/>
  <c r="G271" i="20" s="1"/>
  <c r="H268" i="20"/>
  <c r="I268" i="20" s="1"/>
  <c r="E268" i="20"/>
  <c r="F268" i="20" s="1"/>
  <c r="G268" i="20" s="1"/>
  <c r="H267" i="20"/>
  <c r="I267" i="20" s="1"/>
  <c r="E267" i="20"/>
  <c r="F267" i="20" s="1"/>
  <c r="G267" i="20" s="1"/>
  <c r="H266" i="20"/>
  <c r="I266" i="20" s="1"/>
  <c r="E266" i="20"/>
  <c r="F266" i="20" s="1"/>
  <c r="G266" i="20" s="1"/>
  <c r="H265" i="20"/>
  <c r="I265" i="20" s="1"/>
  <c r="E265" i="20"/>
  <c r="F265" i="20" s="1"/>
  <c r="G265" i="20" s="1"/>
  <c r="H263" i="20"/>
  <c r="I263" i="20" s="1"/>
  <c r="E263" i="20"/>
  <c r="F263" i="20" s="1"/>
  <c r="G263" i="20" s="1"/>
  <c r="H264" i="20"/>
  <c r="I264" i="20" s="1"/>
  <c r="E264" i="20"/>
  <c r="F264" i="20" s="1"/>
  <c r="G264" i="20" s="1"/>
  <c r="H269" i="20"/>
  <c r="I269" i="20" s="1"/>
  <c r="E269" i="20"/>
  <c r="F269" i="20" s="1"/>
  <c r="G269" i="20" s="1"/>
  <c r="H262" i="20"/>
  <c r="I262" i="20" s="1"/>
  <c r="E262" i="20"/>
  <c r="F262" i="20" s="1"/>
  <c r="G262" i="20" s="1"/>
  <c r="H261" i="20"/>
  <c r="I261" i="20" s="1"/>
  <c r="E261" i="20"/>
  <c r="F261" i="20" s="1"/>
  <c r="G261" i="20" s="1"/>
  <c r="H260" i="20"/>
  <c r="I260" i="20" s="1"/>
  <c r="E260" i="20"/>
  <c r="F260" i="20" s="1"/>
  <c r="G260" i="20" s="1"/>
  <c r="H259" i="20"/>
  <c r="I259" i="20" s="1"/>
  <c r="E259" i="20"/>
  <c r="F259" i="20" s="1"/>
  <c r="G259" i="20" s="1"/>
  <c r="H258" i="20"/>
  <c r="I258" i="20" s="1"/>
  <c r="E258" i="20"/>
  <c r="F258" i="20" s="1"/>
  <c r="G258" i="20" s="1"/>
  <c r="H257" i="20"/>
  <c r="I257" i="20" s="1"/>
  <c r="E257" i="20"/>
  <c r="F257" i="20" s="1"/>
  <c r="G257" i="20" s="1"/>
  <c r="H254" i="20"/>
  <c r="I254" i="20" s="1"/>
  <c r="E254" i="20"/>
  <c r="F254" i="20" s="1"/>
  <c r="G254" i="20" s="1"/>
  <c r="H252" i="20"/>
  <c r="I252" i="20" s="1"/>
  <c r="E252" i="20"/>
  <c r="F252" i="20" s="1"/>
  <c r="G252" i="20" s="1"/>
  <c r="H253" i="20"/>
  <c r="I253" i="20" s="1"/>
  <c r="E253" i="20"/>
  <c r="F253" i="20" s="1"/>
  <c r="G253" i="20" s="1"/>
  <c r="H251" i="20"/>
  <c r="I251" i="20" s="1"/>
  <c r="E251" i="20"/>
  <c r="F251" i="20" s="1"/>
  <c r="G251" i="20" s="1"/>
  <c r="H250" i="20"/>
  <c r="I250" i="20" s="1"/>
  <c r="E250" i="20"/>
  <c r="F250" i="20" s="1"/>
  <c r="G250" i="20" s="1"/>
  <c r="H249" i="20"/>
  <c r="I249" i="20" s="1"/>
  <c r="E249" i="20"/>
  <c r="F249" i="20" s="1"/>
  <c r="G249" i="20" s="1"/>
  <c r="H247" i="20"/>
  <c r="I247" i="20" s="1"/>
  <c r="E247" i="20"/>
  <c r="F247" i="20" s="1"/>
  <c r="G247" i="20" s="1"/>
  <c r="H248" i="20"/>
  <c r="I248" i="20" s="1"/>
  <c r="E248" i="20"/>
  <c r="F248" i="20" s="1"/>
  <c r="G248" i="20" s="1"/>
  <c r="H246" i="20"/>
  <c r="I246" i="20" s="1"/>
  <c r="E246" i="20"/>
  <c r="F246" i="20" s="1"/>
  <c r="G246" i="20" s="1"/>
  <c r="H244" i="20"/>
  <c r="I244" i="20" s="1"/>
  <c r="E244" i="20"/>
  <c r="F244" i="20" s="1"/>
  <c r="G244" i="20" s="1"/>
  <c r="H243" i="20"/>
  <c r="I243" i="20" s="1"/>
  <c r="E243" i="20"/>
  <c r="F243" i="20" s="1"/>
  <c r="G243" i="20" s="1"/>
  <c r="H242" i="20"/>
  <c r="I242" i="20" s="1"/>
  <c r="E242" i="20"/>
  <c r="F242" i="20" s="1"/>
  <c r="G242" i="20" s="1"/>
  <c r="H240" i="20"/>
  <c r="I240" i="20" s="1"/>
  <c r="E240" i="20"/>
  <c r="F240" i="20" s="1"/>
  <c r="G240" i="20" s="1"/>
  <c r="H241" i="20"/>
  <c r="I241" i="20" s="1"/>
  <c r="E241" i="20"/>
  <c r="F241" i="20" s="1"/>
  <c r="G241" i="20" s="1"/>
  <c r="H238" i="20"/>
  <c r="I238" i="20" s="1"/>
  <c r="E238" i="20"/>
  <c r="F238" i="20" s="1"/>
  <c r="G238" i="20" s="1"/>
  <c r="H239" i="20"/>
  <c r="I239" i="20" s="1"/>
  <c r="E239" i="20"/>
  <c r="F239" i="20" s="1"/>
  <c r="G239" i="20" s="1"/>
  <c r="H237" i="20"/>
  <c r="I237" i="20" s="1"/>
  <c r="E237" i="20"/>
  <c r="F237" i="20" s="1"/>
  <c r="G237" i="20" s="1"/>
  <c r="H236" i="20"/>
  <c r="I236" i="20" s="1"/>
  <c r="E236" i="20"/>
  <c r="F236" i="20" s="1"/>
  <c r="G236" i="20" s="1"/>
  <c r="H235" i="20"/>
  <c r="I235" i="20" s="1"/>
  <c r="E235" i="20"/>
  <c r="F235" i="20" s="1"/>
  <c r="G235" i="20" s="1"/>
  <c r="H234" i="20"/>
  <c r="I234" i="20" s="1"/>
  <c r="E234" i="20"/>
  <c r="F234" i="20" s="1"/>
  <c r="G234" i="20" s="1"/>
  <c r="H233" i="20"/>
  <c r="I233" i="20" s="1"/>
  <c r="E233" i="20"/>
  <c r="F233" i="20" s="1"/>
  <c r="G233" i="20" s="1"/>
  <c r="H229" i="20"/>
  <c r="I229" i="20" s="1"/>
  <c r="E229" i="20"/>
  <c r="F229" i="20" s="1"/>
  <c r="G229" i="20" s="1"/>
  <c r="H230" i="20"/>
  <c r="I230" i="20" s="1"/>
  <c r="E230" i="20"/>
  <c r="F230" i="20" s="1"/>
  <c r="G230" i="20" s="1"/>
  <c r="H227" i="20"/>
  <c r="I227" i="20" s="1"/>
  <c r="E227" i="20"/>
  <c r="F227" i="20" s="1"/>
  <c r="G227" i="20" s="1"/>
  <c r="H228" i="20"/>
  <c r="I228" i="20" s="1"/>
  <c r="E228" i="20"/>
  <c r="F228" i="20" s="1"/>
  <c r="G228" i="20" s="1"/>
  <c r="H231" i="20"/>
  <c r="I231" i="20" s="1"/>
  <c r="E231" i="20"/>
  <c r="F231" i="20" s="1"/>
  <c r="G231" i="20" s="1"/>
  <c r="J227" i="20" l="1"/>
  <c r="K227" i="20"/>
  <c r="J234" i="20"/>
  <c r="K234" i="20"/>
  <c r="J239" i="20"/>
  <c r="K239" i="20"/>
  <c r="J242" i="20"/>
  <c r="K242" i="20"/>
  <c r="J248" i="20"/>
  <c r="K248" i="20"/>
  <c r="J251" i="20"/>
  <c r="K251" i="20"/>
  <c r="J257" i="20"/>
  <c r="K257" i="20"/>
  <c r="J261" i="20"/>
  <c r="K261" i="20"/>
  <c r="J263" i="20"/>
  <c r="K263" i="20"/>
  <c r="J268" i="20"/>
  <c r="K268" i="20"/>
  <c r="J274" i="20"/>
  <c r="K274" i="20"/>
  <c r="J280" i="20"/>
  <c r="K280" i="20"/>
  <c r="J283" i="20"/>
  <c r="K283" i="20"/>
  <c r="J287" i="20"/>
  <c r="K287" i="20"/>
  <c r="J291" i="20"/>
  <c r="K291" i="20"/>
  <c r="J295" i="20"/>
  <c r="K295" i="20"/>
  <c r="J298" i="20"/>
  <c r="K298" i="20"/>
  <c r="J305" i="20"/>
  <c r="K305" i="20"/>
  <c r="J309" i="20"/>
  <c r="K309" i="20"/>
  <c r="J231" i="20"/>
  <c r="K231" i="20"/>
  <c r="J229" i="20"/>
  <c r="K229" i="20"/>
  <c r="J236" i="20"/>
  <c r="K236" i="20"/>
  <c r="J241" i="20"/>
  <c r="K241" i="20"/>
  <c r="J244" i="20"/>
  <c r="K244" i="20"/>
  <c r="J249" i="20"/>
  <c r="K249" i="20"/>
  <c r="J252" i="20"/>
  <c r="K252" i="20"/>
  <c r="J259" i="20"/>
  <c r="K259" i="20"/>
  <c r="J269" i="20"/>
  <c r="K269" i="20"/>
  <c r="J266" i="20"/>
  <c r="K266" i="20"/>
  <c r="J272" i="20"/>
  <c r="K272" i="20"/>
  <c r="J278" i="20"/>
  <c r="K278" i="20"/>
  <c r="J275" i="20"/>
  <c r="K275" i="20"/>
  <c r="J285" i="20"/>
  <c r="K285" i="20"/>
  <c r="J290" i="20"/>
  <c r="K290" i="20"/>
  <c r="J293" i="20"/>
  <c r="K293" i="20"/>
  <c r="J301" i="20"/>
  <c r="K301" i="20"/>
  <c r="J307" i="20"/>
  <c r="K307" i="20"/>
  <c r="J311" i="20"/>
  <c r="K311" i="20"/>
  <c r="J228" i="20"/>
  <c r="K228" i="20"/>
  <c r="J230" i="20"/>
  <c r="K230" i="20"/>
  <c r="J233" i="20"/>
  <c r="K233" i="20"/>
  <c r="J235" i="20"/>
  <c r="K235" i="20"/>
  <c r="J237" i="20"/>
  <c r="K237" i="20"/>
  <c r="J238" i="20"/>
  <c r="K238" i="20"/>
  <c r="J240" i="20"/>
  <c r="K240" i="20"/>
  <c r="J243" i="20"/>
  <c r="K243" i="20"/>
  <c r="J246" i="20"/>
  <c r="K246" i="20"/>
  <c r="J247" i="20"/>
  <c r="K247" i="20"/>
  <c r="J250" i="20"/>
  <c r="K250" i="20"/>
  <c r="J253" i="20"/>
  <c r="K253" i="20"/>
  <c r="J254" i="20"/>
  <c r="K254" i="20"/>
  <c r="J258" i="20"/>
  <c r="K258" i="20"/>
  <c r="J260" i="20"/>
  <c r="K260" i="20"/>
  <c r="J262" i="20"/>
  <c r="K262" i="20"/>
  <c r="J264" i="20"/>
  <c r="K264" i="20"/>
  <c r="J265" i="20"/>
  <c r="K265" i="20"/>
  <c r="J267" i="20"/>
  <c r="K267" i="20"/>
  <c r="J271" i="20"/>
  <c r="K271" i="20"/>
  <c r="J273" i="20"/>
  <c r="K273" i="20"/>
  <c r="J277" i="20"/>
  <c r="K277" i="20"/>
  <c r="J279" i="20"/>
  <c r="K279" i="20"/>
  <c r="J276" i="20"/>
  <c r="K276" i="20"/>
  <c r="J282" i="20"/>
  <c r="K282" i="20"/>
  <c r="J284" i="20"/>
  <c r="K284" i="20"/>
  <c r="J286" i="20"/>
  <c r="K286" i="20"/>
  <c r="J289" i="20"/>
  <c r="K289" i="20"/>
  <c r="J288" i="20"/>
  <c r="K288" i="20"/>
  <c r="J292" i="20"/>
  <c r="K292" i="20"/>
  <c r="J294" i="20"/>
  <c r="K294" i="20"/>
  <c r="J297" i="20"/>
  <c r="K297" i="20"/>
  <c r="J299" i="20"/>
  <c r="K299" i="20"/>
  <c r="J303" i="20"/>
  <c r="K303" i="20"/>
  <c r="J306" i="20"/>
  <c r="K306" i="20"/>
  <c r="J308" i="20"/>
  <c r="K308" i="20"/>
  <c r="J310" i="20"/>
  <c r="K310" i="20"/>
  <c r="H224" i="20"/>
  <c r="I224" i="20" s="1"/>
  <c r="E224" i="20"/>
  <c r="F224" i="20" s="1"/>
  <c r="G224" i="20" s="1"/>
  <c r="H223" i="20"/>
  <c r="I223" i="20" s="1"/>
  <c r="E223" i="20"/>
  <c r="F223" i="20" s="1"/>
  <c r="G223" i="20" s="1"/>
  <c r="H222" i="20"/>
  <c r="I222" i="20" s="1"/>
  <c r="E222" i="20"/>
  <c r="F222" i="20" s="1"/>
  <c r="G222" i="20" s="1"/>
  <c r="H221" i="20"/>
  <c r="I221" i="20" s="1"/>
  <c r="E221" i="20"/>
  <c r="F221" i="20" s="1"/>
  <c r="G221" i="20" s="1"/>
  <c r="H225" i="20"/>
  <c r="I225" i="20" s="1"/>
  <c r="E225" i="20"/>
  <c r="F225" i="20" s="1"/>
  <c r="G225" i="20" s="1"/>
  <c r="H220" i="20"/>
  <c r="I220" i="20" s="1"/>
  <c r="E220" i="20"/>
  <c r="F220" i="20" s="1"/>
  <c r="G220" i="20" s="1"/>
  <c r="H219" i="20"/>
  <c r="I219" i="20" s="1"/>
  <c r="E219" i="20"/>
  <c r="F219" i="20" s="1"/>
  <c r="G219" i="20" s="1"/>
  <c r="H218" i="20"/>
  <c r="I218" i="20" s="1"/>
  <c r="E218" i="20"/>
  <c r="F218" i="20" s="1"/>
  <c r="G218" i="20" s="1"/>
  <c r="H216" i="20"/>
  <c r="I216" i="20" s="1"/>
  <c r="E216" i="20"/>
  <c r="F216" i="20" s="1"/>
  <c r="G216" i="20" s="1"/>
  <c r="H215" i="20"/>
  <c r="I215" i="20" s="1"/>
  <c r="E215" i="20"/>
  <c r="F215" i="20" s="1"/>
  <c r="G215" i="20" s="1"/>
  <c r="H214" i="20"/>
  <c r="I214" i="20" s="1"/>
  <c r="E214" i="20"/>
  <c r="F214" i="20" s="1"/>
  <c r="G214" i="20" s="1"/>
  <c r="H213" i="20"/>
  <c r="I213" i="20" s="1"/>
  <c r="E213" i="20"/>
  <c r="F213" i="20" s="1"/>
  <c r="G213" i="20" s="1"/>
  <c r="H212" i="20"/>
  <c r="I212" i="20" s="1"/>
  <c r="E212" i="20"/>
  <c r="F212" i="20" s="1"/>
  <c r="G212" i="20" s="1"/>
  <c r="H211" i="20"/>
  <c r="I211" i="20" s="1"/>
  <c r="E211" i="20"/>
  <c r="F211" i="20" s="1"/>
  <c r="G211" i="20" s="1"/>
  <c r="H210" i="20"/>
  <c r="I210" i="20" s="1"/>
  <c r="J210" i="20" s="1"/>
  <c r="E210" i="20"/>
  <c r="F210" i="20" s="1"/>
  <c r="G210" i="20" s="1"/>
  <c r="H209" i="20"/>
  <c r="I209" i="20" s="1"/>
  <c r="J209" i="20" s="1"/>
  <c r="E209" i="20"/>
  <c r="F209" i="20" s="1"/>
  <c r="G209" i="20" s="1"/>
  <c r="H208" i="20"/>
  <c r="I208" i="20" s="1"/>
  <c r="E208" i="20"/>
  <c r="F208" i="20" s="1"/>
  <c r="G208" i="20" s="1"/>
  <c r="H207" i="20"/>
  <c r="I207" i="20" s="1"/>
  <c r="E207" i="20"/>
  <c r="F207" i="20" s="1"/>
  <c r="G207" i="20" s="1"/>
  <c r="H206" i="20"/>
  <c r="I206" i="20" s="1"/>
  <c r="E206" i="20"/>
  <c r="F206" i="20" s="1"/>
  <c r="G206" i="20" s="1"/>
  <c r="H205" i="20"/>
  <c r="I205" i="20" s="1"/>
  <c r="E205" i="20"/>
  <c r="F205" i="20" s="1"/>
  <c r="G205" i="20" s="1"/>
  <c r="H204" i="20"/>
  <c r="I204" i="20" s="1"/>
  <c r="E204" i="20"/>
  <c r="F204" i="20" s="1"/>
  <c r="G204" i="20" s="1"/>
  <c r="H203" i="20"/>
  <c r="I203" i="20" s="1"/>
  <c r="E203" i="20"/>
  <c r="F203" i="20" s="1"/>
  <c r="G203" i="20" s="1"/>
  <c r="H202" i="20"/>
  <c r="I202" i="20" s="1"/>
  <c r="E202" i="20"/>
  <c r="F202" i="20" s="1"/>
  <c r="G202" i="20" s="1"/>
  <c r="H200" i="20"/>
  <c r="I200" i="20" s="1"/>
  <c r="E200" i="20"/>
  <c r="F200" i="20" s="1"/>
  <c r="G200" i="20" s="1"/>
  <c r="H199" i="20"/>
  <c r="I199" i="20" s="1"/>
  <c r="E199" i="20"/>
  <c r="F199" i="20" s="1"/>
  <c r="G199" i="20" s="1"/>
  <c r="H198" i="20"/>
  <c r="I198" i="20" s="1"/>
  <c r="E198" i="20"/>
  <c r="F198" i="20" s="1"/>
  <c r="G198" i="20" s="1"/>
  <c r="H197" i="20"/>
  <c r="I197" i="20" s="1"/>
  <c r="E197" i="20"/>
  <c r="F197" i="20" s="1"/>
  <c r="G197" i="20" s="1"/>
  <c r="H195" i="20"/>
  <c r="I195" i="20" s="1"/>
  <c r="E195" i="20"/>
  <c r="F195" i="20" s="1"/>
  <c r="G195" i="20" s="1"/>
  <c r="H196" i="20"/>
  <c r="I196" i="20" s="1"/>
  <c r="E196" i="20"/>
  <c r="F196" i="20" s="1"/>
  <c r="G196" i="20" s="1"/>
  <c r="H194" i="20"/>
  <c r="I194" i="20" s="1"/>
  <c r="E194" i="20"/>
  <c r="F194" i="20" s="1"/>
  <c r="G194" i="20" s="1"/>
  <c r="H192" i="20"/>
  <c r="I192" i="20" s="1"/>
  <c r="E192" i="20"/>
  <c r="F192" i="20" s="1"/>
  <c r="G192" i="20" s="1"/>
  <c r="H193" i="20"/>
  <c r="I193" i="20" s="1"/>
  <c r="E193" i="20"/>
  <c r="F193" i="20" s="1"/>
  <c r="G193" i="20" s="1"/>
  <c r="H191" i="20"/>
  <c r="I191" i="20" s="1"/>
  <c r="E191" i="20"/>
  <c r="F191" i="20" s="1"/>
  <c r="G191" i="20" s="1"/>
  <c r="H189" i="20"/>
  <c r="I189" i="20" s="1"/>
  <c r="E189" i="20"/>
  <c r="F189" i="20" s="1"/>
  <c r="G189" i="20" s="1"/>
  <c r="H190" i="20"/>
  <c r="I190" i="20" s="1"/>
  <c r="E190" i="20"/>
  <c r="F190" i="20" s="1"/>
  <c r="G190" i="20" s="1"/>
  <c r="H188" i="20"/>
  <c r="I188" i="20" s="1"/>
  <c r="E188" i="20"/>
  <c r="F188" i="20" s="1"/>
  <c r="G188" i="20" s="1"/>
  <c r="H187" i="20"/>
  <c r="I187" i="20" s="1"/>
  <c r="E187" i="20"/>
  <c r="F187" i="20" s="1"/>
  <c r="G187" i="20" s="1"/>
  <c r="H186" i="20"/>
  <c r="I186" i="20" s="1"/>
  <c r="E186" i="20"/>
  <c r="F186" i="20" s="1"/>
  <c r="G186" i="20" s="1"/>
  <c r="H185" i="20"/>
  <c r="I185" i="20" s="1"/>
  <c r="E185" i="20"/>
  <c r="F185" i="20" s="1"/>
  <c r="G185" i="20" s="1"/>
  <c r="H184" i="20"/>
  <c r="I184" i="20" s="1"/>
  <c r="E184" i="20"/>
  <c r="F184" i="20" s="1"/>
  <c r="G184" i="20" s="1"/>
  <c r="H183" i="20"/>
  <c r="I183" i="20" s="1"/>
  <c r="E183" i="20"/>
  <c r="F183" i="20" s="1"/>
  <c r="G183" i="20" s="1"/>
  <c r="H179" i="20"/>
  <c r="I179" i="20" s="1"/>
  <c r="E179" i="20"/>
  <c r="F179" i="20" s="1"/>
  <c r="G179" i="20" s="1"/>
  <c r="H177" i="20"/>
  <c r="I177" i="20" s="1"/>
  <c r="E177" i="20"/>
  <c r="F177" i="20" s="1"/>
  <c r="G177" i="20" s="1"/>
  <c r="H176" i="20"/>
  <c r="I176" i="20" s="1"/>
  <c r="E176" i="20"/>
  <c r="F176" i="20" s="1"/>
  <c r="G176" i="20" s="1"/>
  <c r="H181" i="20"/>
  <c r="I181" i="20" s="1"/>
  <c r="E181" i="20"/>
  <c r="F181" i="20" s="1"/>
  <c r="G181" i="20" s="1"/>
  <c r="H180" i="20"/>
  <c r="I180" i="20" s="1"/>
  <c r="E180" i="20"/>
  <c r="F180" i="20" s="1"/>
  <c r="G180" i="20" s="1"/>
  <c r="H178" i="20"/>
  <c r="I178" i="20" s="1"/>
  <c r="E178" i="20"/>
  <c r="F178" i="20" s="1"/>
  <c r="G178" i="20" s="1"/>
  <c r="H175" i="20"/>
  <c r="I175" i="20" s="1"/>
  <c r="E175" i="20"/>
  <c r="F175" i="20" s="1"/>
  <c r="G175" i="20" s="1"/>
  <c r="H174" i="20"/>
  <c r="I174" i="20" s="1"/>
  <c r="E174" i="20"/>
  <c r="F174" i="20" s="1"/>
  <c r="G174" i="20" s="1"/>
  <c r="H173" i="20"/>
  <c r="I173" i="20" s="1"/>
  <c r="E173" i="20"/>
  <c r="F173" i="20" s="1"/>
  <c r="G173" i="20" s="1"/>
  <c r="H170" i="20"/>
  <c r="I170" i="20" s="1"/>
  <c r="E170" i="20"/>
  <c r="F170" i="20" s="1"/>
  <c r="G170" i="20" s="1"/>
  <c r="H169" i="20"/>
  <c r="I169" i="20" s="1"/>
  <c r="E169" i="20"/>
  <c r="F169" i="20" s="1"/>
  <c r="G169" i="20" s="1"/>
  <c r="H171" i="20"/>
  <c r="I171" i="20" s="1"/>
  <c r="E171" i="20"/>
  <c r="F171" i="20" s="1"/>
  <c r="G171" i="20" s="1"/>
  <c r="H168" i="20"/>
  <c r="I168" i="20" s="1"/>
  <c r="E168" i="20"/>
  <c r="F168" i="20" s="1"/>
  <c r="G168" i="20" s="1"/>
  <c r="H167" i="20"/>
  <c r="I167" i="20" s="1"/>
  <c r="E167" i="20"/>
  <c r="F167" i="20" s="1"/>
  <c r="G167" i="20" s="1"/>
  <c r="H165" i="20"/>
  <c r="I165" i="20" s="1"/>
  <c r="E165" i="20"/>
  <c r="F165" i="20" s="1"/>
  <c r="G165" i="20" s="1"/>
  <c r="H164" i="20"/>
  <c r="I164" i="20" s="1"/>
  <c r="E164" i="20"/>
  <c r="F164" i="20" s="1"/>
  <c r="G164" i="20" s="1"/>
  <c r="H166" i="20"/>
  <c r="I166" i="20" s="1"/>
  <c r="E166" i="20"/>
  <c r="F166" i="20" s="1"/>
  <c r="G166" i="20" s="1"/>
  <c r="H157" i="20"/>
  <c r="I157" i="20" s="1"/>
  <c r="E157" i="20"/>
  <c r="F157" i="20" s="1"/>
  <c r="G157" i="20" s="1"/>
  <c r="H159" i="20"/>
  <c r="I159" i="20" s="1"/>
  <c r="E159" i="20"/>
  <c r="F159" i="20" s="1"/>
  <c r="G159" i="20" s="1"/>
  <c r="H158" i="20"/>
  <c r="I158" i="20" s="1"/>
  <c r="E158" i="20"/>
  <c r="F158" i="20" s="1"/>
  <c r="G158" i="20" s="1"/>
  <c r="H162" i="20"/>
  <c r="I162" i="20" s="1"/>
  <c r="E162" i="20"/>
  <c r="F162" i="20" s="1"/>
  <c r="G162" i="20" s="1"/>
  <c r="H161" i="20"/>
  <c r="I161" i="20" s="1"/>
  <c r="E161" i="20"/>
  <c r="F161" i="20" s="1"/>
  <c r="G161" i="20" s="1"/>
  <c r="H160" i="20"/>
  <c r="I160" i="20" s="1"/>
  <c r="E160" i="20"/>
  <c r="F160" i="20" s="1"/>
  <c r="G160" i="20" s="1"/>
  <c r="H156" i="20"/>
  <c r="I156" i="20" s="1"/>
  <c r="E156" i="20"/>
  <c r="F156" i="20" s="1"/>
  <c r="G156" i="20" s="1"/>
  <c r="H155" i="20"/>
  <c r="I155" i="20" s="1"/>
  <c r="E155" i="20"/>
  <c r="F155" i="20" s="1"/>
  <c r="G155" i="20" s="1"/>
  <c r="J174" i="20" l="1"/>
  <c r="K174" i="20"/>
  <c r="J202" i="20"/>
  <c r="K202" i="20"/>
  <c r="J204" i="20"/>
  <c r="K204" i="20"/>
  <c r="J206" i="20"/>
  <c r="K206" i="20"/>
  <c r="J208" i="20"/>
  <c r="K208" i="20"/>
  <c r="J212" i="20"/>
  <c r="K212" i="20"/>
  <c r="J214" i="20"/>
  <c r="K214" i="20"/>
  <c r="J216" i="20"/>
  <c r="K216" i="20"/>
  <c r="J219" i="20"/>
  <c r="K219" i="20"/>
  <c r="J225" i="20"/>
  <c r="K225" i="20"/>
  <c r="J222" i="20"/>
  <c r="K222" i="20"/>
  <c r="J224" i="20"/>
  <c r="K224" i="20"/>
  <c r="J156" i="20"/>
  <c r="K156" i="20"/>
  <c r="J161" i="20"/>
  <c r="K161" i="20"/>
  <c r="J158" i="20"/>
  <c r="K158" i="20"/>
  <c r="J157" i="20"/>
  <c r="K157" i="20"/>
  <c r="J164" i="20"/>
  <c r="K164" i="20"/>
  <c r="J167" i="20"/>
  <c r="K167" i="20"/>
  <c r="J171" i="20"/>
  <c r="K171" i="20"/>
  <c r="J170" i="20"/>
  <c r="K170" i="20"/>
  <c r="J178" i="20"/>
  <c r="K178" i="20"/>
  <c r="J181" i="20"/>
  <c r="K181" i="20"/>
  <c r="J177" i="20"/>
  <c r="K177" i="20"/>
  <c r="J183" i="20"/>
  <c r="K183" i="20"/>
  <c r="J185" i="20"/>
  <c r="K185" i="20"/>
  <c r="J187" i="20"/>
  <c r="K187" i="20"/>
  <c r="J190" i="20"/>
  <c r="K190" i="20"/>
  <c r="J191" i="20"/>
  <c r="K191" i="20"/>
  <c r="J192" i="20"/>
  <c r="K192" i="20"/>
  <c r="J196" i="20"/>
  <c r="K196" i="20"/>
  <c r="J197" i="20"/>
  <c r="K197" i="20"/>
  <c r="J199" i="20"/>
  <c r="K199" i="20"/>
  <c r="J155" i="20"/>
  <c r="K155" i="20"/>
  <c r="J160" i="20"/>
  <c r="K160" i="20"/>
  <c r="J162" i="20"/>
  <c r="K162" i="20"/>
  <c r="J159" i="20"/>
  <c r="K159" i="20"/>
  <c r="J166" i="20"/>
  <c r="K166" i="20"/>
  <c r="J165" i="20"/>
  <c r="K165" i="20"/>
  <c r="J168" i="20"/>
  <c r="K168" i="20"/>
  <c r="J169" i="20"/>
  <c r="K169" i="20"/>
  <c r="J173" i="20"/>
  <c r="K173" i="20"/>
  <c r="J175" i="20"/>
  <c r="K175" i="20"/>
  <c r="J180" i="20"/>
  <c r="K180" i="20"/>
  <c r="J176" i="20"/>
  <c r="K176" i="20"/>
  <c r="J179" i="20"/>
  <c r="K179" i="20"/>
  <c r="J184" i="20"/>
  <c r="K184" i="20"/>
  <c r="J186" i="20"/>
  <c r="K186" i="20"/>
  <c r="J188" i="20"/>
  <c r="K188" i="20"/>
  <c r="J189" i="20"/>
  <c r="K189" i="20"/>
  <c r="J193" i="20"/>
  <c r="K193" i="20"/>
  <c r="J194" i="20"/>
  <c r="K194" i="20"/>
  <c r="J195" i="20"/>
  <c r="K195" i="20"/>
  <c r="J198" i="20"/>
  <c r="K198" i="20"/>
  <c r="J200" i="20"/>
  <c r="K200" i="20"/>
  <c r="J203" i="20"/>
  <c r="K203" i="20"/>
  <c r="J205" i="20"/>
  <c r="K205" i="20"/>
  <c r="J207" i="20"/>
  <c r="K207" i="20"/>
  <c r="J211" i="20"/>
  <c r="K211" i="20"/>
  <c r="J213" i="20"/>
  <c r="K213" i="20"/>
  <c r="J215" i="20"/>
  <c r="K215" i="20"/>
  <c r="J218" i="20"/>
  <c r="K218" i="20"/>
  <c r="J220" i="20"/>
  <c r="K220" i="20"/>
  <c r="J221" i="20"/>
  <c r="K221" i="20"/>
  <c r="J223" i="20"/>
  <c r="K223" i="20"/>
  <c r="H153" i="20"/>
  <c r="I153" i="20" s="1"/>
  <c r="E153" i="20"/>
  <c r="F153" i="20" s="1"/>
  <c r="G153" i="20" s="1"/>
  <c r="H152" i="20"/>
  <c r="I152" i="20" s="1"/>
  <c r="E152" i="20"/>
  <c r="F152" i="20" s="1"/>
  <c r="G152" i="20" s="1"/>
  <c r="H151" i="20"/>
  <c r="I151" i="20" s="1"/>
  <c r="E151" i="20"/>
  <c r="F151" i="20" s="1"/>
  <c r="G151" i="20" s="1"/>
  <c r="H150" i="20"/>
  <c r="I150" i="20" s="1"/>
  <c r="E150" i="20"/>
  <c r="F150" i="20" s="1"/>
  <c r="G150" i="20" s="1"/>
  <c r="H149" i="20"/>
  <c r="I149" i="20" s="1"/>
  <c r="E149" i="20"/>
  <c r="F149" i="20" s="1"/>
  <c r="G149" i="20" s="1"/>
  <c r="H148" i="20"/>
  <c r="I148" i="20" s="1"/>
  <c r="E148" i="20"/>
  <c r="F148" i="20" s="1"/>
  <c r="G148" i="20" s="1"/>
  <c r="E146" i="20"/>
  <c r="F146" i="20" s="1"/>
  <c r="G146" i="20" s="1"/>
  <c r="H146" i="20"/>
  <c r="I146" i="20" s="1"/>
  <c r="H145" i="20"/>
  <c r="I145" i="20" s="1"/>
  <c r="E145" i="20"/>
  <c r="F145" i="20" s="1"/>
  <c r="G145" i="20" s="1"/>
  <c r="H144" i="20"/>
  <c r="I144" i="20" s="1"/>
  <c r="E144" i="20"/>
  <c r="F144" i="20" s="1"/>
  <c r="G144" i="20" s="1"/>
  <c r="H143" i="20"/>
  <c r="I143" i="20" s="1"/>
  <c r="E143" i="20"/>
  <c r="F143" i="20" s="1"/>
  <c r="G143" i="20" s="1"/>
  <c r="H141" i="20"/>
  <c r="I141" i="20" s="1"/>
  <c r="K141" i="20" s="1"/>
  <c r="E141" i="20"/>
  <c r="F141" i="20" s="1"/>
  <c r="G141" i="20" s="1"/>
  <c r="H140" i="20"/>
  <c r="I140" i="20" s="1"/>
  <c r="E140" i="20"/>
  <c r="F140" i="20" s="1"/>
  <c r="G140" i="20" s="1"/>
  <c r="H139" i="20"/>
  <c r="I139" i="20" s="1"/>
  <c r="E139" i="20"/>
  <c r="F139" i="20" s="1"/>
  <c r="G139" i="20" s="1"/>
  <c r="H138" i="20"/>
  <c r="I138" i="20" s="1"/>
  <c r="E138" i="20"/>
  <c r="F138" i="20" s="1"/>
  <c r="G138" i="20" s="1"/>
  <c r="H137" i="20"/>
  <c r="I137" i="20" s="1"/>
  <c r="E137" i="20"/>
  <c r="F137" i="20" s="1"/>
  <c r="G137" i="20" s="1"/>
  <c r="H136" i="20"/>
  <c r="I136" i="20" s="1"/>
  <c r="E136" i="20"/>
  <c r="F136" i="20" s="1"/>
  <c r="G136" i="20" s="1"/>
  <c r="J138" i="20" l="1"/>
  <c r="K138" i="20"/>
  <c r="J140" i="20"/>
  <c r="K140" i="20"/>
  <c r="J143" i="20"/>
  <c r="K143" i="20"/>
  <c r="J145" i="20"/>
  <c r="K145" i="20"/>
  <c r="J148" i="20"/>
  <c r="K148" i="20"/>
  <c r="J150" i="20"/>
  <c r="K150" i="20"/>
  <c r="J152" i="20"/>
  <c r="K152" i="20"/>
  <c r="J137" i="20"/>
  <c r="K137" i="20"/>
  <c r="J139" i="20"/>
  <c r="K139" i="20"/>
  <c r="J136" i="20"/>
  <c r="K136" i="20"/>
  <c r="J146" i="20"/>
  <c r="K146" i="20"/>
  <c r="J144" i="20"/>
  <c r="K144" i="20"/>
  <c r="J149" i="20"/>
  <c r="K149" i="20"/>
  <c r="J151" i="20"/>
  <c r="K151" i="20"/>
  <c r="J153" i="20"/>
  <c r="K153" i="20"/>
  <c r="J141" i="20"/>
  <c r="H134" i="20"/>
  <c r="I134" i="20" s="1"/>
  <c r="E134" i="20"/>
  <c r="F134" i="20" s="1"/>
  <c r="G134" i="20" s="1"/>
  <c r="H133" i="20"/>
  <c r="I133" i="20" s="1"/>
  <c r="E133" i="20"/>
  <c r="F133" i="20" s="1"/>
  <c r="G133" i="20" s="1"/>
  <c r="H132" i="20"/>
  <c r="I132" i="20" s="1"/>
  <c r="E132" i="20"/>
  <c r="F132" i="20" s="1"/>
  <c r="G132" i="20" s="1"/>
  <c r="H131" i="20"/>
  <c r="I131" i="20" s="1"/>
  <c r="E131" i="20"/>
  <c r="F131" i="20" s="1"/>
  <c r="G131" i="20" s="1"/>
  <c r="H130" i="20"/>
  <c r="I130" i="20" s="1"/>
  <c r="E130" i="20"/>
  <c r="F130" i="20" s="1"/>
  <c r="G130" i="20" s="1"/>
  <c r="H129" i="20"/>
  <c r="I129" i="20" s="1"/>
  <c r="E129" i="20"/>
  <c r="F129" i="20" s="1"/>
  <c r="G129" i="20" s="1"/>
  <c r="H128" i="20"/>
  <c r="I128" i="20" s="1"/>
  <c r="E128" i="20"/>
  <c r="F128" i="20" s="1"/>
  <c r="G128" i="20" s="1"/>
  <c r="H127" i="20"/>
  <c r="I127" i="20" s="1"/>
  <c r="E127" i="20"/>
  <c r="F127" i="20" s="1"/>
  <c r="G127" i="20" s="1"/>
  <c r="H125" i="20"/>
  <c r="I125" i="20" s="1"/>
  <c r="E125" i="20"/>
  <c r="F125" i="20" s="1"/>
  <c r="G125" i="20" s="1"/>
  <c r="H124" i="20"/>
  <c r="I124" i="20" s="1"/>
  <c r="E124" i="20"/>
  <c r="F124" i="20" s="1"/>
  <c r="G124" i="20" s="1"/>
  <c r="H123" i="20"/>
  <c r="I123" i="20" s="1"/>
  <c r="E123" i="20"/>
  <c r="F123" i="20" s="1"/>
  <c r="G123" i="20" s="1"/>
  <c r="H122" i="20"/>
  <c r="I122" i="20" s="1"/>
  <c r="E122" i="20"/>
  <c r="F122" i="20" s="1"/>
  <c r="G122" i="20" s="1"/>
  <c r="H121" i="20"/>
  <c r="I121" i="20" s="1"/>
  <c r="E121" i="20"/>
  <c r="F121" i="20" s="1"/>
  <c r="G121" i="20" s="1"/>
  <c r="H120" i="20"/>
  <c r="I120" i="20" s="1"/>
  <c r="E120" i="20"/>
  <c r="F120" i="20" s="1"/>
  <c r="G120" i="20" s="1"/>
  <c r="H119" i="20"/>
  <c r="I119" i="20" s="1"/>
  <c r="E119" i="20"/>
  <c r="F119" i="20" s="1"/>
  <c r="G119" i="20" s="1"/>
  <c r="H118" i="20"/>
  <c r="I118" i="20" s="1"/>
  <c r="E118" i="20"/>
  <c r="F118" i="20" s="1"/>
  <c r="G118" i="20" s="1"/>
  <c r="H117" i="20"/>
  <c r="I117" i="20" s="1"/>
  <c r="E117" i="20"/>
  <c r="F117" i="20" s="1"/>
  <c r="G117" i="20" s="1"/>
  <c r="H115" i="20"/>
  <c r="I115" i="20" s="1"/>
  <c r="E115" i="20"/>
  <c r="F115" i="20" s="1"/>
  <c r="G115" i="20" s="1"/>
  <c r="H114" i="20"/>
  <c r="I114" i="20" s="1"/>
  <c r="E114" i="20"/>
  <c r="F114" i="20" s="1"/>
  <c r="G114" i="20" s="1"/>
  <c r="H113" i="20"/>
  <c r="I113" i="20" s="1"/>
  <c r="E113" i="20"/>
  <c r="F113" i="20" s="1"/>
  <c r="G113" i="20" s="1"/>
  <c r="H112" i="20"/>
  <c r="I112" i="20" s="1"/>
  <c r="E112" i="20"/>
  <c r="F112" i="20" s="1"/>
  <c r="G112" i="20" s="1"/>
  <c r="H111" i="20"/>
  <c r="I111" i="20" s="1"/>
  <c r="E111" i="20"/>
  <c r="F111" i="20" s="1"/>
  <c r="G111" i="20" s="1"/>
  <c r="H110" i="20"/>
  <c r="I110" i="20" s="1"/>
  <c r="E110" i="20"/>
  <c r="F110" i="20" s="1"/>
  <c r="G110" i="20" s="1"/>
  <c r="H109" i="20"/>
  <c r="I109" i="20" s="1"/>
  <c r="E109" i="20"/>
  <c r="F109" i="20" s="1"/>
  <c r="G109" i="20" s="1"/>
  <c r="H108" i="20"/>
  <c r="I108" i="20" s="1"/>
  <c r="E108" i="20"/>
  <c r="F108" i="20" s="1"/>
  <c r="G108" i="20" s="1"/>
  <c r="H107" i="20"/>
  <c r="I107" i="20" s="1"/>
  <c r="E107" i="20"/>
  <c r="F107" i="20" s="1"/>
  <c r="G107" i="20" s="1"/>
  <c r="H106" i="20"/>
  <c r="I106" i="20" s="1"/>
  <c r="E106" i="20"/>
  <c r="F106" i="20" s="1"/>
  <c r="G106" i="20" s="1"/>
  <c r="H105" i="20"/>
  <c r="I105" i="20" s="1"/>
  <c r="E105" i="20"/>
  <c r="F105" i="20" s="1"/>
  <c r="G105" i="20" s="1"/>
  <c r="H104" i="20"/>
  <c r="I104" i="20" s="1"/>
  <c r="E104" i="20"/>
  <c r="F104" i="20" s="1"/>
  <c r="G104" i="20" s="1"/>
  <c r="H103" i="20"/>
  <c r="I103" i="20" s="1"/>
  <c r="E103" i="20"/>
  <c r="F103" i="20" s="1"/>
  <c r="G103" i="20" s="1"/>
  <c r="H102" i="20"/>
  <c r="I102" i="20" s="1"/>
  <c r="E102" i="20"/>
  <c r="F102" i="20" s="1"/>
  <c r="G102" i="20" s="1"/>
  <c r="H101" i="20"/>
  <c r="I101" i="20" s="1"/>
  <c r="E101" i="20"/>
  <c r="F101" i="20" s="1"/>
  <c r="G101" i="20" s="1"/>
  <c r="H100" i="20"/>
  <c r="I100" i="20" s="1"/>
  <c r="E100" i="20"/>
  <c r="F100" i="20" s="1"/>
  <c r="G100" i="20" s="1"/>
  <c r="H64" i="20"/>
  <c r="I64" i="20" s="1"/>
  <c r="E64" i="20"/>
  <c r="F64" i="20" s="1"/>
  <c r="G64" i="20" s="1"/>
  <c r="H98" i="20"/>
  <c r="I98" i="20" s="1"/>
  <c r="E98" i="20"/>
  <c r="F98" i="20" s="1"/>
  <c r="G98" i="20" s="1"/>
  <c r="H97" i="20"/>
  <c r="I97" i="20" s="1"/>
  <c r="E97" i="20"/>
  <c r="F97" i="20" s="1"/>
  <c r="G97" i="20" s="1"/>
  <c r="H96" i="20"/>
  <c r="I96" i="20" s="1"/>
  <c r="E96" i="20"/>
  <c r="F96" i="20" s="1"/>
  <c r="G96" i="20" s="1"/>
  <c r="H95" i="20"/>
  <c r="I95" i="20" s="1"/>
  <c r="E95" i="20"/>
  <c r="F95" i="20" s="1"/>
  <c r="G95" i="20" s="1"/>
  <c r="H94" i="20"/>
  <c r="I94" i="20" s="1"/>
  <c r="E94" i="20"/>
  <c r="F94" i="20" s="1"/>
  <c r="G94" i="20" s="1"/>
  <c r="H93" i="20"/>
  <c r="I93" i="20" s="1"/>
  <c r="E93" i="20"/>
  <c r="F93" i="20" s="1"/>
  <c r="G93" i="20" s="1"/>
  <c r="H92" i="20"/>
  <c r="I92" i="20" s="1"/>
  <c r="E92" i="20"/>
  <c r="F92" i="20" s="1"/>
  <c r="G92" i="20" s="1"/>
  <c r="H91" i="20"/>
  <c r="I91" i="20" s="1"/>
  <c r="E91" i="20"/>
  <c r="F91" i="20" s="1"/>
  <c r="G91" i="20" s="1"/>
  <c r="H89" i="20"/>
  <c r="I89" i="20" s="1"/>
  <c r="E89" i="20"/>
  <c r="F89" i="20" s="1"/>
  <c r="G89" i="20" s="1"/>
  <c r="H88" i="20"/>
  <c r="I88" i="20" s="1"/>
  <c r="E88" i="20"/>
  <c r="F88" i="20" s="1"/>
  <c r="G88" i="20" s="1"/>
  <c r="H87" i="20"/>
  <c r="I87" i="20" s="1"/>
  <c r="E87" i="20"/>
  <c r="F87" i="20" s="1"/>
  <c r="G87" i="20" s="1"/>
  <c r="H86" i="20"/>
  <c r="I86" i="20" s="1"/>
  <c r="E86" i="20"/>
  <c r="F86" i="20" s="1"/>
  <c r="G86" i="20" s="1"/>
  <c r="H85" i="20"/>
  <c r="I85" i="20" s="1"/>
  <c r="E85" i="20"/>
  <c r="F85" i="20" s="1"/>
  <c r="G85" i="20" s="1"/>
  <c r="H84" i="20"/>
  <c r="I84" i="20" s="1"/>
  <c r="E84" i="20"/>
  <c r="F84" i="20" s="1"/>
  <c r="G84" i="20" s="1"/>
  <c r="H83" i="20"/>
  <c r="I83" i="20" s="1"/>
  <c r="E83" i="20"/>
  <c r="F83" i="20" s="1"/>
  <c r="G83" i="20" s="1"/>
  <c r="H81" i="20"/>
  <c r="I81" i="20" s="1"/>
  <c r="E81" i="20"/>
  <c r="F81" i="20" s="1"/>
  <c r="G81" i="20" s="1"/>
  <c r="H79" i="20"/>
  <c r="I79" i="20" s="1"/>
  <c r="E79" i="20"/>
  <c r="F79" i="20" s="1"/>
  <c r="G79" i="20" s="1"/>
  <c r="H80" i="20"/>
  <c r="I80" i="20" s="1"/>
  <c r="E80" i="20"/>
  <c r="F80" i="20" s="1"/>
  <c r="G80" i="20" s="1"/>
  <c r="H82" i="20"/>
  <c r="I82" i="20" s="1"/>
  <c r="E82" i="20"/>
  <c r="F82" i="20" s="1"/>
  <c r="G82" i="20" s="1"/>
  <c r="H77" i="20"/>
  <c r="I77" i="20" s="1"/>
  <c r="E77" i="20"/>
  <c r="F77" i="20" s="1"/>
  <c r="G77" i="20" s="1"/>
  <c r="H76" i="20"/>
  <c r="I76" i="20" s="1"/>
  <c r="E76" i="20"/>
  <c r="F76" i="20" s="1"/>
  <c r="G76" i="20" s="1"/>
  <c r="H74" i="20"/>
  <c r="I74" i="20" s="1"/>
  <c r="E74" i="20"/>
  <c r="F74" i="20" s="1"/>
  <c r="G74" i="20" s="1"/>
  <c r="H72" i="20"/>
  <c r="I72" i="20" s="1"/>
  <c r="E72" i="20"/>
  <c r="F72" i="20" s="1"/>
  <c r="G72" i="20" s="1"/>
  <c r="J112" i="20" l="1"/>
  <c r="K112" i="20"/>
  <c r="J123" i="20"/>
  <c r="K123" i="20"/>
  <c r="J130" i="20"/>
  <c r="K130" i="20"/>
  <c r="J72" i="20"/>
  <c r="K72" i="20"/>
  <c r="J79" i="20"/>
  <c r="K79" i="20"/>
  <c r="J85" i="20"/>
  <c r="K85" i="20"/>
  <c r="J89" i="20"/>
  <c r="K89" i="20"/>
  <c r="J94" i="20"/>
  <c r="K94" i="20"/>
  <c r="J96" i="20"/>
  <c r="K96" i="20"/>
  <c r="J100" i="20"/>
  <c r="K100" i="20"/>
  <c r="J104" i="20"/>
  <c r="K104" i="20"/>
  <c r="J110" i="20"/>
  <c r="K110" i="20"/>
  <c r="J114" i="20"/>
  <c r="K114" i="20"/>
  <c r="J119" i="20"/>
  <c r="K119" i="20"/>
  <c r="J125" i="20"/>
  <c r="K125" i="20"/>
  <c r="J132" i="20"/>
  <c r="K132" i="20"/>
  <c r="J74" i="20"/>
  <c r="K74" i="20"/>
  <c r="J77" i="20"/>
  <c r="K77" i="20"/>
  <c r="J80" i="20"/>
  <c r="K80" i="20"/>
  <c r="J81" i="20"/>
  <c r="K81" i="20"/>
  <c r="J84" i="20"/>
  <c r="K84" i="20"/>
  <c r="J86" i="20"/>
  <c r="K86" i="20"/>
  <c r="J88" i="20"/>
  <c r="K88" i="20"/>
  <c r="J91" i="20"/>
  <c r="K91" i="20"/>
  <c r="J93" i="20"/>
  <c r="K93" i="20"/>
  <c r="J95" i="20"/>
  <c r="K95" i="20"/>
  <c r="J97" i="20"/>
  <c r="K97" i="20"/>
  <c r="J64" i="20"/>
  <c r="K64" i="20"/>
  <c r="J101" i="20"/>
  <c r="K101" i="20"/>
  <c r="J103" i="20"/>
  <c r="K103" i="20"/>
  <c r="J105" i="20"/>
  <c r="K105" i="20"/>
  <c r="J107" i="20"/>
  <c r="K107" i="20"/>
  <c r="J109" i="20"/>
  <c r="K109" i="20"/>
  <c r="J111" i="20"/>
  <c r="K111" i="20"/>
  <c r="J113" i="20"/>
  <c r="K113" i="20"/>
  <c r="J115" i="20"/>
  <c r="K115" i="20"/>
  <c r="J118" i="20"/>
  <c r="K118" i="20"/>
  <c r="J120" i="20"/>
  <c r="K120" i="20"/>
  <c r="J122" i="20"/>
  <c r="K122" i="20"/>
  <c r="J124" i="20"/>
  <c r="K124" i="20"/>
  <c r="J127" i="20"/>
  <c r="K127" i="20"/>
  <c r="J129" i="20"/>
  <c r="K129" i="20"/>
  <c r="J131" i="20"/>
  <c r="K131" i="20"/>
  <c r="J133" i="20"/>
  <c r="K133" i="20"/>
  <c r="J76" i="20"/>
  <c r="K76" i="20"/>
  <c r="J82" i="20"/>
  <c r="K82" i="20"/>
  <c r="J83" i="20"/>
  <c r="K83" i="20"/>
  <c r="J87" i="20"/>
  <c r="K87" i="20"/>
  <c r="J92" i="20"/>
  <c r="K92" i="20"/>
  <c r="J98" i="20"/>
  <c r="K98" i="20"/>
  <c r="J102" i="20"/>
  <c r="K102" i="20"/>
  <c r="J106" i="20"/>
  <c r="K106" i="20"/>
  <c r="J108" i="20"/>
  <c r="K108" i="20"/>
  <c r="J117" i="20"/>
  <c r="K117" i="20"/>
  <c r="J121" i="20"/>
  <c r="K121" i="20"/>
  <c r="J128" i="20"/>
  <c r="K128" i="20"/>
  <c r="J134" i="20"/>
  <c r="K134" i="20"/>
  <c r="H75" i="20"/>
  <c r="I75" i="20" s="1"/>
  <c r="E75" i="20"/>
  <c r="F75" i="20" s="1"/>
  <c r="G75" i="20" s="1"/>
  <c r="H73" i="20"/>
  <c r="E73" i="20"/>
  <c r="F73" i="20" s="1"/>
  <c r="G73" i="20" s="1"/>
  <c r="H71" i="20"/>
  <c r="I71" i="20" s="1"/>
  <c r="E71" i="20"/>
  <c r="F71" i="20" s="1"/>
  <c r="G71" i="20" s="1"/>
  <c r="H70" i="20"/>
  <c r="I70" i="20" s="1"/>
  <c r="E70" i="20"/>
  <c r="F70" i="20" s="1"/>
  <c r="G70" i="20" s="1"/>
  <c r="H69" i="20"/>
  <c r="I69" i="20" s="1"/>
  <c r="E69" i="20"/>
  <c r="F69" i="20" s="1"/>
  <c r="G69" i="20" s="1"/>
  <c r="H68" i="20"/>
  <c r="I68" i="20" s="1"/>
  <c r="E68" i="20"/>
  <c r="F68" i="20" s="1"/>
  <c r="G68" i="20" s="1"/>
  <c r="H67" i="20"/>
  <c r="I67" i="20" s="1"/>
  <c r="E67" i="20"/>
  <c r="F67" i="20" s="1"/>
  <c r="G67" i="20" s="1"/>
  <c r="H66" i="20"/>
  <c r="I66" i="20" s="1"/>
  <c r="E66" i="20"/>
  <c r="F66" i="20" s="1"/>
  <c r="G66" i="20" s="1"/>
  <c r="H65" i="20"/>
  <c r="I65" i="20" s="1"/>
  <c r="E65" i="20"/>
  <c r="F65" i="20" s="1"/>
  <c r="G65" i="20" s="1"/>
  <c r="H63" i="20"/>
  <c r="I63" i="20" s="1"/>
  <c r="E63" i="20"/>
  <c r="F63" i="20" s="1"/>
  <c r="G63" i="20" s="1"/>
  <c r="H62" i="20"/>
  <c r="I62" i="20" s="1"/>
  <c r="E62" i="20"/>
  <c r="F62" i="20" s="1"/>
  <c r="G62" i="20" s="1"/>
  <c r="H60" i="20"/>
  <c r="I60" i="20" s="1"/>
  <c r="E60" i="20"/>
  <c r="F60" i="20" s="1"/>
  <c r="G60" i="20" s="1"/>
  <c r="H59" i="20"/>
  <c r="I59" i="20" s="1"/>
  <c r="E59" i="20"/>
  <c r="F59" i="20" s="1"/>
  <c r="G59" i="20" s="1"/>
  <c r="H58" i="20"/>
  <c r="I58" i="20" s="1"/>
  <c r="E58" i="20"/>
  <c r="F58" i="20" s="1"/>
  <c r="G58" i="20" s="1"/>
  <c r="H57" i="20"/>
  <c r="I57" i="20" s="1"/>
  <c r="E57" i="20"/>
  <c r="F57" i="20" s="1"/>
  <c r="G57" i="20" s="1"/>
  <c r="H56" i="20"/>
  <c r="I56" i="20" s="1"/>
  <c r="E56" i="20"/>
  <c r="F56" i="20" s="1"/>
  <c r="G56" i="20" s="1"/>
  <c r="H55" i="20"/>
  <c r="I55" i="20" s="1"/>
  <c r="E55" i="20"/>
  <c r="F55" i="20" s="1"/>
  <c r="G55" i="20" s="1"/>
  <c r="H54" i="20"/>
  <c r="I54" i="20" s="1"/>
  <c r="E54" i="20"/>
  <c r="F54" i="20" s="1"/>
  <c r="G54" i="20" s="1"/>
  <c r="H53" i="20"/>
  <c r="I53" i="20" s="1"/>
  <c r="E53" i="20"/>
  <c r="F53" i="20" s="1"/>
  <c r="G53" i="20" s="1"/>
  <c r="H51" i="20"/>
  <c r="I51" i="20" s="1"/>
  <c r="E51" i="20"/>
  <c r="F51" i="20" s="1"/>
  <c r="G51" i="20" s="1"/>
  <c r="H52" i="20"/>
  <c r="I52" i="20" s="1"/>
  <c r="E52" i="20"/>
  <c r="F52" i="20" s="1"/>
  <c r="G52" i="20" s="1"/>
  <c r="H50" i="20"/>
  <c r="I50" i="20" s="1"/>
  <c r="E50" i="20"/>
  <c r="F50" i="20" s="1"/>
  <c r="G50" i="20" s="1"/>
  <c r="H49" i="20"/>
  <c r="I49" i="20" s="1"/>
  <c r="E49" i="20"/>
  <c r="F49" i="20" s="1"/>
  <c r="G49" i="20" s="1"/>
  <c r="H48" i="20"/>
  <c r="I48" i="20" s="1"/>
  <c r="E48" i="20"/>
  <c r="F48" i="20" s="1"/>
  <c r="G48" i="20" s="1"/>
  <c r="H44" i="20"/>
  <c r="E44" i="20"/>
  <c r="F44" i="20" s="1"/>
  <c r="G44" i="20" s="1"/>
  <c r="H46" i="20"/>
  <c r="I46" i="20" s="1"/>
  <c r="E46" i="20"/>
  <c r="F46" i="20" s="1"/>
  <c r="G46" i="20" s="1"/>
  <c r="H45" i="20"/>
  <c r="I45" i="20" s="1"/>
  <c r="E45" i="20"/>
  <c r="F45" i="20" s="1"/>
  <c r="G45" i="20" s="1"/>
  <c r="H43" i="20"/>
  <c r="I43" i="20" s="1"/>
  <c r="E43" i="20"/>
  <c r="F43" i="20" s="1"/>
  <c r="G43" i="20" s="1"/>
  <c r="H42" i="20"/>
  <c r="I42" i="20" s="1"/>
  <c r="E42" i="20"/>
  <c r="F42" i="20" s="1"/>
  <c r="G42" i="20" s="1"/>
  <c r="H40" i="20"/>
  <c r="I40" i="20" s="1"/>
  <c r="E40" i="20"/>
  <c r="F40" i="20" s="1"/>
  <c r="G40" i="20" s="1"/>
  <c r="H38" i="20"/>
  <c r="I38" i="20" s="1"/>
  <c r="E38" i="20"/>
  <c r="F38" i="20" s="1"/>
  <c r="G38" i="20" s="1"/>
  <c r="H41" i="20"/>
  <c r="I41" i="20" s="1"/>
  <c r="E41" i="20"/>
  <c r="F41" i="20" s="1"/>
  <c r="G41" i="20" s="1"/>
  <c r="H39" i="20"/>
  <c r="I39" i="20" s="1"/>
  <c r="E39" i="20"/>
  <c r="F39" i="20" s="1"/>
  <c r="G39" i="20" s="1"/>
  <c r="H37" i="20"/>
  <c r="I37" i="20" s="1"/>
  <c r="E37" i="20"/>
  <c r="F37" i="20" s="1"/>
  <c r="G37" i="20" s="1"/>
  <c r="H35" i="20"/>
  <c r="I35" i="20" s="1"/>
  <c r="E35" i="20"/>
  <c r="F35" i="20" s="1"/>
  <c r="G35" i="20" s="1"/>
  <c r="H34" i="20"/>
  <c r="I34" i="20" s="1"/>
  <c r="E34" i="20"/>
  <c r="F34" i="20" s="1"/>
  <c r="G34" i="20" s="1"/>
  <c r="H33" i="20"/>
  <c r="I33" i="20" s="1"/>
  <c r="E33" i="20"/>
  <c r="F33" i="20" s="1"/>
  <c r="G33" i="20" s="1"/>
  <c r="H32" i="20"/>
  <c r="I32" i="20" s="1"/>
  <c r="E32" i="20"/>
  <c r="F32" i="20" s="1"/>
  <c r="G32" i="20" s="1"/>
  <c r="H31" i="20"/>
  <c r="I31" i="20" s="1"/>
  <c r="E31" i="20"/>
  <c r="F31" i="20" s="1"/>
  <c r="G31" i="20" s="1"/>
  <c r="H30" i="20"/>
  <c r="I30" i="20" s="1"/>
  <c r="E30" i="20"/>
  <c r="F30" i="20" s="1"/>
  <c r="G30" i="20" s="1"/>
  <c r="H29" i="20"/>
  <c r="I29" i="20" s="1"/>
  <c r="E29" i="20"/>
  <c r="F29" i="20" s="1"/>
  <c r="G29" i="20" s="1"/>
  <c r="H28" i="20"/>
  <c r="I28" i="20" s="1"/>
  <c r="E28" i="20"/>
  <c r="F28" i="20" s="1"/>
  <c r="G28" i="20" s="1"/>
  <c r="H27" i="20"/>
  <c r="I27" i="20" s="1"/>
  <c r="E27" i="20"/>
  <c r="F27" i="20" s="1"/>
  <c r="G27" i="20" s="1"/>
  <c r="H26" i="20"/>
  <c r="E26" i="20"/>
  <c r="F26" i="20" s="1"/>
  <c r="G26" i="20" s="1"/>
  <c r="H25" i="20"/>
  <c r="I25" i="20" s="1"/>
  <c r="E25" i="20"/>
  <c r="F25" i="20" s="1"/>
  <c r="G25" i="20" s="1"/>
  <c r="H24" i="20"/>
  <c r="I24" i="20" s="1"/>
  <c r="E24" i="20"/>
  <c r="F24" i="20" s="1"/>
  <c r="G24" i="20" s="1"/>
  <c r="H23" i="20"/>
  <c r="I23" i="20" s="1"/>
  <c r="E23" i="20"/>
  <c r="F23" i="20" s="1"/>
  <c r="G23" i="20" s="1"/>
  <c r="H21" i="20"/>
  <c r="I21" i="20" s="1"/>
  <c r="E21" i="20"/>
  <c r="F21" i="20" s="1"/>
  <c r="G21" i="20" s="1"/>
  <c r="E17" i="20"/>
  <c r="J24" i="20" l="1"/>
  <c r="K24" i="20"/>
  <c r="J30" i="20"/>
  <c r="K30" i="20"/>
  <c r="J34" i="20"/>
  <c r="K34" i="20"/>
  <c r="J41" i="20"/>
  <c r="K41" i="20"/>
  <c r="J43" i="20"/>
  <c r="K43" i="20"/>
  <c r="J46" i="20"/>
  <c r="K46" i="20"/>
  <c r="J50" i="20"/>
  <c r="K50" i="20"/>
  <c r="J54" i="20"/>
  <c r="K54" i="20"/>
  <c r="J58" i="20"/>
  <c r="K58" i="20"/>
  <c r="J63" i="20"/>
  <c r="K63" i="20"/>
  <c r="J68" i="20"/>
  <c r="K68" i="20"/>
  <c r="J23" i="20"/>
  <c r="K23" i="20"/>
  <c r="J25" i="20"/>
  <c r="K25" i="20"/>
  <c r="J27" i="20"/>
  <c r="K27" i="20"/>
  <c r="J29" i="20"/>
  <c r="K29" i="20"/>
  <c r="J31" i="20"/>
  <c r="K31" i="20"/>
  <c r="J33" i="20"/>
  <c r="K33" i="20"/>
  <c r="J35" i="20"/>
  <c r="K35" i="20"/>
  <c r="J39" i="20"/>
  <c r="K39" i="20"/>
  <c r="J38" i="20"/>
  <c r="K38" i="20"/>
  <c r="J42" i="20"/>
  <c r="K42" i="20"/>
  <c r="J45" i="20"/>
  <c r="K45" i="20"/>
  <c r="J49" i="20"/>
  <c r="K49" i="20"/>
  <c r="J52" i="20"/>
  <c r="K52" i="20"/>
  <c r="J53" i="20"/>
  <c r="K53" i="20"/>
  <c r="J55" i="20"/>
  <c r="K55" i="20"/>
  <c r="J57" i="20"/>
  <c r="K57" i="20"/>
  <c r="J59" i="20"/>
  <c r="K59" i="20"/>
  <c r="J62" i="20"/>
  <c r="K62" i="20"/>
  <c r="J65" i="20"/>
  <c r="K65" i="20"/>
  <c r="J67" i="20"/>
  <c r="K67" i="20"/>
  <c r="J69" i="20"/>
  <c r="K69" i="20"/>
  <c r="J71" i="20"/>
  <c r="K71" i="20"/>
  <c r="J75" i="20"/>
  <c r="K75" i="20"/>
  <c r="J21" i="20"/>
  <c r="K21" i="20"/>
  <c r="J28" i="20"/>
  <c r="K28" i="20"/>
  <c r="J32" i="20"/>
  <c r="K32" i="20"/>
  <c r="J37" i="20"/>
  <c r="K37" i="20"/>
  <c r="J40" i="20"/>
  <c r="K40" i="20"/>
  <c r="J48" i="20"/>
  <c r="K48" i="20"/>
  <c r="J51" i="20"/>
  <c r="K51" i="20"/>
  <c r="J56" i="20"/>
  <c r="K56" i="20"/>
  <c r="J60" i="20"/>
  <c r="K60" i="20"/>
  <c r="J66" i="20"/>
  <c r="K66" i="20"/>
  <c r="J70" i="20"/>
  <c r="K70" i="20"/>
  <c r="I73" i="20"/>
  <c r="I44" i="20"/>
  <c r="I26" i="20"/>
  <c r="H20" i="20"/>
  <c r="I20" i="20" s="1"/>
  <c r="E20" i="20"/>
  <c r="F20" i="20" s="1"/>
  <c r="G20" i="20" s="1"/>
  <c r="H19" i="20"/>
  <c r="I19" i="20" s="1"/>
  <c r="E19" i="20"/>
  <c r="F19" i="20" s="1"/>
  <c r="G19" i="20" s="1"/>
  <c r="H18" i="20"/>
  <c r="I18" i="20" s="1"/>
  <c r="E18" i="20"/>
  <c r="F18" i="20" s="1"/>
  <c r="G18" i="20" s="1"/>
  <c r="H17" i="20"/>
  <c r="I17" i="20" s="1"/>
  <c r="F17" i="20"/>
  <c r="G17" i="20" s="1"/>
  <c r="H16" i="20"/>
  <c r="I16" i="20" s="1"/>
  <c r="E16" i="20"/>
  <c r="F16" i="20" s="1"/>
  <c r="G16" i="20" s="1"/>
  <c r="H15" i="20"/>
  <c r="I15" i="20" s="1"/>
  <c r="E15" i="20"/>
  <c r="F15" i="20" s="1"/>
  <c r="G15" i="20" s="1"/>
  <c r="H14" i="20"/>
  <c r="I14" i="20" s="1"/>
  <c r="E14" i="20"/>
  <c r="F14" i="20" s="1"/>
  <c r="G14" i="20" s="1"/>
  <c r="H13" i="20"/>
  <c r="I13" i="20" s="1"/>
  <c r="E13" i="20"/>
  <c r="F13" i="20" s="1"/>
  <c r="G13" i="20" s="1"/>
  <c r="H12" i="20"/>
  <c r="I12" i="20" s="1"/>
  <c r="E12" i="20"/>
  <c r="F12" i="20" s="1"/>
  <c r="G12" i="20" s="1"/>
  <c r="H11" i="20"/>
  <c r="I11" i="20" s="1"/>
  <c r="E11" i="20"/>
  <c r="F11" i="20" s="1"/>
  <c r="G11" i="20" s="1"/>
  <c r="H10" i="20"/>
  <c r="I10" i="20" s="1"/>
  <c r="E10" i="20"/>
  <c r="F10" i="20" s="1"/>
  <c r="G10" i="20" s="1"/>
  <c r="H8" i="20"/>
  <c r="I8" i="20" s="1"/>
  <c r="E8" i="20"/>
  <c r="F8" i="20" s="1"/>
  <c r="G8" i="20" s="1"/>
  <c r="H7" i="20"/>
  <c r="I7" i="20" s="1"/>
  <c r="E7" i="20"/>
  <c r="F7" i="20" s="1"/>
  <c r="G7" i="20" s="1"/>
  <c r="H6" i="20"/>
  <c r="I6" i="20" s="1"/>
  <c r="E6" i="20"/>
  <c r="F6" i="20" s="1"/>
  <c r="G6" i="20" s="1"/>
  <c r="H5" i="20"/>
  <c r="I5" i="20" s="1"/>
  <c r="E5" i="20"/>
  <c r="F5" i="20" s="1"/>
  <c r="G5" i="20" s="1"/>
  <c r="H4" i="20"/>
  <c r="I4" i="20" s="1"/>
  <c r="E4" i="20"/>
  <c r="F4" i="20" s="1"/>
  <c r="G4" i="20" s="1"/>
  <c r="E3" i="20"/>
  <c r="F3" i="20" s="1"/>
  <c r="G3" i="20" s="1"/>
  <c r="H3" i="20"/>
  <c r="I3" i="20" s="1"/>
  <c r="J11" i="20" l="1"/>
  <c r="K11" i="20"/>
  <c r="J15" i="20"/>
  <c r="K15" i="20"/>
  <c r="J44" i="20"/>
  <c r="K44" i="20"/>
  <c r="J73" i="20"/>
  <c r="K73" i="20"/>
  <c r="J13" i="20"/>
  <c r="K13" i="20"/>
  <c r="J17" i="20"/>
  <c r="K17" i="20"/>
  <c r="J19" i="20"/>
  <c r="K19" i="20"/>
  <c r="J10" i="20"/>
  <c r="K10" i="20"/>
  <c r="J12" i="20"/>
  <c r="K12" i="20"/>
  <c r="J14" i="20"/>
  <c r="K14" i="20"/>
  <c r="J16" i="20"/>
  <c r="K16" i="20"/>
  <c r="J18" i="20"/>
  <c r="K18" i="20"/>
  <c r="J20" i="20"/>
  <c r="K20" i="20"/>
  <c r="J26" i="20"/>
  <c r="K26" i="20"/>
  <c r="I544" i="20"/>
  <c r="J8" i="20"/>
  <c r="K8" i="20"/>
  <c r="K3" i="20"/>
  <c r="J5" i="20"/>
  <c r="K5" i="20"/>
  <c r="J7" i="20"/>
  <c r="K7" i="20"/>
  <c r="J4" i="20"/>
  <c r="K4" i="20"/>
  <c r="J6" i="20"/>
  <c r="K6" i="20"/>
  <c r="J3" i="20"/>
  <c r="J544" i="20" l="1"/>
  <c r="XEP59" i="5"/>
  <c r="XEP55" i="5"/>
  <c r="XEP42" i="5"/>
  <c r="XEP45" i="5"/>
  <c r="XEP49" i="5"/>
  <c r="XEP52" i="5"/>
  <c r="XEP57" i="5"/>
  <c r="XEP44" i="5"/>
  <c r="XEP46" i="5"/>
  <c r="XEP48" i="5"/>
  <c r="XEP50" i="5"/>
  <c r="XEP58" i="5"/>
  <c r="XEP54" i="5"/>
  <c r="XEP43" i="5"/>
  <c r="XEP47" i="5"/>
  <c r="XEP53" i="5"/>
  <c r="XEP62" i="5"/>
  <c r="XEP60" i="5" l="1"/>
</calcChain>
</file>

<file path=xl/sharedStrings.xml><?xml version="1.0" encoding="utf-8"?>
<sst xmlns="http://schemas.openxmlformats.org/spreadsheetml/2006/main" count="4416" uniqueCount="2333">
  <si>
    <t>B1-S1</t>
  </si>
  <si>
    <t>Linus Uvero</t>
  </si>
  <si>
    <t>B1-S2</t>
  </si>
  <si>
    <t>B1-S3</t>
  </si>
  <si>
    <t>Cristine Rey</t>
  </si>
  <si>
    <t>B1-S4</t>
  </si>
  <si>
    <t>B1-S5</t>
  </si>
  <si>
    <t>Rachel Vergara</t>
  </si>
  <si>
    <t>B1-S6</t>
  </si>
  <si>
    <t>B2-S1</t>
  </si>
  <si>
    <t>B2-S2</t>
  </si>
  <si>
    <t>B2-S3</t>
  </si>
  <si>
    <t>B2-S4</t>
  </si>
  <si>
    <t>B2-S5</t>
  </si>
  <si>
    <t>B2-S6</t>
  </si>
  <si>
    <t>B2-S7</t>
  </si>
  <si>
    <t>B2-S8</t>
  </si>
  <si>
    <t>B2-S9</t>
  </si>
  <si>
    <t>B2-S10</t>
  </si>
  <si>
    <t>B2-S11</t>
  </si>
  <si>
    <t>B2-S12</t>
  </si>
  <si>
    <t>B3-S1</t>
  </si>
  <si>
    <t>B3-S2</t>
  </si>
  <si>
    <t>B3-S3</t>
  </si>
  <si>
    <t>B3-S4</t>
  </si>
  <si>
    <t>B3-S5</t>
  </si>
  <si>
    <t>B3-S6</t>
  </si>
  <si>
    <t>B3-S7</t>
  </si>
  <si>
    <t>Nena Cu(2)</t>
  </si>
  <si>
    <t>B3-S8</t>
  </si>
  <si>
    <t>Nena Cu</t>
  </si>
  <si>
    <t>B3-S9</t>
  </si>
  <si>
    <t>B3-S10</t>
  </si>
  <si>
    <t>B3-S11</t>
  </si>
  <si>
    <t>Diana Tan Lee</t>
  </si>
  <si>
    <t>B3-S12</t>
  </si>
  <si>
    <t>B3-S13</t>
  </si>
  <si>
    <t>B4-S1</t>
  </si>
  <si>
    <t>Ramon Sia(3)</t>
  </si>
  <si>
    <t>B4-S2</t>
  </si>
  <si>
    <t>B4-S3</t>
  </si>
  <si>
    <t>Ramon Sia</t>
  </si>
  <si>
    <t>B4-S4</t>
  </si>
  <si>
    <t>B4-S5</t>
  </si>
  <si>
    <t>B4-S6</t>
  </si>
  <si>
    <t>B4-S7</t>
  </si>
  <si>
    <t>B4-S8</t>
  </si>
  <si>
    <t>B4-S9</t>
  </si>
  <si>
    <t>B4-S10</t>
  </si>
  <si>
    <t>B5-S1</t>
  </si>
  <si>
    <t>B5-S2</t>
  </si>
  <si>
    <t>B5-S3</t>
  </si>
  <si>
    <t>Roberto Singson(2)</t>
  </si>
  <si>
    <t>B5-S4</t>
  </si>
  <si>
    <t>B5-S5</t>
  </si>
  <si>
    <t>Roberto Singson</t>
  </si>
  <si>
    <t>B5-S6</t>
  </si>
  <si>
    <t>Edgardo Abrenica</t>
  </si>
  <si>
    <t>B5-S7</t>
  </si>
  <si>
    <t>Estelita Baguio</t>
  </si>
  <si>
    <t>B5-S8</t>
  </si>
  <si>
    <t>B5-S9</t>
  </si>
  <si>
    <t>Philip Bonete</t>
  </si>
  <si>
    <t>B5-S10</t>
  </si>
  <si>
    <t>Evelyn Hemady(2)</t>
  </si>
  <si>
    <t>B5-S11</t>
  </si>
  <si>
    <t>B5-S12</t>
  </si>
  <si>
    <t>Evelyn Hemady</t>
  </si>
  <si>
    <t>B5-S13</t>
  </si>
  <si>
    <t>B6-S1</t>
  </si>
  <si>
    <t>B6-S2</t>
  </si>
  <si>
    <t>B6-S3</t>
  </si>
  <si>
    <t>B6-S4</t>
  </si>
  <si>
    <t>B6-S5</t>
  </si>
  <si>
    <t>B6-S6</t>
  </si>
  <si>
    <t>B6-S7</t>
  </si>
  <si>
    <t>B6-S8</t>
  </si>
  <si>
    <t>B6-S9</t>
  </si>
  <si>
    <t>B6-S10</t>
  </si>
  <si>
    <t>B6-S11</t>
  </si>
  <si>
    <t>B6-S12</t>
  </si>
  <si>
    <t>B6-S13</t>
  </si>
  <si>
    <t>B6-S14</t>
  </si>
  <si>
    <t>B6-S15</t>
  </si>
  <si>
    <t>Carmelita Villar</t>
  </si>
  <si>
    <t>B6-S16</t>
  </si>
  <si>
    <t>Eric Gulapa</t>
  </si>
  <si>
    <t>B7-S1</t>
  </si>
  <si>
    <t>B7-S2</t>
  </si>
  <si>
    <t>Rodolfo Guinhawa(2)</t>
  </si>
  <si>
    <t>B7-S3</t>
  </si>
  <si>
    <t>B7-S4</t>
  </si>
  <si>
    <t>Rodolfo Guinhawa</t>
  </si>
  <si>
    <t>B7-S5</t>
  </si>
  <si>
    <t>B7-S6</t>
  </si>
  <si>
    <t>B7-S7</t>
  </si>
  <si>
    <t>B7-S8</t>
  </si>
  <si>
    <t>B7-S9</t>
  </si>
  <si>
    <t>B7-S10</t>
  </si>
  <si>
    <t>Juliet Parra</t>
  </si>
  <si>
    <t>B7-S11</t>
  </si>
  <si>
    <t>B8-S1</t>
  </si>
  <si>
    <t>B8-S2</t>
  </si>
  <si>
    <t>Monica Calma</t>
  </si>
  <si>
    <t>B8-S3</t>
  </si>
  <si>
    <t>B8-S4</t>
  </si>
  <si>
    <t>Gabriel Fortaleza</t>
  </si>
  <si>
    <t>B8-S5</t>
  </si>
  <si>
    <t>B8-S6</t>
  </si>
  <si>
    <t>Gloria Mendoza</t>
  </si>
  <si>
    <t>B8-S7</t>
  </si>
  <si>
    <t>Milagros Wong(2)</t>
  </si>
  <si>
    <t>B8-S8</t>
  </si>
  <si>
    <t>Milagros Wong</t>
  </si>
  <si>
    <t>B9-S1</t>
  </si>
  <si>
    <t>Cecilia M. dela Cruz</t>
  </si>
  <si>
    <t>B9-S2</t>
  </si>
  <si>
    <t>B9-S3</t>
  </si>
  <si>
    <t>B9-S4</t>
  </si>
  <si>
    <t>B9-S5</t>
  </si>
  <si>
    <t>B9-S6</t>
  </si>
  <si>
    <t>Eriberta Marpuri</t>
  </si>
  <si>
    <t>B9-S7</t>
  </si>
  <si>
    <t>Cristina dela Cruz</t>
  </si>
  <si>
    <t>B9-S8</t>
  </si>
  <si>
    <t>Epifanio Barrosa</t>
  </si>
  <si>
    <t>B9-S9</t>
  </si>
  <si>
    <t>Lucila Dy Bongon</t>
  </si>
  <si>
    <t>B9-S10</t>
  </si>
  <si>
    <t>Jose dela Cruz</t>
  </si>
  <si>
    <t>B9-S11</t>
  </si>
  <si>
    <t>Jose dela Cruz(2)</t>
  </si>
  <si>
    <t>B9-S12</t>
  </si>
  <si>
    <t>B9-S13</t>
  </si>
  <si>
    <t>B9-S14</t>
  </si>
  <si>
    <t>B9-S15</t>
  </si>
  <si>
    <t>Gina Arroyo</t>
  </si>
  <si>
    <t>B9-S16</t>
  </si>
  <si>
    <t>B10-S1</t>
  </si>
  <si>
    <t>B10-S2</t>
  </si>
  <si>
    <t>B10-S3</t>
  </si>
  <si>
    <t>B10-S4</t>
  </si>
  <si>
    <t>Aileen Cordero</t>
  </si>
  <si>
    <t>B10-S5</t>
  </si>
  <si>
    <t>B10-S6</t>
  </si>
  <si>
    <t>B10-S7</t>
  </si>
  <si>
    <t>Mary Grace Silvestre</t>
  </si>
  <si>
    <t>B10-S8</t>
  </si>
  <si>
    <t>Eulogio Silvestre</t>
  </si>
  <si>
    <t>B10-S9</t>
  </si>
  <si>
    <t>Christine Mae Villamora</t>
  </si>
  <si>
    <t>B11-S1</t>
  </si>
  <si>
    <t>B11-S2</t>
  </si>
  <si>
    <t>B11-S3</t>
  </si>
  <si>
    <t>Remegio Antonio(3)</t>
  </si>
  <si>
    <t>B11-S4</t>
  </si>
  <si>
    <t>B11-S5</t>
  </si>
  <si>
    <t>Remegio Antonio</t>
  </si>
  <si>
    <t>B11-S6</t>
  </si>
  <si>
    <t>Norma Mayores</t>
  </si>
  <si>
    <t>B11-S7</t>
  </si>
  <si>
    <t>B11-S8</t>
  </si>
  <si>
    <t>B12-S1</t>
  </si>
  <si>
    <t>B12-S2</t>
  </si>
  <si>
    <t>B12-S3</t>
  </si>
  <si>
    <t>B12-S4</t>
  </si>
  <si>
    <t>B12-S5</t>
  </si>
  <si>
    <t>B12-S6</t>
  </si>
  <si>
    <t>Salvacion Acero</t>
  </si>
  <si>
    <t>B13-S1</t>
  </si>
  <si>
    <t>B13-S2</t>
  </si>
  <si>
    <t>B13-S3</t>
  </si>
  <si>
    <t>B13-S4</t>
  </si>
  <si>
    <t>B14-S1</t>
  </si>
  <si>
    <t>B14-S2</t>
  </si>
  <si>
    <t>Emmanuel Silvestre</t>
  </si>
  <si>
    <t>B14-S3</t>
  </si>
  <si>
    <t>B14-S4</t>
  </si>
  <si>
    <t>B14-S5</t>
  </si>
  <si>
    <t>B14-S6</t>
  </si>
  <si>
    <t>B15-S1</t>
  </si>
  <si>
    <t>B15-S2</t>
  </si>
  <si>
    <t>B15-S3</t>
  </si>
  <si>
    <t>B15-S4</t>
  </si>
  <si>
    <t>Eugenia Caringa(4)l</t>
  </si>
  <si>
    <t>B15-S5</t>
  </si>
  <si>
    <t>B15-S6</t>
  </si>
  <si>
    <t>Eugenia Caringal</t>
  </si>
  <si>
    <t>B15-S7</t>
  </si>
  <si>
    <t>B15-S8</t>
  </si>
  <si>
    <t>B16-S1</t>
  </si>
  <si>
    <t>B16-S2</t>
  </si>
  <si>
    <t>B16-S3</t>
  </si>
  <si>
    <t>B16-S4</t>
  </si>
  <si>
    <t>B16-S5</t>
  </si>
  <si>
    <t>B16-S6</t>
  </si>
  <si>
    <t>B16-S7</t>
  </si>
  <si>
    <t>B16-S8</t>
  </si>
  <si>
    <t>B17-S1</t>
  </si>
  <si>
    <t>B17-S2</t>
  </si>
  <si>
    <t>B17-S3</t>
  </si>
  <si>
    <t>Monina Sibulo</t>
  </si>
  <si>
    <t>B17-S4</t>
  </si>
  <si>
    <t>Eugenia Caringal(4)</t>
  </si>
  <si>
    <t>B17-S5</t>
  </si>
  <si>
    <t>B17-S6</t>
  </si>
  <si>
    <t>B17-S7</t>
  </si>
  <si>
    <t>B17-S8</t>
  </si>
  <si>
    <t>B17-S9</t>
  </si>
  <si>
    <t>B18-S1</t>
  </si>
  <si>
    <t>Arnel Silvestre</t>
  </si>
  <si>
    <t>B18-S2</t>
  </si>
  <si>
    <t>B18-S3</t>
  </si>
  <si>
    <t>B18-S4</t>
  </si>
  <si>
    <t>B18-S5</t>
  </si>
  <si>
    <t>B18-S6</t>
  </si>
  <si>
    <t>B18-S7</t>
  </si>
  <si>
    <t>B18-S8</t>
  </si>
  <si>
    <t>B18-S9</t>
  </si>
  <si>
    <t>B18-S10</t>
  </si>
  <si>
    <t>Claudia Villamora(2)</t>
  </si>
  <si>
    <t>B18-S11</t>
  </si>
  <si>
    <t>Claudia Villamora</t>
  </si>
  <si>
    <t>B18-S12</t>
  </si>
  <si>
    <t>B18-S13</t>
  </si>
  <si>
    <t>B18-S14</t>
  </si>
  <si>
    <t>B18-S15</t>
  </si>
  <si>
    <t>B18-S16</t>
  </si>
  <si>
    <t>B18-S17</t>
  </si>
  <si>
    <t>Rowena Arroyo</t>
  </si>
  <si>
    <t>B18-S18</t>
  </si>
  <si>
    <t>Eugene Ferrer</t>
  </si>
  <si>
    <t>B18-S19</t>
  </si>
  <si>
    <t>B18-S20</t>
  </si>
  <si>
    <t>B18-S21</t>
  </si>
  <si>
    <t>B18-S22</t>
  </si>
  <si>
    <t>B18-S23</t>
  </si>
  <si>
    <t>B18-S24</t>
  </si>
  <si>
    <t>B18-S25</t>
  </si>
  <si>
    <t>B18-S26</t>
  </si>
  <si>
    <t>B18-S27</t>
  </si>
  <si>
    <t>B18-S28</t>
  </si>
  <si>
    <t>B18-S29</t>
  </si>
  <si>
    <t>B18-S30</t>
  </si>
  <si>
    <t>B18-S31</t>
  </si>
  <si>
    <t>B18-S32</t>
  </si>
  <si>
    <t>B18-S33</t>
  </si>
  <si>
    <t>Francisco Parra, Jr</t>
  </si>
  <si>
    <t>B18-S34</t>
  </si>
  <si>
    <t>Rosalisa Parra</t>
  </si>
  <si>
    <t>B19-S1</t>
  </si>
  <si>
    <t>B19-S2</t>
  </si>
  <si>
    <t>B19-S3</t>
  </si>
  <si>
    <t>B19-S4</t>
  </si>
  <si>
    <t>Mercedes Ragas</t>
  </si>
  <si>
    <t>B19-S5</t>
  </si>
  <si>
    <t>B19-S6</t>
  </si>
  <si>
    <t>B19-S7</t>
  </si>
  <si>
    <t>B19-S8</t>
  </si>
  <si>
    <t>B20-S1</t>
  </si>
  <si>
    <t>Adelaida Antonio(4)</t>
  </si>
  <si>
    <t>B20-S2</t>
  </si>
  <si>
    <t>Adelaida Antonio</t>
  </si>
  <si>
    <t>B20-S3</t>
  </si>
  <si>
    <t>B20-S4</t>
  </si>
  <si>
    <t>B20-S5</t>
  </si>
  <si>
    <t>B21-S1</t>
  </si>
  <si>
    <t>Ma Soledad Antonio</t>
  </si>
  <si>
    <t>B21-S2</t>
  </si>
  <si>
    <t>B21-S3</t>
  </si>
  <si>
    <t>B21-S4</t>
  </si>
  <si>
    <t>B21-S5</t>
  </si>
  <si>
    <t>Alexander Umbria</t>
  </si>
  <si>
    <t>B21-S6</t>
  </si>
  <si>
    <t>B21-S7</t>
  </si>
  <si>
    <t>B21-S8</t>
  </si>
  <si>
    <t>B21-S9</t>
  </si>
  <si>
    <t>B21-S10</t>
  </si>
  <si>
    <t>B21-S11</t>
  </si>
  <si>
    <t>B21-S12</t>
  </si>
  <si>
    <t>Alain Dave Cabral Dy</t>
  </si>
  <si>
    <t>B22-S1</t>
  </si>
  <si>
    <t>B22-S2</t>
  </si>
  <si>
    <t>Romulo Arroyo(2)</t>
  </si>
  <si>
    <t>B22-S3</t>
  </si>
  <si>
    <t>Romulo Arroyo</t>
  </si>
  <si>
    <t>B22-S4</t>
  </si>
  <si>
    <t>B22-S5</t>
  </si>
  <si>
    <t>B22-S6</t>
  </si>
  <si>
    <t>Sixto Silvestre(1.5)</t>
  </si>
  <si>
    <t>B22-S7</t>
  </si>
  <si>
    <t>B22-S8</t>
  </si>
  <si>
    <t>B22-S9</t>
  </si>
  <si>
    <t>B22-S10</t>
  </si>
  <si>
    <t>B23-S1</t>
  </si>
  <si>
    <t>B23-S2</t>
  </si>
  <si>
    <t>B23-S3</t>
  </si>
  <si>
    <t>B23-S4</t>
  </si>
  <si>
    <t>B23-S5</t>
  </si>
  <si>
    <t>Ernesto Arellano</t>
  </si>
  <si>
    <t>B23-S6</t>
  </si>
  <si>
    <t>B23-S7</t>
  </si>
  <si>
    <t>B23-S8</t>
  </si>
  <si>
    <t>B23-S9</t>
  </si>
  <si>
    <t>B23-S10</t>
  </si>
  <si>
    <t>B23-S11</t>
  </si>
  <si>
    <t>B24-S1</t>
  </si>
  <si>
    <t>B24-S2</t>
  </si>
  <si>
    <t>B24-S3</t>
  </si>
  <si>
    <t>B24-S4</t>
  </si>
  <si>
    <t>B24-S5</t>
  </si>
  <si>
    <t>B24-S6</t>
  </si>
  <si>
    <t>B24-S7</t>
  </si>
  <si>
    <t>B24-S8</t>
  </si>
  <si>
    <t>B24-S9</t>
  </si>
  <si>
    <t>B24-S10</t>
  </si>
  <si>
    <t>B25-S1</t>
  </si>
  <si>
    <t>B25-S2</t>
  </si>
  <si>
    <t>B25-S3</t>
  </si>
  <si>
    <t>B25-S4</t>
  </si>
  <si>
    <t>B25-S5</t>
  </si>
  <si>
    <t>B25-S6</t>
  </si>
  <si>
    <t>B25-S7</t>
  </si>
  <si>
    <t>B25-S8</t>
  </si>
  <si>
    <t>B25-S9</t>
  </si>
  <si>
    <t>B25-S10</t>
  </si>
  <si>
    <t>B25-S11</t>
  </si>
  <si>
    <t>B25-S12</t>
  </si>
  <si>
    <t>B25-S13</t>
  </si>
  <si>
    <t>B25-S14</t>
  </si>
  <si>
    <t>B26-S1</t>
  </si>
  <si>
    <t>B26-S2</t>
  </si>
  <si>
    <t>B26-S3</t>
  </si>
  <si>
    <t>B26-S4</t>
  </si>
  <si>
    <t>B26-S5</t>
  </si>
  <si>
    <t>B26-S6</t>
  </si>
  <si>
    <t>B26-S7</t>
  </si>
  <si>
    <t>B27-S1</t>
  </si>
  <si>
    <t>Elmer Soriano</t>
  </si>
  <si>
    <t>B27-S2</t>
  </si>
  <si>
    <t>B27-S3</t>
  </si>
  <si>
    <t>B27-S4</t>
  </si>
  <si>
    <t>B27-S5</t>
  </si>
  <si>
    <t>B27-S6</t>
  </si>
  <si>
    <t>B27-S7</t>
  </si>
  <si>
    <t>Mila Cheng</t>
  </si>
  <si>
    <t>B28-S1</t>
  </si>
  <si>
    <t>Rolando Cruel</t>
  </si>
  <si>
    <t>B28-S2</t>
  </si>
  <si>
    <t>B28-S3</t>
  </si>
  <si>
    <t>B28-S4</t>
  </si>
  <si>
    <t>B28-S5</t>
  </si>
  <si>
    <t>B29-S1</t>
  </si>
  <si>
    <t>B29-S2</t>
  </si>
  <si>
    <t>B29-S3</t>
  </si>
  <si>
    <t>B29-S4</t>
  </si>
  <si>
    <t>B29-S5</t>
  </si>
  <si>
    <t>B29-S6</t>
  </si>
  <si>
    <t>Carina Magno</t>
  </si>
  <si>
    <t>B29-S7</t>
  </si>
  <si>
    <t>B29-S8</t>
  </si>
  <si>
    <t>Ma. Lorna Estrada</t>
  </si>
  <si>
    <t>B29-S9</t>
  </si>
  <si>
    <t>B29-S10</t>
  </si>
  <si>
    <t>Vicente Sta. Clara</t>
  </si>
  <si>
    <t>B30-S1</t>
  </si>
  <si>
    <t>B30-S2</t>
  </si>
  <si>
    <t>B30-S3</t>
  </si>
  <si>
    <t>B30-S4</t>
  </si>
  <si>
    <t>B30-S5</t>
  </si>
  <si>
    <t>B30-S6</t>
  </si>
  <si>
    <t>B30-S7</t>
  </si>
  <si>
    <t>B30-S8</t>
  </si>
  <si>
    <t>B31-S1</t>
  </si>
  <si>
    <t>Jocelyn Villarin(0.5)</t>
  </si>
  <si>
    <t>B31-S2</t>
  </si>
  <si>
    <t>Paula Magno(1.5)</t>
  </si>
  <si>
    <t>B31-S3</t>
  </si>
  <si>
    <t>Salvacion Estrada</t>
  </si>
  <si>
    <t>B32-S1</t>
  </si>
  <si>
    <t>B32-S2</t>
  </si>
  <si>
    <t>B32-S3</t>
  </si>
  <si>
    <t>Nancy Agor</t>
  </si>
  <si>
    <t>B32-S4</t>
  </si>
  <si>
    <t>B32-S5</t>
  </si>
  <si>
    <t>B32-S6</t>
  </si>
  <si>
    <t>Romeo Espiritu</t>
  </si>
  <si>
    <t>B33-S1</t>
  </si>
  <si>
    <t>B33-S2</t>
  </si>
  <si>
    <t>B33-S3</t>
  </si>
  <si>
    <t>B33-S4</t>
  </si>
  <si>
    <t>B33-S5</t>
  </si>
  <si>
    <t>B33-S6</t>
  </si>
  <si>
    <t>Shara Valencia(2)</t>
  </si>
  <si>
    <t>B33-S7</t>
  </si>
  <si>
    <t>B33-S8</t>
  </si>
  <si>
    <t>Shara Valencia</t>
  </si>
  <si>
    <t>B33-S9</t>
  </si>
  <si>
    <t>B33-S10</t>
  </si>
  <si>
    <t>B34-S1</t>
  </si>
  <si>
    <t>Imelda Albero</t>
  </si>
  <si>
    <t>B34-S2</t>
  </si>
  <si>
    <t>B34-S3</t>
  </si>
  <si>
    <t>B34-S4</t>
  </si>
  <si>
    <t>B34-S5</t>
  </si>
  <si>
    <t>B34-S6</t>
  </si>
  <si>
    <t>B35-S1</t>
  </si>
  <si>
    <t>Gloria Guerrero</t>
  </si>
  <si>
    <t>B35-S2</t>
  </si>
  <si>
    <t>B35-S3</t>
  </si>
  <si>
    <t>B35-S4</t>
  </si>
  <si>
    <t>B35-S5</t>
  </si>
  <si>
    <t>Ma. Dolores Samson</t>
  </si>
  <si>
    <t>B35-S6</t>
  </si>
  <si>
    <t>Arcy Uy Capaciete</t>
  </si>
  <si>
    <t>B35-S7</t>
  </si>
  <si>
    <t>B35-S8</t>
  </si>
  <si>
    <t>B35-S9</t>
  </si>
  <si>
    <t>B35-S10</t>
  </si>
  <si>
    <t>B36-S1</t>
  </si>
  <si>
    <t>B36-S2</t>
  </si>
  <si>
    <t>B36-S3</t>
  </si>
  <si>
    <t>B36-S4</t>
  </si>
  <si>
    <t>Claro Alfonso</t>
  </si>
  <si>
    <t>B36-S5</t>
  </si>
  <si>
    <t>Adamson Rillas(2)</t>
  </si>
  <si>
    <t>B36-S6</t>
  </si>
  <si>
    <t>Adamson Rillas</t>
  </si>
  <si>
    <t>B36-S7</t>
  </si>
  <si>
    <t>B36-S8</t>
  </si>
  <si>
    <t>B36-S9</t>
  </si>
  <si>
    <t>B36-S10</t>
  </si>
  <si>
    <t>B36-S11</t>
  </si>
  <si>
    <t>B36-S12</t>
  </si>
  <si>
    <t>B37-S1</t>
  </si>
  <si>
    <t>B37-S2</t>
  </si>
  <si>
    <t>Rodrigo Lindog(2)</t>
  </si>
  <si>
    <t>B37-S3</t>
  </si>
  <si>
    <t>Julieta Agor(2)</t>
  </si>
  <si>
    <t>B37-S4</t>
  </si>
  <si>
    <t>Julieta Agor</t>
  </si>
  <si>
    <t>B38-S1</t>
  </si>
  <si>
    <t>B38-S2</t>
  </si>
  <si>
    <t>B38-S3</t>
  </si>
  <si>
    <t>Ricardo Agor</t>
  </si>
  <si>
    <t>B39-S1</t>
  </si>
  <si>
    <t>Choclin Po(2)</t>
  </si>
  <si>
    <t>B39-S2</t>
  </si>
  <si>
    <t>B39-S3</t>
  </si>
  <si>
    <t>B39-S4</t>
  </si>
  <si>
    <t>B40-S1</t>
  </si>
  <si>
    <t>B40-S2</t>
  </si>
  <si>
    <t>B40-S3</t>
  </si>
  <si>
    <t>Helen Alfonso</t>
  </si>
  <si>
    <t>B40-S4</t>
  </si>
  <si>
    <t>B40-S5</t>
  </si>
  <si>
    <t>B40-S6</t>
  </si>
  <si>
    <t>B40-S7</t>
  </si>
  <si>
    <t>B40-S8</t>
  </si>
  <si>
    <t>B41-S1</t>
  </si>
  <si>
    <t>B41-S2</t>
  </si>
  <si>
    <t>B41-S3</t>
  </si>
  <si>
    <t>B41-S4</t>
  </si>
  <si>
    <t>B41-S5</t>
  </si>
  <si>
    <t>B41-S6</t>
  </si>
  <si>
    <t>Oscar Ong</t>
  </si>
  <si>
    <t>B42-S1</t>
  </si>
  <si>
    <t>B42-S2</t>
  </si>
  <si>
    <t>B42-S3</t>
  </si>
  <si>
    <t>B42-S4</t>
  </si>
  <si>
    <t>B43-S1</t>
  </si>
  <si>
    <t>B43-S2</t>
  </si>
  <si>
    <t>B43-S3</t>
  </si>
  <si>
    <t>B43-S4</t>
  </si>
  <si>
    <t>B43-S5</t>
  </si>
  <si>
    <t>B43-S6</t>
  </si>
  <si>
    <t>B43-S7</t>
  </si>
  <si>
    <t>B43-S8</t>
  </si>
  <si>
    <t>B44-S1</t>
  </si>
  <si>
    <t>Narcisa del Castillo Jarcia</t>
  </si>
  <si>
    <t>B44-S2</t>
  </si>
  <si>
    <t>B44-S3</t>
  </si>
  <si>
    <t>Samuel Admana</t>
  </si>
  <si>
    <t>B44-S4</t>
  </si>
  <si>
    <t>B44-S5</t>
  </si>
  <si>
    <t>B44-S6</t>
  </si>
  <si>
    <t>B44-S7</t>
  </si>
  <si>
    <t>B44-S8</t>
  </si>
  <si>
    <t>B45-S1</t>
  </si>
  <si>
    <t>B45-S2</t>
  </si>
  <si>
    <t>B45-S3</t>
  </si>
  <si>
    <t>Linda Sychay</t>
  </si>
  <si>
    <t>B45-S4</t>
  </si>
  <si>
    <t>B45-S5</t>
  </si>
  <si>
    <t>B45-S6</t>
  </si>
  <si>
    <t>Pia Dolores Cado</t>
  </si>
  <si>
    <t>B45-S7</t>
  </si>
  <si>
    <t>B45-S8</t>
  </si>
  <si>
    <t>Ailene Mendoza</t>
  </si>
  <si>
    <t>B45-S9</t>
  </si>
  <si>
    <t>Noe Mendoza</t>
  </si>
  <si>
    <t>B46-S1</t>
  </si>
  <si>
    <t>B46-S2</t>
  </si>
  <si>
    <t>B46-S3</t>
  </si>
  <si>
    <t>B46-S4</t>
  </si>
  <si>
    <t>Alberto Marco Cordial(0.5)</t>
  </si>
  <si>
    <t>B46-S5</t>
  </si>
  <si>
    <t>Anecia Cordial(2)</t>
  </si>
  <si>
    <t>B46-S6</t>
  </si>
  <si>
    <t>Ruben Azotillo</t>
  </si>
  <si>
    <t>B46-S7</t>
  </si>
  <si>
    <t>B46-S8</t>
  </si>
  <si>
    <t>B46-S9</t>
  </si>
  <si>
    <t>Anecia Cordial</t>
  </si>
  <si>
    <t>B46-S10</t>
  </si>
  <si>
    <t>B47-S1</t>
  </si>
  <si>
    <t>B47-S2</t>
  </si>
  <si>
    <t>B47-S3</t>
  </si>
  <si>
    <t>Julie Sanares</t>
  </si>
  <si>
    <t>B47-S4</t>
  </si>
  <si>
    <t>B47-S5</t>
  </si>
  <si>
    <t>B47-S6</t>
  </si>
  <si>
    <t>B47-S7</t>
  </si>
  <si>
    <t>Pura Rada</t>
  </si>
  <si>
    <t>B47-S8</t>
  </si>
  <si>
    <t>B47-S9</t>
  </si>
  <si>
    <t>B47-S10</t>
  </si>
  <si>
    <t>B47-S11</t>
  </si>
  <si>
    <t>B48-S1</t>
  </si>
  <si>
    <t>B48-S2</t>
  </si>
  <si>
    <t>B48-S3</t>
  </si>
  <si>
    <t>B48-S4</t>
  </si>
  <si>
    <t>B48-S5</t>
  </si>
  <si>
    <t>B48-S6</t>
  </si>
  <si>
    <t>B49-S1</t>
  </si>
  <si>
    <t>B49-S2</t>
  </si>
  <si>
    <t>B49-S3</t>
  </si>
  <si>
    <t>B49-S4</t>
  </si>
  <si>
    <t>B49-S5</t>
  </si>
  <si>
    <t>B49-S6</t>
  </si>
  <si>
    <t>Melanie Sanares</t>
  </si>
  <si>
    <t>B49-S7</t>
  </si>
  <si>
    <t>B49-S8</t>
  </si>
  <si>
    <t>B50-S1</t>
  </si>
  <si>
    <t>B50-S2</t>
  </si>
  <si>
    <t>B51-S1</t>
  </si>
  <si>
    <t>B51-S2</t>
  </si>
  <si>
    <t>Nemesio Escobeñas(4)</t>
  </si>
  <si>
    <t>B51-S3</t>
  </si>
  <si>
    <t>B51-S4</t>
  </si>
  <si>
    <t>Nemesio Escobeñas</t>
  </si>
  <si>
    <t>B51-S5</t>
  </si>
  <si>
    <t>B51-S6</t>
  </si>
  <si>
    <t>B51-S7</t>
  </si>
  <si>
    <t>B51-S8</t>
  </si>
  <si>
    <t>B52-S1</t>
  </si>
  <si>
    <t>Prudencia Reyes</t>
  </si>
  <si>
    <t>B52-S2</t>
  </si>
  <si>
    <t>B52-S3</t>
  </si>
  <si>
    <t>William Abilay(4)</t>
  </si>
  <si>
    <t>B52-S4</t>
  </si>
  <si>
    <t>William Abilay</t>
  </si>
  <si>
    <t>B52-S5</t>
  </si>
  <si>
    <t>B52-S6</t>
  </si>
  <si>
    <t>B52-S7</t>
  </si>
  <si>
    <t>B52-S8</t>
  </si>
  <si>
    <t>B53-S1</t>
  </si>
  <si>
    <t>B53-S2</t>
  </si>
  <si>
    <t>Alicia Bolitic</t>
  </si>
  <si>
    <t>B53-S3</t>
  </si>
  <si>
    <t>B53-S4</t>
  </si>
  <si>
    <t>B53-S5</t>
  </si>
  <si>
    <t>B53-S6</t>
  </si>
  <si>
    <t>B53-S7</t>
  </si>
  <si>
    <t>B53-S8</t>
  </si>
  <si>
    <t>B53-S9</t>
  </si>
  <si>
    <t>B53-S10</t>
  </si>
  <si>
    <t>B54-S1</t>
  </si>
  <si>
    <t>B54-S2</t>
  </si>
  <si>
    <t>B54-S3</t>
  </si>
  <si>
    <t>B54-S4</t>
  </si>
  <si>
    <t>Erna Naradulla</t>
  </si>
  <si>
    <t>P2P/GL-1</t>
  </si>
  <si>
    <t>P2P/GL-2</t>
  </si>
  <si>
    <t>Marilou dela Torre</t>
  </si>
  <si>
    <t>P2P/GL-3</t>
  </si>
  <si>
    <t>P2P/GL-4</t>
  </si>
  <si>
    <t>Shirley Roa</t>
  </si>
  <si>
    <t>P2P/GL-5</t>
  </si>
  <si>
    <t>Juliet Antonio</t>
  </si>
  <si>
    <t>P2P/GL-6</t>
  </si>
  <si>
    <t>Asuncion Pelagio</t>
  </si>
  <si>
    <t>P2P/GL-7</t>
  </si>
  <si>
    <t>Raul Paul Antonio</t>
  </si>
  <si>
    <t>P2P/GL-8</t>
  </si>
  <si>
    <t>P2P/GL-9</t>
  </si>
  <si>
    <t>P2P/GL-10</t>
  </si>
  <si>
    <t>P2P/GL-11</t>
  </si>
  <si>
    <t>P2P/GL-12</t>
  </si>
  <si>
    <t>P2P/GL-13</t>
  </si>
  <si>
    <t>P2P/GL-14</t>
  </si>
  <si>
    <t>P2P/GL-15</t>
  </si>
  <si>
    <t>P2P/GL-16</t>
  </si>
  <si>
    <t>P2P/GL-17</t>
  </si>
  <si>
    <t>P2P/GL-18</t>
  </si>
  <si>
    <t>P2P/GL-19</t>
  </si>
  <si>
    <t>Eduvijes Caringal</t>
  </si>
  <si>
    <t>P2P/GL-20</t>
  </si>
  <si>
    <t>Ramon Antonio, Jr</t>
  </si>
  <si>
    <t>P2P/GL-21</t>
  </si>
  <si>
    <t>Elizabeth Tan</t>
  </si>
  <si>
    <t>P2P/GL-22</t>
  </si>
  <si>
    <t>Nenita Bulahan</t>
  </si>
  <si>
    <t>P2P/GL-23</t>
  </si>
  <si>
    <t>P2P/GL-24</t>
  </si>
  <si>
    <t>Jubeth Antonio</t>
  </si>
  <si>
    <t>P2P/GL-25</t>
  </si>
  <si>
    <t>Maria Dolores Samson</t>
  </si>
  <si>
    <t>P2P/GL-26</t>
  </si>
  <si>
    <t xml:space="preserve">       (J. HERNANDEZ)</t>
  </si>
  <si>
    <t>P2P/JH-27</t>
  </si>
  <si>
    <t>P2P/JH-28</t>
  </si>
  <si>
    <t>Dolores Alacdan</t>
  </si>
  <si>
    <t>P2P/JH-29</t>
  </si>
  <si>
    <t>Delia Yukim</t>
  </si>
  <si>
    <t>P2P/JH-30</t>
  </si>
  <si>
    <t>P2P/JH-31</t>
  </si>
  <si>
    <t>Rosa Lanuzga</t>
  </si>
  <si>
    <t>P2P/JH-32</t>
  </si>
  <si>
    <t>P2P/JH-33</t>
  </si>
  <si>
    <t>P2P/JH-34</t>
  </si>
  <si>
    <t>P2P/JH-35</t>
  </si>
  <si>
    <t>P2P/JH-36</t>
  </si>
  <si>
    <t>P2P/JH-37</t>
  </si>
  <si>
    <t>P2P/JH-38</t>
  </si>
  <si>
    <t>P2P/JH-39</t>
  </si>
  <si>
    <t>P2P/JH-40</t>
  </si>
  <si>
    <t>Remegia Añonuevo</t>
  </si>
  <si>
    <t>P2P/JH-43</t>
  </si>
  <si>
    <t>P2P/JH-44</t>
  </si>
  <si>
    <t>Fernando Añonuevo</t>
  </si>
  <si>
    <t>P2P/JH-45</t>
  </si>
  <si>
    <t>P2P/JH-46</t>
  </si>
  <si>
    <t>Geraldine del Mundo</t>
  </si>
  <si>
    <t>P2P/JH-47</t>
  </si>
  <si>
    <t>Myrna Manadeg</t>
  </si>
  <si>
    <t>P2P/JH-48</t>
  </si>
  <si>
    <t>Epifania Francisco</t>
  </si>
  <si>
    <t>P2P/JH-49</t>
  </si>
  <si>
    <t>Nilda San Juan</t>
  </si>
  <si>
    <t>P2P/JH-50</t>
  </si>
  <si>
    <t>Cristina Hernandez</t>
  </si>
  <si>
    <t>P2P/JH-51</t>
  </si>
  <si>
    <t>P2P/JH-52</t>
  </si>
  <si>
    <t>P2P/JH-53</t>
  </si>
  <si>
    <t>(ZAMORA)</t>
  </si>
  <si>
    <t>P2P/Z-55B</t>
  </si>
  <si>
    <t>Alicia Malaluan</t>
  </si>
  <si>
    <t>P2P/Z-59A</t>
  </si>
  <si>
    <t>P2P/Z-59B</t>
  </si>
  <si>
    <t>P2P/Z-59C</t>
  </si>
  <si>
    <t>P2P/Z-60A</t>
  </si>
  <si>
    <t>P2P/Z-60B</t>
  </si>
  <si>
    <t>P2P/Z-61A</t>
  </si>
  <si>
    <t>Mercy Morano</t>
  </si>
  <si>
    <t>P2P/Z-61B</t>
  </si>
  <si>
    <t>Aida Saludes</t>
  </si>
  <si>
    <t>P2P/Z-62A</t>
  </si>
  <si>
    <t>Shirley Aguirre</t>
  </si>
  <si>
    <t>P2P/Z-62B</t>
  </si>
  <si>
    <t>Carlos Agubang</t>
  </si>
  <si>
    <t>P2P/Z-62C</t>
  </si>
  <si>
    <t>Jenny Jardinel</t>
  </si>
  <si>
    <t>P2P/Z-63A</t>
  </si>
  <si>
    <t>P2P/Z-63B</t>
  </si>
  <si>
    <t>P2P/Z-63C</t>
  </si>
  <si>
    <t>P2P/Z-64A</t>
  </si>
  <si>
    <t>P2P/Z-64B</t>
  </si>
  <si>
    <t>Eufrecena Seperoto Cea</t>
  </si>
  <si>
    <t>P2P/Z-65A</t>
  </si>
  <si>
    <t>P2P/Z-65B</t>
  </si>
  <si>
    <t>P2P/Z-80A</t>
  </si>
  <si>
    <t>Fe Sotoero</t>
  </si>
  <si>
    <t>OP/C-1</t>
  </si>
  <si>
    <t>OP/C-2</t>
  </si>
  <si>
    <t>OP/C-3</t>
  </si>
  <si>
    <t>OP/C-4</t>
  </si>
  <si>
    <t>OP/C-5</t>
  </si>
  <si>
    <t>OP/C-6</t>
  </si>
  <si>
    <t>Asuncion San Joaquin</t>
  </si>
  <si>
    <t>OP/C-7</t>
  </si>
  <si>
    <t>OP/C-8</t>
  </si>
  <si>
    <t>OP/C-9</t>
  </si>
  <si>
    <t>OP/C-10</t>
  </si>
  <si>
    <t>OP/C-11</t>
  </si>
  <si>
    <t>Patricio Mediarito</t>
  </si>
  <si>
    <t>OP/C-12</t>
  </si>
  <si>
    <t>OP/C-13</t>
  </si>
  <si>
    <t>OP/C-14</t>
  </si>
  <si>
    <t>OP/C-15</t>
  </si>
  <si>
    <t>OP/C-16</t>
  </si>
  <si>
    <t>OP/C-17</t>
  </si>
  <si>
    <t>OP/C-18</t>
  </si>
  <si>
    <t>OP/C-19</t>
  </si>
  <si>
    <t>OP/C-20</t>
  </si>
  <si>
    <t>CARENDERIA SECTION</t>
  </si>
  <si>
    <t>S1</t>
  </si>
  <si>
    <t>S2</t>
  </si>
  <si>
    <t>S3</t>
  </si>
  <si>
    <t>S4</t>
  </si>
  <si>
    <t>S5</t>
  </si>
  <si>
    <t>S6</t>
  </si>
  <si>
    <t>Jessica Pante</t>
  </si>
  <si>
    <t>S7</t>
  </si>
  <si>
    <t>S8</t>
  </si>
  <si>
    <t>S9</t>
  </si>
  <si>
    <t>S10</t>
  </si>
  <si>
    <t>S11</t>
  </si>
  <si>
    <t>S12</t>
  </si>
  <si>
    <t>S13</t>
  </si>
  <si>
    <t>FRESH FRUIT</t>
  </si>
  <si>
    <t>B1;S1</t>
  </si>
  <si>
    <t>B1;S2</t>
  </si>
  <si>
    <t>B1;S3</t>
  </si>
  <si>
    <t>B1;S4</t>
  </si>
  <si>
    <t>B1;S5</t>
  </si>
  <si>
    <t>B1;S6</t>
  </si>
  <si>
    <t>B1;S7</t>
  </si>
  <si>
    <t>B1;S8</t>
  </si>
  <si>
    <t>B2;S1</t>
  </si>
  <si>
    <t>B2;S2</t>
  </si>
  <si>
    <t>B2;S3</t>
  </si>
  <si>
    <t>B2;S4</t>
  </si>
  <si>
    <t>B2;S5</t>
  </si>
  <si>
    <t>B2;S6</t>
  </si>
  <si>
    <t>B2;S7</t>
  </si>
  <si>
    <t>B2;S8</t>
  </si>
  <si>
    <t>B2;S9</t>
  </si>
  <si>
    <t>B2;S10</t>
  </si>
  <si>
    <t>B2;S11</t>
  </si>
  <si>
    <t>B2;S12</t>
  </si>
  <si>
    <t>B3;S1</t>
  </si>
  <si>
    <t>B3;S2</t>
  </si>
  <si>
    <t>B3;S3</t>
  </si>
  <si>
    <t>B3;S4</t>
  </si>
  <si>
    <t>B3;S5</t>
  </si>
  <si>
    <t>B3;S6</t>
  </si>
  <si>
    <t>B3;S7</t>
  </si>
  <si>
    <t>B3;S8</t>
  </si>
  <si>
    <t>B4;S1</t>
  </si>
  <si>
    <t>B4;S2</t>
  </si>
  <si>
    <t>B4;S3</t>
  </si>
  <si>
    <t>B4;S4</t>
  </si>
  <si>
    <t>B4;S5</t>
  </si>
  <si>
    <t>B4;S6</t>
  </si>
  <si>
    <t>B4;S7</t>
  </si>
  <si>
    <t>B4;S8</t>
  </si>
  <si>
    <t>B5;S1</t>
  </si>
  <si>
    <t>B5;S2</t>
  </si>
  <si>
    <t>B5;S3</t>
  </si>
  <si>
    <t>B5;S4</t>
  </si>
  <si>
    <t>B5;S5</t>
  </si>
  <si>
    <t>B5;S6</t>
  </si>
  <si>
    <t>B5;S7</t>
  </si>
  <si>
    <t>B5;S8</t>
  </si>
  <si>
    <t>B6;S1</t>
  </si>
  <si>
    <t>B6;S2</t>
  </si>
  <si>
    <t>B6;S3</t>
  </si>
  <si>
    <t>B6;S4</t>
  </si>
  <si>
    <t>B7;S1</t>
  </si>
  <si>
    <t>B7;S2</t>
  </si>
  <si>
    <t>B7;S3</t>
  </si>
  <si>
    <t>B7;S4</t>
  </si>
  <si>
    <t>Rina Ricci Ilarde</t>
  </si>
  <si>
    <t>Sylvia Dialino</t>
  </si>
  <si>
    <t>Margie Catimbang</t>
  </si>
  <si>
    <t>Josefina Agor</t>
  </si>
  <si>
    <t>AlliedBank</t>
  </si>
  <si>
    <t>Dolores Bajaro</t>
  </si>
  <si>
    <t>12.15/2</t>
  </si>
  <si>
    <t>B6;S5</t>
  </si>
  <si>
    <t>B6;S6</t>
  </si>
  <si>
    <t>B7;S5</t>
  </si>
  <si>
    <t>B7;S6</t>
  </si>
  <si>
    <t>B8;S1</t>
  </si>
  <si>
    <t>B8;S2</t>
  </si>
  <si>
    <t>B8;S3</t>
  </si>
  <si>
    <t>B8;S4</t>
  </si>
  <si>
    <t>B8;S5</t>
  </si>
  <si>
    <t>B8;S6</t>
  </si>
  <si>
    <t>B9;S1</t>
  </si>
  <si>
    <t>B9;S2</t>
  </si>
  <si>
    <t>B9;S3</t>
  </si>
  <si>
    <t>B9;S4</t>
  </si>
  <si>
    <t>B9;S5</t>
  </si>
  <si>
    <t>B9;S6</t>
  </si>
  <si>
    <t>B10;S1</t>
  </si>
  <si>
    <t>B10;S2</t>
  </si>
  <si>
    <t>B10;S3</t>
  </si>
  <si>
    <t>B10;S4</t>
  </si>
  <si>
    <t>B10;S5</t>
  </si>
  <si>
    <t>B10;S6</t>
  </si>
  <si>
    <t>B11;S1</t>
  </si>
  <si>
    <t>B11;S2</t>
  </si>
  <si>
    <t>B11;S3</t>
  </si>
  <si>
    <t>B11;S4</t>
  </si>
  <si>
    <t>Jaime Sanchez</t>
  </si>
  <si>
    <t xml:space="preserve">Randole Anastacio </t>
  </si>
  <si>
    <t>Ma Teresa Ignacio</t>
  </si>
  <si>
    <t>Esperanza Reyes</t>
  </si>
  <si>
    <t>Emma Francisco</t>
  </si>
  <si>
    <t>Estrella Lonzame</t>
  </si>
  <si>
    <t>Daisy Arbuis</t>
  </si>
  <si>
    <t>DRIED FISH</t>
  </si>
  <si>
    <t>Virginia Imperial</t>
  </si>
  <si>
    <t>Aurelia Sergio</t>
  </si>
  <si>
    <t>Florencio Soverano</t>
  </si>
  <si>
    <t>Danilo Soverano</t>
  </si>
  <si>
    <t>Delia Cruz</t>
  </si>
  <si>
    <t>Edna Gases</t>
  </si>
  <si>
    <t>Monina Balane</t>
  </si>
  <si>
    <t>Susan Lagrimas</t>
  </si>
  <si>
    <t>Meriam Bermas(3)</t>
  </si>
  <si>
    <t>Michael Valencia</t>
  </si>
  <si>
    <t>Oscar Bermas(2)</t>
  </si>
  <si>
    <t>Wilson Bermas</t>
  </si>
  <si>
    <t>Virgilio Sapin(2)</t>
  </si>
  <si>
    <t>Adelfa Mayao</t>
  </si>
  <si>
    <t>Marife Cape</t>
  </si>
  <si>
    <t>Josenith Botor</t>
  </si>
  <si>
    <t>Christine Rey</t>
  </si>
  <si>
    <t>MEAT &amp; CHICKEN</t>
  </si>
  <si>
    <t>B7-S12</t>
  </si>
  <si>
    <t>Natividad Rebellon</t>
  </si>
  <si>
    <t>Rowena Abinal</t>
  </si>
  <si>
    <t>Roselyn Galon</t>
  </si>
  <si>
    <t>Marivic Belo</t>
  </si>
  <si>
    <t>Florante Abinal</t>
  </si>
  <si>
    <t>Purificacion Clavo</t>
  </si>
  <si>
    <t>Purificacion Francisco</t>
  </si>
  <si>
    <t>Eddie Totanes</t>
  </si>
  <si>
    <t>Marvin Napili</t>
  </si>
  <si>
    <t>Francia Talento</t>
  </si>
  <si>
    <t>Eleonor Adolfo</t>
  </si>
  <si>
    <t>Felisa Repolloso</t>
  </si>
  <si>
    <t>Maryjane Repolloso</t>
  </si>
  <si>
    <t>Virginia Galvez</t>
  </si>
  <si>
    <t>Salvacion Bongalo</t>
  </si>
  <si>
    <t>MARITATAS</t>
  </si>
  <si>
    <t>B1-S7</t>
  </si>
  <si>
    <t>B1-S8</t>
  </si>
  <si>
    <t>B1-S9</t>
  </si>
  <si>
    <t>B1-S10</t>
  </si>
  <si>
    <t>B1-S11</t>
  </si>
  <si>
    <t>Elvis Terbio</t>
  </si>
  <si>
    <t>Concha Santiago</t>
  </si>
  <si>
    <t>Lorna Bea</t>
  </si>
  <si>
    <t>Jonard Cape(3)</t>
  </si>
  <si>
    <t>Rowena Panes</t>
  </si>
  <si>
    <t>Felisa San Agusting</t>
  </si>
  <si>
    <t>Victor Henry Monte</t>
  </si>
  <si>
    <t>SARSARI 1</t>
  </si>
  <si>
    <t>B13-S5</t>
  </si>
  <si>
    <t>B13-S6</t>
  </si>
  <si>
    <t>Mila Eriño</t>
  </si>
  <si>
    <t>Rosario Britanico</t>
  </si>
  <si>
    <t>Jackilyn Balane</t>
  </si>
  <si>
    <t>Purificacion Trio(2)</t>
  </si>
  <si>
    <t>Maria Onquit</t>
  </si>
  <si>
    <t>Marilyn dela Cruz</t>
  </si>
  <si>
    <t>Janet Rustia(2)</t>
  </si>
  <si>
    <t>Kim Bermas</t>
  </si>
  <si>
    <t>Ma Francia Top</t>
  </si>
  <si>
    <t>Charity Rustia</t>
  </si>
  <si>
    <t>Miriam Rosco</t>
  </si>
  <si>
    <t>Richard Alday(2)</t>
  </si>
  <si>
    <t>Winnie Guerrero</t>
  </si>
  <si>
    <t>Rodolfo Baldemoro</t>
  </si>
  <si>
    <t>Annelou Floriano</t>
  </si>
  <si>
    <t>Ricky Abinal</t>
  </si>
  <si>
    <t>Cyril Pante(2)</t>
  </si>
  <si>
    <t>Shirley Legaspi</t>
  </si>
  <si>
    <t>Beatriz Bermundo</t>
  </si>
  <si>
    <t>Necita Gonowon</t>
  </si>
  <si>
    <t>Violeta Mayao</t>
  </si>
  <si>
    <t>Nelson Gonowon</t>
  </si>
  <si>
    <t>SARI-SARI 2</t>
  </si>
  <si>
    <t>B11;S5</t>
  </si>
  <si>
    <t>B11;S6</t>
  </si>
  <si>
    <t>B12;S1</t>
  </si>
  <si>
    <t>B12;S2</t>
  </si>
  <si>
    <t>B12;S3</t>
  </si>
  <si>
    <t>B12;S4</t>
  </si>
  <si>
    <t>B13;S1</t>
  </si>
  <si>
    <t>B13;S2</t>
  </si>
  <si>
    <t>B13;S3</t>
  </si>
  <si>
    <t xml:space="preserve">  </t>
  </si>
  <si>
    <t>B13;S5</t>
  </si>
  <si>
    <t>B13;S6</t>
  </si>
  <si>
    <t>B14;S1</t>
  </si>
  <si>
    <t>B14;S2</t>
  </si>
  <si>
    <t>B14;S3</t>
  </si>
  <si>
    <t>B14;S4</t>
  </si>
  <si>
    <t>B15;S1</t>
  </si>
  <si>
    <t>B15;S2</t>
  </si>
  <si>
    <t>B15;S3</t>
  </si>
  <si>
    <t>B15;S4</t>
  </si>
  <si>
    <t>B15;S5</t>
  </si>
  <si>
    <t>B15;S6</t>
  </si>
  <si>
    <t>B16;S1</t>
  </si>
  <si>
    <t>B16;S2</t>
  </si>
  <si>
    <t>B16;S3</t>
  </si>
  <si>
    <t>B16;S4</t>
  </si>
  <si>
    <t>B17;S1</t>
  </si>
  <si>
    <t>B17;S2</t>
  </si>
  <si>
    <t>B17;S3</t>
  </si>
  <si>
    <t>B17;S4</t>
  </si>
  <si>
    <t>B17;S5</t>
  </si>
  <si>
    <t>B17;S6</t>
  </si>
  <si>
    <t>B18;S1</t>
  </si>
  <si>
    <t>B18;S2</t>
  </si>
  <si>
    <t>B18;S3</t>
  </si>
  <si>
    <t>B18;S4</t>
  </si>
  <si>
    <t>B18;S5</t>
  </si>
  <si>
    <t>B18;S6</t>
  </si>
  <si>
    <t>B19;S1</t>
  </si>
  <si>
    <t>B19;S2</t>
  </si>
  <si>
    <t>B19;S4</t>
  </si>
  <si>
    <t>B19;S5</t>
  </si>
  <si>
    <t>B19;S6</t>
  </si>
  <si>
    <t>B20;S1</t>
  </si>
  <si>
    <t>B20;S2</t>
  </si>
  <si>
    <t>B20;S3</t>
  </si>
  <si>
    <t>B20;S4</t>
  </si>
  <si>
    <t>B21;S1</t>
  </si>
  <si>
    <t>B21;S2</t>
  </si>
  <si>
    <t>B21;S3</t>
  </si>
  <si>
    <t>B21;S4</t>
  </si>
  <si>
    <t>B21;S5</t>
  </si>
  <si>
    <t>B21;S6</t>
  </si>
  <si>
    <t>B21;S7</t>
  </si>
  <si>
    <t>B21;S8</t>
  </si>
  <si>
    <t>B21;S9</t>
  </si>
  <si>
    <t>B21;S10</t>
  </si>
  <si>
    <t>B22;S1</t>
  </si>
  <si>
    <t>B22;S2</t>
  </si>
  <si>
    <t>B22;S3</t>
  </si>
  <si>
    <t>B22;S4</t>
  </si>
  <si>
    <t>B22;S5</t>
  </si>
  <si>
    <t>B22;S6</t>
  </si>
  <si>
    <t>B23;S1</t>
  </si>
  <si>
    <t>B23;S2</t>
  </si>
  <si>
    <t>B23;S3</t>
  </si>
  <si>
    <t>B23;S4</t>
  </si>
  <si>
    <t>B24;S1</t>
  </si>
  <si>
    <t>B24;S2</t>
  </si>
  <si>
    <t>B24;S3</t>
  </si>
  <si>
    <t>B24;S4</t>
  </si>
  <si>
    <t>B25;S1</t>
  </si>
  <si>
    <t>B25;S2</t>
  </si>
  <si>
    <t>B25;S3</t>
  </si>
  <si>
    <t>B25;S4</t>
  </si>
  <si>
    <t>B25;S5</t>
  </si>
  <si>
    <t>B25;S6</t>
  </si>
  <si>
    <t>B26;S1</t>
  </si>
  <si>
    <t>B26;S2</t>
  </si>
  <si>
    <t>B26;S3</t>
  </si>
  <si>
    <t>B26;S4</t>
  </si>
  <si>
    <t>B26;S5</t>
  </si>
  <si>
    <t>B26;S6</t>
  </si>
  <si>
    <t>B27;S1</t>
  </si>
  <si>
    <t>B27;S2</t>
  </si>
  <si>
    <t>B27;S3</t>
  </si>
  <si>
    <t>B27;S4</t>
  </si>
  <si>
    <t>B27;S5</t>
  </si>
  <si>
    <t>B27;S6</t>
  </si>
  <si>
    <t>B28;S1</t>
  </si>
  <si>
    <t>B28;S2</t>
  </si>
  <si>
    <t>B28;S3</t>
  </si>
  <si>
    <t>B28;S4</t>
  </si>
  <si>
    <t>B28;S5</t>
  </si>
  <si>
    <t>B28;S6</t>
  </si>
  <si>
    <t>B29;S1</t>
  </si>
  <si>
    <t>B29;S2</t>
  </si>
  <si>
    <t>B29;S3</t>
  </si>
  <si>
    <t>B29;S4</t>
  </si>
  <si>
    <t>B29;S5</t>
  </si>
  <si>
    <t>B29;S6</t>
  </si>
  <si>
    <t>B30;S1</t>
  </si>
  <si>
    <t>B30;S2</t>
  </si>
  <si>
    <t>B30;S3</t>
  </si>
  <si>
    <t>B30;S4</t>
  </si>
  <si>
    <t>B31;S1</t>
  </si>
  <si>
    <t>B31;S2</t>
  </si>
  <si>
    <t>B31;S3</t>
  </si>
  <si>
    <t>B31;S4</t>
  </si>
  <si>
    <t>B31;S5</t>
  </si>
  <si>
    <t>B31;S6</t>
  </si>
  <si>
    <t>B32;S1</t>
  </si>
  <si>
    <t>B32;S2</t>
  </si>
  <si>
    <t>B32;S3</t>
  </si>
  <si>
    <t>B32;S4</t>
  </si>
  <si>
    <t>B33;S1</t>
  </si>
  <si>
    <t>B33;S2</t>
  </si>
  <si>
    <t>B33;S3</t>
  </si>
  <si>
    <t>B33;S4</t>
  </si>
  <si>
    <t>B34;S1</t>
  </si>
  <si>
    <t>B34;S2</t>
  </si>
  <si>
    <t>B34;S3</t>
  </si>
  <si>
    <t>B34;S4</t>
  </si>
  <si>
    <t>B35;S1</t>
  </si>
  <si>
    <t>B35;S2</t>
  </si>
  <si>
    <t>B35;S3</t>
  </si>
  <si>
    <t>B35;S4</t>
  </si>
  <si>
    <t>B35;S5</t>
  </si>
  <si>
    <t>B35;S6</t>
  </si>
  <si>
    <t>B35;S7</t>
  </si>
  <si>
    <t>B35;S8</t>
  </si>
  <si>
    <t>B36;S1</t>
  </si>
  <si>
    <t>B36;S2</t>
  </si>
  <si>
    <t>B36;S3</t>
  </si>
  <si>
    <t>B36;S4</t>
  </si>
  <si>
    <t>B36;S5</t>
  </si>
  <si>
    <t>Alfredo Valerio Jr(2)</t>
  </si>
  <si>
    <t>Myrna Santos(2)</t>
  </si>
  <si>
    <t>Francisco Parra Sr(2)</t>
  </si>
  <si>
    <t>Rosa Belga</t>
  </si>
  <si>
    <t>Myra Flororita</t>
  </si>
  <si>
    <t>Natividad Pamon(6)</t>
  </si>
  <si>
    <t>Nellie Miranda(2)</t>
  </si>
  <si>
    <t>Flavel Queng(2)</t>
  </si>
  <si>
    <t xml:space="preserve">Maria Francia Combo(2) </t>
  </si>
  <si>
    <t>Absalon Abio(2)</t>
  </si>
  <si>
    <t>Jennifer Flororita</t>
  </si>
  <si>
    <t>Josephine Bical</t>
  </si>
  <si>
    <t>Helen Casco</t>
  </si>
  <si>
    <t>Sisaruth Cura(2)</t>
  </si>
  <si>
    <t>Rodrigo Rebancos(5)</t>
  </si>
  <si>
    <t>Rodrigo Rebancos(2)</t>
  </si>
  <si>
    <t>Charito Oberos</t>
  </si>
  <si>
    <t>Nancy Santiago</t>
  </si>
  <si>
    <t>Luis Bolante(3)</t>
  </si>
  <si>
    <t>Maryjane Urriza(6)</t>
  </si>
  <si>
    <t>Ricarda Rebancos(3)</t>
  </si>
  <si>
    <t>Albert Rebancos(3)</t>
  </si>
  <si>
    <t>Allan Rebancos(3)</t>
  </si>
  <si>
    <t>B31-S4</t>
  </si>
  <si>
    <t>Rosalina Francisco</t>
  </si>
  <si>
    <t>Mitos Encisco</t>
  </si>
  <si>
    <t>Christine Martillano</t>
  </si>
  <si>
    <t>Rizaldy delos Reyes</t>
  </si>
  <si>
    <t>Francisco Evangelista</t>
  </si>
  <si>
    <t>Eufemia Orcine</t>
  </si>
  <si>
    <t>Cecila Orcine</t>
  </si>
  <si>
    <t>Gladina Lopez</t>
  </si>
  <si>
    <t>Erwin Badaguas</t>
  </si>
  <si>
    <t>Rosalina Mariano</t>
  </si>
  <si>
    <t>Gloriosa Lara</t>
  </si>
  <si>
    <t>Alex Morales</t>
  </si>
  <si>
    <t>Melinda Ador</t>
  </si>
  <si>
    <t>Connie Cristy</t>
  </si>
  <si>
    <t>Yolanda Flora</t>
  </si>
  <si>
    <t>Francia Benjamin</t>
  </si>
  <si>
    <t>Annaliza San Juan</t>
  </si>
  <si>
    <t>Eden Berja</t>
  </si>
  <si>
    <t>Wilfredo Sabas</t>
  </si>
  <si>
    <t>Vicente de Casto</t>
  </si>
  <si>
    <t>Jimmy Transona</t>
  </si>
  <si>
    <t>Mercy Catura</t>
  </si>
  <si>
    <t>Godofredo Ramilo</t>
  </si>
  <si>
    <t>Norma Ramilo</t>
  </si>
  <si>
    <t>Julieta de Vela</t>
  </si>
  <si>
    <t>Rosemarie Banzuela</t>
  </si>
  <si>
    <t>Lisa  Senosin</t>
  </si>
  <si>
    <t>Rosanna Pielago</t>
  </si>
  <si>
    <t>Ceferina Mirana</t>
  </si>
  <si>
    <t>Jean Villafuerte</t>
  </si>
  <si>
    <t>FRESH FISH</t>
  </si>
  <si>
    <t>B5-S14</t>
  </si>
  <si>
    <t>B5-S15</t>
  </si>
  <si>
    <t>B5-S16</t>
  </si>
  <si>
    <t>B8-S9</t>
  </si>
  <si>
    <t>B8-S10</t>
  </si>
  <si>
    <t>B10-S10</t>
  </si>
  <si>
    <t>B11-S9</t>
  </si>
  <si>
    <t>B11-S10</t>
  </si>
  <si>
    <t>B13-S7</t>
  </si>
  <si>
    <t>B13-S8</t>
  </si>
  <si>
    <t>B13-S9</t>
  </si>
  <si>
    <t>B13-S10</t>
  </si>
  <si>
    <t>B13-S11</t>
  </si>
  <si>
    <t>B13-S12</t>
  </si>
  <si>
    <t>B13-S13</t>
  </si>
  <si>
    <t>B13-S14</t>
  </si>
  <si>
    <t>B13-S15</t>
  </si>
  <si>
    <t>B13-S16</t>
  </si>
  <si>
    <t>B14-S7</t>
  </si>
  <si>
    <t>B14-S8</t>
  </si>
  <si>
    <t>B16-S9</t>
  </si>
  <si>
    <t>B16-S10</t>
  </si>
  <si>
    <t>B16-S11</t>
  </si>
  <si>
    <t>B16-S12</t>
  </si>
  <si>
    <t>B16-S13</t>
  </si>
  <si>
    <t>B16-S14</t>
  </si>
  <si>
    <t>B16-S15</t>
  </si>
  <si>
    <t>B16-S16</t>
  </si>
  <si>
    <t>B17-S10</t>
  </si>
  <si>
    <t>B17-S11</t>
  </si>
  <si>
    <t>B17-S12</t>
  </si>
  <si>
    <t>B17-S13</t>
  </si>
  <si>
    <t>B17-S14</t>
  </si>
  <si>
    <t>B17-S15</t>
  </si>
  <si>
    <t>B17-S16</t>
  </si>
  <si>
    <t>B20-S6</t>
  </si>
  <si>
    <t>B22-S11</t>
  </si>
  <si>
    <t>B22-S12</t>
  </si>
  <si>
    <t>B22-S13</t>
  </si>
  <si>
    <t>B22-S14</t>
  </si>
  <si>
    <t>B23-S12</t>
  </si>
  <si>
    <t>B23-S13</t>
  </si>
  <si>
    <t>B23-S14</t>
  </si>
  <si>
    <t>B24-S11</t>
  </si>
  <si>
    <t>B24-S12</t>
  </si>
  <si>
    <t>B24-S13</t>
  </si>
  <si>
    <t>B24-S14</t>
  </si>
  <si>
    <t>B24-S15</t>
  </si>
  <si>
    <t>B24-S16</t>
  </si>
  <si>
    <t>B25-S15</t>
  </si>
  <si>
    <t>B25-S16</t>
  </si>
  <si>
    <t>B26-S8</t>
  </si>
  <si>
    <t>B26-S9</t>
  </si>
  <si>
    <t>B26-S10</t>
  </si>
  <si>
    <t>B26-S11</t>
  </si>
  <si>
    <t>B26-S12</t>
  </si>
  <si>
    <t>B26-S13</t>
  </si>
  <si>
    <t>B26-S14</t>
  </si>
  <si>
    <t>B26-S15</t>
  </si>
  <si>
    <t>B26-S16</t>
  </si>
  <si>
    <t>B26-S17</t>
  </si>
  <si>
    <t>B26-S18</t>
  </si>
  <si>
    <t>B27-S8</t>
  </si>
  <si>
    <t>B27-S9</t>
  </si>
  <si>
    <t>B27-S10</t>
  </si>
  <si>
    <t>B27-S11</t>
  </si>
  <si>
    <t>B27-S12</t>
  </si>
  <si>
    <t>B27-S13</t>
  </si>
  <si>
    <t>B27-S14</t>
  </si>
  <si>
    <t>B27-S15</t>
  </si>
  <si>
    <t>B27-S16</t>
  </si>
  <si>
    <t>B27-S17</t>
  </si>
  <si>
    <t>B27-S18</t>
  </si>
  <si>
    <t>B27-S19</t>
  </si>
  <si>
    <t>B27-S20</t>
  </si>
  <si>
    <t>B27-S21</t>
  </si>
  <si>
    <t>B28-S6</t>
  </si>
  <si>
    <t>B28-S7</t>
  </si>
  <si>
    <t>B28-S8</t>
  </si>
  <si>
    <t>B28-S9</t>
  </si>
  <si>
    <t>B28-S10</t>
  </si>
  <si>
    <t>B28-S11</t>
  </si>
  <si>
    <t>B28-S12</t>
  </si>
  <si>
    <t>B28-S13</t>
  </si>
  <si>
    <t>B28-S14</t>
  </si>
  <si>
    <t>B29-S11</t>
  </si>
  <si>
    <t>B29-S12</t>
  </si>
  <si>
    <t>B29-S13</t>
  </si>
  <si>
    <t>B29-S14</t>
  </si>
  <si>
    <t>B31-S5</t>
  </si>
  <si>
    <t>B31-S6</t>
  </si>
  <si>
    <t>B31-S7</t>
  </si>
  <si>
    <t>B31-S8</t>
  </si>
  <si>
    <t>B31-S9</t>
  </si>
  <si>
    <t>B31-S10</t>
  </si>
  <si>
    <t>B31-S11</t>
  </si>
  <si>
    <t>B31-S12</t>
  </si>
  <si>
    <t>B31-S13</t>
  </si>
  <si>
    <t>B31-S14</t>
  </si>
  <si>
    <t>B32-S7</t>
  </si>
  <si>
    <t>B34-S7</t>
  </si>
  <si>
    <t>B34-S8</t>
  </si>
  <si>
    <t>B34-S9</t>
  </si>
  <si>
    <t>B34-S10</t>
  </si>
  <si>
    <t>B34-S11</t>
  </si>
  <si>
    <t>B34-S12</t>
  </si>
  <si>
    <t>B37-S5</t>
  </si>
  <si>
    <t>B38-S4</t>
  </si>
  <si>
    <t>B38-S5</t>
  </si>
  <si>
    <t>B38-S6</t>
  </si>
  <si>
    <t>B38-S7</t>
  </si>
  <si>
    <t>B38-S8</t>
  </si>
  <si>
    <t>B38-S9</t>
  </si>
  <si>
    <t>B38-S10</t>
  </si>
  <si>
    <t>B39-S5</t>
  </si>
  <si>
    <t>B39-S6</t>
  </si>
  <si>
    <t>B40-S9</t>
  </si>
  <si>
    <t>B40-S10</t>
  </si>
  <si>
    <t>B40-S11</t>
  </si>
  <si>
    <t>B40-S12</t>
  </si>
  <si>
    <t>B40-S13</t>
  </si>
  <si>
    <t>B40-S14</t>
  </si>
  <si>
    <t>B41-S7</t>
  </si>
  <si>
    <t>B41-S8</t>
  </si>
  <si>
    <t>B41-S9</t>
  </si>
  <si>
    <t>B41-S10</t>
  </si>
  <si>
    <t>B42-S5</t>
  </si>
  <si>
    <t>B42-S6</t>
  </si>
  <si>
    <t>B42-S7</t>
  </si>
  <si>
    <t>B42-S8</t>
  </si>
  <si>
    <t>B42-S9</t>
  </si>
  <si>
    <t>B42-S10</t>
  </si>
  <si>
    <t>B42-S11</t>
  </si>
  <si>
    <t>B42-S12</t>
  </si>
  <si>
    <t>B43-S9</t>
  </si>
  <si>
    <t>B43-S10</t>
  </si>
  <si>
    <t>B43-S11</t>
  </si>
  <si>
    <t>B43-S12</t>
  </si>
  <si>
    <t>B43-S13</t>
  </si>
  <si>
    <t>B43-S14</t>
  </si>
  <si>
    <t>Liza Saez</t>
  </si>
  <si>
    <t>Arnel Dolor</t>
  </si>
  <si>
    <t>Roland Cape</t>
  </si>
  <si>
    <t>Francia Bandola</t>
  </si>
  <si>
    <t>Roel Amaro</t>
  </si>
  <si>
    <t>Melinda Lustre</t>
  </si>
  <si>
    <t>Salvacion Buena</t>
  </si>
  <si>
    <t>Elsie Valentina</t>
  </si>
  <si>
    <t>Nestor Calubad</t>
  </si>
  <si>
    <t>Cristina Sombrero</t>
  </si>
  <si>
    <t>Ronaldo Evangelista</t>
  </si>
  <si>
    <t>Salvacion Vargas</t>
  </si>
  <si>
    <t>Nenita Valentina</t>
  </si>
  <si>
    <t>Eva Francisco</t>
  </si>
  <si>
    <t>Arminda Paular</t>
  </si>
  <si>
    <t>Joan Badilla</t>
  </si>
  <si>
    <t>Maria Precila Pama</t>
  </si>
  <si>
    <t>Helen Pellosis</t>
  </si>
  <si>
    <t>Delia San luis</t>
  </si>
  <si>
    <t>Romeo Abasola</t>
  </si>
  <si>
    <t>Milagros Imperial</t>
  </si>
  <si>
    <t>Hermie Valenzuela</t>
  </si>
  <si>
    <t>Nelia Bachiller</t>
  </si>
  <si>
    <t>Nenita Almeda</t>
  </si>
  <si>
    <t>Ronilo Botalon</t>
  </si>
  <si>
    <t>Josephine Africa</t>
  </si>
  <si>
    <t>Joy Jibolan</t>
  </si>
  <si>
    <t>Winefreda Concepcion</t>
  </si>
  <si>
    <t>Norma Pimpolio</t>
  </si>
  <si>
    <t>Roderic Job</t>
  </si>
  <si>
    <t>Mely  Francisco</t>
  </si>
  <si>
    <t>Enrique delos Santos</t>
  </si>
  <si>
    <t>Marilyn amado</t>
  </si>
  <si>
    <t>Jacquiline Estolonio</t>
  </si>
  <si>
    <t>Iluminada Candelaria</t>
  </si>
  <si>
    <t>Violeta Benitez</t>
  </si>
  <si>
    <t>Cecilio Agtuca Jr</t>
  </si>
  <si>
    <t>Maryfrance Dellova-Candido</t>
  </si>
  <si>
    <t>Paula San Lorenzo</t>
  </si>
  <si>
    <t>Erwin Orila</t>
  </si>
  <si>
    <t>Felipe Belmonte</t>
  </si>
  <si>
    <t>Elena Parma</t>
  </si>
  <si>
    <t>Alegria  Naradulla</t>
  </si>
  <si>
    <t>Dominador delos Santos</t>
  </si>
  <si>
    <t>Mario Malonda</t>
  </si>
  <si>
    <t>Maryann delos Santos</t>
  </si>
  <si>
    <t>Teresita Nagac</t>
  </si>
  <si>
    <t>Henry/Evelyn Tena (?)</t>
  </si>
  <si>
    <t>Gloria Abellano/Andres</t>
  </si>
  <si>
    <t>Rodrigo Badilla</t>
  </si>
  <si>
    <t>Mercedes Bustinera</t>
  </si>
  <si>
    <t>Cristita Rabo</t>
  </si>
  <si>
    <t>Fernando Alimorong</t>
  </si>
  <si>
    <t>Victoria Esplago</t>
  </si>
  <si>
    <t>Luisa Alimorong</t>
  </si>
  <si>
    <t>Nadine Vargas</t>
  </si>
  <si>
    <t>Antonio Alimorong</t>
  </si>
  <si>
    <t>Jerome Salvador</t>
  </si>
  <si>
    <t>Josie Peyra</t>
  </si>
  <si>
    <t>Joselito Bado</t>
  </si>
  <si>
    <t>Nena Moreno/Paula San Lorenzo</t>
  </si>
  <si>
    <t>Marilyn Pasibe</t>
  </si>
  <si>
    <t>Rechilda Lawag</t>
  </si>
  <si>
    <t>Marites Laiz</t>
  </si>
  <si>
    <t>Salvacion Dables</t>
  </si>
  <si>
    <t>Arnold Fabricante</t>
  </si>
  <si>
    <t>Eva Chavez-Albao</t>
  </si>
  <si>
    <t>Romeo dela Cruz</t>
  </si>
  <si>
    <t>Shirley Naradulla</t>
  </si>
  <si>
    <t>Elma cano/Marichu Bermundo</t>
  </si>
  <si>
    <t>Ruperto Badilla</t>
  </si>
  <si>
    <t>Amalia Serrano</t>
  </si>
  <si>
    <t>Vivencia Pilapil</t>
  </si>
  <si>
    <t>Jose Pilapil</t>
  </si>
  <si>
    <t>Noel Bragais</t>
  </si>
  <si>
    <t>Juliana Mayor Medrano</t>
  </si>
  <si>
    <t>Trinidad Job</t>
  </si>
  <si>
    <t>Purita de Belen</t>
  </si>
  <si>
    <t>Jeanie Roxas</t>
  </si>
  <si>
    <t>Rebecca Pimpolio</t>
  </si>
  <si>
    <t>Michelle Timajo</t>
  </si>
  <si>
    <t>Erlinda Naradulla</t>
  </si>
  <si>
    <t>Yolanda Bendijo</t>
  </si>
  <si>
    <t>Ma. Teresa Moralde</t>
  </si>
  <si>
    <t>Gomer Nullan/Melba Arbuis</t>
  </si>
  <si>
    <t>Visitacin Olabiaga</t>
  </si>
  <si>
    <t>Loreta Pequit</t>
  </si>
  <si>
    <t>Emerlina Abelardo</t>
  </si>
  <si>
    <t>Anita Baylante</t>
  </si>
  <si>
    <t>Evelyn Alpaño</t>
  </si>
  <si>
    <t>PAVENAS</t>
  </si>
  <si>
    <t>Stall Under Stair 5</t>
  </si>
  <si>
    <t>Stall Under Stair 7</t>
  </si>
  <si>
    <t>Stall Under Stair 8</t>
  </si>
  <si>
    <t>Stall Under Ramp 1</t>
  </si>
  <si>
    <t>Panel Room</t>
  </si>
  <si>
    <t>Merrie Lyn Cheng</t>
  </si>
  <si>
    <t>Elena Untalasco</t>
  </si>
  <si>
    <t>Emmanuel Reyes</t>
  </si>
  <si>
    <t>POST2POST   (GENERAL LUNA)</t>
  </si>
  <si>
    <t>Rodolfo Charito Parra</t>
  </si>
  <si>
    <t>Jesus Olivan</t>
  </si>
  <si>
    <t>Jovita Abilay</t>
  </si>
  <si>
    <t>Susana Bulahan</t>
  </si>
  <si>
    <t>Jona Cambo Silerio</t>
  </si>
  <si>
    <t>Lydia Montero</t>
  </si>
  <si>
    <t>Joel Perez</t>
  </si>
  <si>
    <t>Pasculita Espinosa</t>
  </si>
  <si>
    <t>Analyn Guardacasa</t>
  </si>
  <si>
    <t>TOTAL:</t>
  </si>
  <si>
    <t>Anita Lanuzo</t>
  </si>
  <si>
    <t>Leonardo de los Angeles(2)</t>
  </si>
  <si>
    <t>Leonardo de los Angeles</t>
  </si>
  <si>
    <t>Nestor Santamaria III</t>
  </si>
  <si>
    <t>Rita Valera</t>
  </si>
  <si>
    <t>Razid Peñero</t>
  </si>
  <si>
    <t>Josephine Anastacio</t>
  </si>
  <si>
    <t>Miguel Viñas</t>
  </si>
  <si>
    <t>Rosemarie Señar</t>
  </si>
  <si>
    <t>Roger Roxas</t>
  </si>
  <si>
    <t>Ramil job</t>
  </si>
  <si>
    <t>Wilson Bendijo</t>
  </si>
  <si>
    <t>Jess dolor</t>
  </si>
  <si>
    <t>Arlene Par</t>
  </si>
  <si>
    <t>Bob Olaño</t>
  </si>
  <si>
    <t>Agnes L. Saberon</t>
  </si>
  <si>
    <t>Margie Belleca</t>
  </si>
  <si>
    <t>Edelisa Bena</t>
  </si>
  <si>
    <t>Remedios Almazar</t>
  </si>
  <si>
    <t>Melanie de Belen</t>
  </si>
  <si>
    <t>Nancy Sabio</t>
  </si>
  <si>
    <t>Maria Anthonette Morano</t>
  </si>
  <si>
    <t>Lourdes Agor</t>
  </si>
  <si>
    <t>Flora Antonio</t>
  </si>
  <si>
    <t>Renante Hubilla</t>
  </si>
  <si>
    <t>Marilou Diego</t>
  </si>
  <si>
    <t>Wilfredo Frial</t>
  </si>
  <si>
    <t>Elisa Cuyo</t>
  </si>
  <si>
    <t>Dionecio Diego</t>
  </si>
  <si>
    <t>Sergio M. Masilag</t>
  </si>
  <si>
    <t>Orlando Nicolas</t>
  </si>
  <si>
    <t>Arleen Caceres</t>
  </si>
  <si>
    <t>Emmanuel Silvetre (New)</t>
  </si>
  <si>
    <t>Rochelle I. Sañarez</t>
  </si>
  <si>
    <t>Exequel Botor</t>
  </si>
  <si>
    <t xml:space="preserve">Space at River </t>
  </si>
  <si>
    <t>Rebecca Enverga</t>
  </si>
  <si>
    <t>Menandro Enverga</t>
  </si>
  <si>
    <t>Christine Tesorero P.</t>
  </si>
  <si>
    <t>Carlo Magno Q. Carlos, Jr.</t>
  </si>
  <si>
    <t>Divinagracia L. Bellen</t>
  </si>
  <si>
    <t>B13; S4</t>
  </si>
  <si>
    <t>Sherryl Agor</t>
  </si>
  <si>
    <t>Mary Jane L. Trinidad</t>
  </si>
  <si>
    <t>Fatima Abasola w/ correction)</t>
  </si>
  <si>
    <t>Roger Roxas (2)</t>
  </si>
  <si>
    <t>B27-S0</t>
  </si>
  <si>
    <t>Melvin Abarientos</t>
  </si>
  <si>
    <t>Edgardo Abrenica(2)</t>
  </si>
  <si>
    <t>Aileen de Los Reyes Cordero</t>
  </si>
  <si>
    <t>Norma Mayores(3)</t>
  </si>
  <si>
    <t>Norma Mayores(2)</t>
  </si>
  <si>
    <t>Domingo Castillo(2)</t>
  </si>
  <si>
    <t>Meldred A. Iñigo</t>
  </si>
  <si>
    <t>Juliet Oquendo</t>
  </si>
  <si>
    <t>Teresita Levins Llagas</t>
  </si>
  <si>
    <t>B19;S3A</t>
  </si>
  <si>
    <t>B19;S3B</t>
  </si>
  <si>
    <t>B19;S3C</t>
  </si>
  <si>
    <t>Jocelyn C. Poquita</t>
  </si>
  <si>
    <t xml:space="preserve">Elpa Baloro </t>
  </si>
  <si>
    <t>Antonio San Lorenzo Nerona</t>
  </si>
  <si>
    <t>Norma Buban (New)</t>
  </si>
  <si>
    <t>Alegria  Naradulla (swapping)</t>
  </si>
  <si>
    <t>Jose Buatis</t>
  </si>
  <si>
    <t>Norie B. Maquiñana (New)</t>
  </si>
  <si>
    <t>Krisadee Tana C. Benitez</t>
  </si>
  <si>
    <t>B23-S1A</t>
  </si>
  <si>
    <t>B23-S1B</t>
  </si>
  <si>
    <t>B23-S1C</t>
  </si>
  <si>
    <t>Maricel L. Suron</t>
  </si>
  <si>
    <t>Lourdes Capua San Agustin</t>
  </si>
  <si>
    <t>Cresencia Rustia(2)</t>
  </si>
  <si>
    <t>Mary Ann Xie</t>
  </si>
  <si>
    <t>Mary Grace  de Lara Imperial</t>
  </si>
  <si>
    <t>Ramil Job</t>
  </si>
  <si>
    <t>Ruel Torres(New)</t>
  </si>
  <si>
    <t>Ruel Torres (New)</t>
  </si>
  <si>
    <t>Salvador Pablo</t>
  </si>
  <si>
    <t>Marvin L. Cruz</t>
  </si>
  <si>
    <t>Gladys C. Ilao</t>
  </si>
  <si>
    <t>Jackilyn Jean G. Bequillo</t>
  </si>
  <si>
    <t>Rosalinda Samar</t>
  </si>
  <si>
    <t>DEMOLISHED</t>
  </si>
  <si>
    <t>Michelle Agapito Sta Catalina</t>
  </si>
  <si>
    <t>Ma. Magdalena Relatores</t>
  </si>
  <si>
    <t>Mercy B. Cape</t>
  </si>
  <si>
    <t>Jovinet N. Pacardo</t>
  </si>
  <si>
    <t>Evangeline Añonuevo</t>
  </si>
  <si>
    <t>Nonito S. Berja</t>
  </si>
  <si>
    <t>Joseph  M. Diño</t>
  </si>
  <si>
    <t>Jerome Enverga</t>
  </si>
  <si>
    <t>Ely Ramos</t>
  </si>
  <si>
    <t>Lerma Sañarez</t>
  </si>
  <si>
    <t>Aicel Diaz Castillo</t>
  </si>
  <si>
    <t>Ma. Theresa A. Ursua</t>
  </si>
  <si>
    <t>Luningning R. Gutierrez</t>
  </si>
  <si>
    <t>Elena Vista Sergio</t>
  </si>
  <si>
    <t>Ilominada Candelaria</t>
  </si>
  <si>
    <t>Jeddah Rama Requiero</t>
  </si>
  <si>
    <t>Irene Abinal</t>
  </si>
  <si>
    <t>Nemia B. Imperial</t>
  </si>
  <si>
    <t>Gomer Nullan</t>
  </si>
  <si>
    <t>Jorge Acabado</t>
  </si>
  <si>
    <t>ASIAN UNITED BANK</t>
  </si>
  <si>
    <t>Salve Malaloan Li</t>
  </si>
  <si>
    <t>Jessa Boletic</t>
  </si>
  <si>
    <t>TOTAL</t>
  </si>
  <si>
    <t>Salvador Agor</t>
  </si>
  <si>
    <t>Zenaida Buena</t>
  </si>
  <si>
    <t>Francia Job</t>
  </si>
  <si>
    <t>Wyndel P. Borromeo</t>
  </si>
  <si>
    <t>Rolando Taleon</t>
  </si>
  <si>
    <t>Lilia  Alparan (1)</t>
  </si>
  <si>
    <t>Dolores C, Pante</t>
  </si>
  <si>
    <t>Diwani Balahibo</t>
  </si>
  <si>
    <t>Juliet Leviña</t>
  </si>
  <si>
    <t>Evangeline R. Bolante</t>
  </si>
  <si>
    <t>Joanna Ramores</t>
  </si>
  <si>
    <t>Arne Rafallo</t>
  </si>
  <si>
    <t>Edwin Fradez</t>
  </si>
  <si>
    <t>Jaime Poon</t>
  </si>
  <si>
    <t>Vincent Lo</t>
  </si>
  <si>
    <t>Tristan Ung Reyes</t>
  </si>
  <si>
    <t>Reynaldo P. Avenido</t>
  </si>
  <si>
    <t>Remedios V. Dioeda</t>
  </si>
  <si>
    <t>Rosalie F. Manondo</t>
  </si>
  <si>
    <t>Cristy F. Kojima</t>
  </si>
  <si>
    <t>Evelyn Hinto(w/ correction)</t>
  </si>
  <si>
    <t>Jessica Joy Galvez</t>
  </si>
  <si>
    <t>Nanneth Quimson</t>
  </si>
  <si>
    <t>Nanneth Quison</t>
  </si>
  <si>
    <t>Christine Tolosa</t>
  </si>
  <si>
    <t>Susan Alforte</t>
  </si>
  <si>
    <t>Nancy Alano</t>
  </si>
  <si>
    <t>Vilma Thonsata</t>
  </si>
  <si>
    <t>Samuel Zabaldicca</t>
  </si>
  <si>
    <t>Samuel Zabaldica</t>
  </si>
  <si>
    <t>Vincent Joseph Lo</t>
  </si>
  <si>
    <t>Michael Ortega</t>
  </si>
  <si>
    <t>Hansi Bical Casco</t>
  </si>
  <si>
    <t>Menchie P. Hernandez</t>
  </si>
  <si>
    <t>(DRY GOODS - II )</t>
  </si>
  <si>
    <t>Nena T. Ramos</t>
  </si>
  <si>
    <t>Evita D. Anacin</t>
  </si>
  <si>
    <t>Arnel Salvador</t>
  </si>
  <si>
    <t>Ruby de los Reyes</t>
  </si>
  <si>
    <t>Norie S. Baruel</t>
  </si>
  <si>
    <t>Stall Under Stair 1 (S -1)</t>
  </si>
  <si>
    <t xml:space="preserve">Stall Under Stair 5  </t>
  </si>
  <si>
    <t xml:space="preserve">Stall beside Bridge       </t>
  </si>
  <si>
    <t>Jesse C. Anzano</t>
  </si>
  <si>
    <t>Melinda Roca</t>
  </si>
  <si>
    <t>Kristine Sañarez</t>
  </si>
  <si>
    <t>Rosalinda Gil</t>
  </si>
  <si>
    <t>Marlyn D. Lacap</t>
  </si>
  <si>
    <t>Asuncion M. San Joaquin</t>
  </si>
  <si>
    <t>Ireneo S. Autor</t>
  </si>
  <si>
    <t>Marilyn Nepomuceno</t>
  </si>
  <si>
    <t>Dina Diaz</t>
  </si>
  <si>
    <t>Tesbe P. Pante</t>
  </si>
  <si>
    <t>Mary Rose L. Pentecostes</t>
  </si>
  <si>
    <t>Maricar M. Herrera</t>
  </si>
  <si>
    <t>Ma. Concecion V, Zuela</t>
  </si>
  <si>
    <t>Ma. Cocepcion V. Zuela</t>
  </si>
  <si>
    <t>Frederick R. Gutierrez</t>
  </si>
  <si>
    <t>Catalino Sabay Jr.</t>
  </si>
  <si>
    <t>Geraldine Villadares</t>
  </si>
  <si>
    <t>Cresencia Rustia</t>
  </si>
  <si>
    <t>Andrea Malaluan Li</t>
  </si>
  <si>
    <t>Lilia A. Balatan</t>
  </si>
  <si>
    <t>Mark Nathaniel Almeda</t>
  </si>
  <si>
    <t>Jesalyn j. Rillones</t>
  </si>
  <si>
    <t>Razid S. Peñero</t>
  </si>
  <si>
    <t>Shiela Gloria Elecanal</t>
  </si>
  <si>
    <t>Maria Antonette B. Morano</t>
  </si>
  <si>
    <t>Donna Lee Olivan</t>
  </si>
  <si>
    <t>Arne Victoria Rafallo</t>
  </si>
  <si>
    <t>Susan M. Andes  /Add Inv.</t>
  </si>
  <si>
    <t>Ronan Peñero</t>
  </si>
  <si>
    <t>Benjamin Sotto Jr.</t>
  </si>
  <si>
    <t>Diosdado Lamtecson</t>
  </si>
  <si>
    <t>Susan B. Galon</t>
  </si>
  <si>
    <t>Emeline P. Borromeo</t>
  </si>
  <si>
    <t>Amy Otordos</t>
  </si>
  <si>
    <t>Merly Aborquez</t>
  </si>
  <si>
    <t>Analyn R, Otordos</t>
  </si>
  <si>
    <t>Yrene Alinood</t>
  </si>
  <si>
    <t>Leticia T. Resuelo</t>
  </si>
  <si>
    <t>Rolly T. Sañarez</t>
  </si>
  <si>
    <t>Mercy  Moraño</t>
  </si>
  <si>
    <t>Ellen B. Britanico</t>
  </si>
  <si>
    <t>Jacob F. Bisana</t>
  </si>
  <si>
    <t>Mary Ann M. Marfil</t>
  </si>
  <si>
    <t>Maria Liza Q. Luzterio</t>
  </si>
  <si>
    <t>Lioda R. Pandaan</t>
  </si>
  <si>
    <t>Rowena A. Castuera</t>
  </si>
  <si>
    <t>Wilfredo Talagtag</t>
  </si>
  <si>
    <t>wilfredo Talagtag</t>
  </si>
  <si>
    <t>Danilo Suarez</t>
  </si>
  <si>
    <t>Ma. Angelica L. Cape</t>
  </si>
  <si>
    <t>Nelia Bacheller</t>
  </si>
  <si>
    <t>Engrid A. Amado</t>
  </si>
  <si>
    <t>Mark Anthony Kenneth Cortezano</t>
  </si>
  <si>
    <t>Mary Queen V, Baider</t>
  </si>
  <si>
    <t>Mary Ann Filicitas</t>
  </si>
  <si>
    <t>Marites P. Sierva</t>
  </si>
  <si>
    <t>Angeles, Maria Erma F.</t>
  </si>
  <si>
    <t>Amelia M. Nardo</t>
  </si>
  <si>
    <t>Melchur Broqueza</t>
  </si>
  <si>
    <t>Melanie M. Efondo</t>
  </si>
  <si>
    <t>Archel  G. Arroyo</t>
  </si>
  <si>
    <t>Archel G. Arroyo</t>
  </si>
  <si>
    <t>Adelita A. Sultan</t>
  </si>
  <si>
    <t>Merly Hernandez</t>
  </si>
  <si>
    <t>Evelyn Alacar Baroso</t>
  </si>
  <si>
    <t>Renato SB. Alipopo</t>
  </si>
  <si>
    <t>Rosalinda A. Arroyo</t>
  </si>
  <si>
    <t>NACIPEMCCO OFFICE</t>
  </si>
  <si>
    <t>Julie A. Sanarez</t>
  </si>
  <si>
    <t>Oscar Sanarez</t>
  </si>
  <si>
    <t>Analyn Beltrano</t>
  </si>
  <si>
    <t>Analyn A. Beltrano</t>
  </si>
  <si>
    <t>Rosalie Manondo</t>
  </si>
  <si>
    <t>Janine R. Mayao</t>
  </si>
  <si>
    <t>Marife L. Cape</t>
  </si>
  <si>
    <t xml:space="preserve">Ulieza Enverga </t>
  </si>
  <si>
    <t>Ian T. Castillo</t>
  </si>
  <si>
    <t>Leila Solis(3)</t>
  </si>
  <si>
    <t>Bienvinido/Norma Buban</t>
  </si>
  <si>
    <t>Alma A. Afulgencia (New)</t>
  </si>
  <si>
    <t>Marly Hernandez</t>
  </si>
  <si>
    <t>Mary Grace T. Espiritu</t>
  </si>
  <si>
    <t>Francia Talan Aguid</t>
  </si>
  <si>
    <t>TOTAL - 25</t>
  </si>
  <si>
    <t>Ma Celina Agubang</t>
  </si>
  <si>
    <t>Chester D. Acuna</t>
  </si>
  <si>
    <t>Narizha F. Badgett(2)</t>
  </si>
  <si>
    <t>Marc Gregory San Joaquin</t>
  </si>
  <si>
    <t>Milagros L. Mayao</t>
  </si>
  <si>
    <t>Lynnel B. Hemady</t>
  </si>
  <si>
    <t>Lulette M. Reyes</t>
  </si>
  <si>
    <t>Mari-Christine B, Lee</t>
  </si>
  <si>
    <t>Mari-Christine B,  Lee</t>
  </si>
  <si>
    <t>Joselito Sanarez</t>
  </si>
  <si>
    <t>Rosemarie C. Pahuyo</t>
  </si>
  <si>
    <t>Arnel P. Salvador</t>
  </si>
  <si>
    <t>Sinderella T. Nebres</t>
  </si>
  <si>
    <t>Mario Sunas(1)</t>
  </si>
  <si>
    <t>Regina Casulla</t>
  </si>
  <si>
    <t>Anna Lyn Solite Santiago</t>
  </si>
  <si>
    <t>Franco B. Bolivar</t>
  </si>
  <si>
    <t>Franco B. Bolivar (2)</t>
  </si>
  <si>
    <t>Leny N. Leorca</t>
  </si>
  <si>
    <t>Judy Anciano</t>
  </si>
  <si>
    <t>Joseph G. Lomibao</t>
  </si>
  <si>
    <t>Harlene P. Abias</t>
  </si>
  <si>
    <t>Dionex John Gases</t>
  </si>
  <si>
    <t>Regor Martinez</t>
  </si>
  <si>
    <t>Micaela Pastor</t>
  </si>
  <si>
    <t>Josefina Balanguit</t>
  </si>
  <si>
    <t>Roque V.  Fuenzalida</t>
  </si>
  <si>
    <t>Herminigildo Terbio jr.</t>
  </si>
  <si>
    <t>CHECHERIA</t>
  </si>
  <si>
    <t>Amabelle c. Advincula</t>
  </si>
  <si>
    <t>Erlinda G. Barrameda</t>
  </si>
  <si>
    <t>Zyrll Pardiñas</t>
  </si>
  <si>
    <t>Rome Alfred Nuica</t>
  </si>
  <si>
    <t>Shirly A. Bisnar</t>
  </si>
  <si>
    <t>Divina Aurellano</t>
  </si>
  <si>
    <t>Marilou Casoco</t>
  </si>
  <si>
    <t>Marvin Baloro</t>
  </si>
  <si>
    <t>Conrado Levina</t>
  </si>
  <si>
    <t>Maria Victoria Marinay</t>
  </si>
  <si>
    <t>Mirasol B. Ponce</t>
  </si>
  <si>
    <t>Richard C. Jamer</t>
  </si>
  <si>
    <t>Argeline Mae M. Pama</t>
  </si>
  <si>
    <t>Victor Flores</t>
  </si>
  <si>
    <t>Thelma Sadia</t>
  </si>
  <si>
    <t>Marites D. Estores</t>
  </si>
  <si>
    <t>B14-S3A</t>
  </si>
  <si>
    <t>Evita Anacin</t>
  </si>
  <si>
    <t>BOUNDARIES DGI</t>
  </si>
  <si>
    <t>BOUNDARIES DG I</t>
  </si>
  <si>
    <t>DISCOUNTED</t>
  </si>
  <si>
    <t>Kristine Sañarez (2)</t>
  </si>
  <si>
    <t xml:space="preserve">Corazon Dansico </t>
  </si>
  <si>
    <t>Jingle Pontillas Mazo</t>
  </si>
  <si>
    <t>Gerardo M. Bolante</t>
  </si>
  <si>
    <t xml:space="preserve">Luzviminda P. Florendo </t>
  </si>
  <si>
    <t>Merly Bragais</t>
  </si>
  <si>
    <t>Mateo B. Mariano</t>
  </si>
  <si>
    <t>Marivic N. belo</t>
  </si>
  <si>
    <t>Shara V. Serrano</t>
  </si>
  <si>
    <t>Efren Abarientos</t>
  </si>
  <si>
    <t>Melvin Alfred Manansala</t>
  </si>
  <si>
    <t>B55-S1</t>
  </si>
  <si>
    <t>B55-S2</t>
  </si>
  <si>
    <t>B55-S3</t>
  </si>
  <si>
    <t>B55-S4</t>
  </si>
  <si>
    <t>B55-S5</t>
  </si>
  <si>
    <t>B55-S6</t>
  </si>
  <si>
    <t>B55-S7</t>
  </si>
  <si>
    <t xml:space="preserve">Francia San Jose </t>
  </si>
  <si>
    <t xml:space="preserve">Ricardo Balana    </t>
  </si>
  <si>
    <t>B55-S8</t>
  </si>
  <si>
    <t>Alfredo Valerio Jr</t>
  </si>
  <si>
    <t>Myrna Santos</t>
  </si>
  <si>
    <t>Francisco Parra Sr</t>
  </si>
  <si>
    <t>Arile Hubilla</t>
  </si>
  <si>
    <t>Arile Hubilla (2)</t>
  </si>
  <si>
    <t>Luis Bolante</t>
  </si>
  <si>
    <t>DRY GOODS I</t>
  </si>
  <si>
    <t>Rodrigo Rebancos</t>
  </si>
  <si>
    <t>Ricarda Rebancos</t>
  </si>
  <si>
    <t>Albert Rebancos</t>
  </si>
  <si>
    <t>Allan Rebancos</t>
  </si>
  <si>
    <t>Zosimo Lonzame</t>
  </si>
  <si>
    <t>Virginia Galvez 5</t>
  </si>
  <si>
    <t>Elizabeth Domingo</t>
  </si>
  <si>
    <t>Leila Solis</t>
  </si>
  <si>
    <t>Cyril Pante</t>
  </si>
  <si>
    <t>Arlene Caceres</t>
  </si>
  <si>
    <t>Maria Francia Combo</t>
  </si>
  <si>
    <t>Maryjane Urriza</t>
  </si>
  <si>
    <t>DRY GOOD II</t>
  </si>
  <si>
    <t>Mitos Enciso</t>
  </si>
  <si>
    <t>Elenita ds. Ramos</t>
  </si>
  <si>
    <t>Margie San Buenaventura</t>
  </si>
  <si>
    <t>Luis M. Argente</t>
  </si>
  <si>
    <t>Sahlie Lomapag</t>
  </si>
  <si>
    <t>Lolita P. Albino</t>
  </si>
  <si>
    <t>Marichu V. Salva</t>
  </si>
  <si>
    <t>Roger R. San Buenaventura</t>
  </si>
  <si>
    <t>Elmer A. Bisnar</t>
  </si>
  <si>
    <t>Romulo C. Mayao</t>
  </si>
  <si>
    <t>Kim Ernesto I. Calubad</t>
  </si>
  <si>
    <t>Federico Oriño Jr.</t>
  </si>
  <si>
    <t>Martin B. Rilloraza</t>
  </si>
  <si>
    <t>Joby C. Agor</t>
  </si>
  <si>
    <t>Kevin Jay Galvez</t>
  </si>
  <si>
    <t>Joy R. Pandaan</t>
  </si>
  <si>
    <t>Nestor S. Cledera</t>
  </si>
  <si>
    <t>Joshua E. Belleca</t>
  </si>
  <si>
    <t>Joy Dv. Jibolan</t>
  </si>
  <si>
    <t>Aiza G. Valenzuela</t>
  </si>
  <si>
    <t>Ursula P. Lurcha</t>
  </si>
  <si>
    <t>Christpher SR. Repotente</t>
  </si>
  <si>
    <t>Adelina Honrubia</t>
  </si>
  <si>
    <t>Chona Bonete</t>
  </si>
  <si>
    <t>Hayzel F.Dia</t>
  </si>
  <si>
    <t>Lea D. Mariscal</t>
  </si>
  <si>
    <t>Divine Grace Pelagio</t>
  </si>
  <si>
    <t>Evan T. Sychay Jr.</t>
  </si>
  <si>
    <t>Marilou Ceron</t>
  </si>
  <si>
    <t>Gladies L. Sapusao</t>
  </si>
  <si>
    <t>Nancy Espiritu</t>
  </si>
  <si>
    <t>Juliet Sapusao</t>
  </si>
  <si>
    <t>Lenith Apolinar</t>
  </si>
  <si>
    <t>Uniza Enverga</t>
  </si>
  <si>
    <t>Ma. Cristina Dela Torre</t>
  </si>
  <si>
    <t>Randy Burce</t>
  </si>
  <si>
    <t>Rudy C. Baldemoro</t>
  </si>
  <si>
    <t>Marjorie Guerrero</t>
  </si>
  <si>
    <t>Lalyn Santiago</t>
  </si>
  <si>
    <t>Angelita Bacolores</t>
  </si>
  <si>
    <t>Joey Roxas</t>
  </si>
  <si>
    <t>Mary Jane Osing</t>
  </si>
  <si>
    <t>Joan Pacis</t>
  </si>
  <si>
    <t>Marites Alimorong</t>
  </si>
  <si>
    <t>Maria Cecilia Santos</t>
  </si>
  <si>
    <t>Jojit Orea</t>
  </si>
  <si>
    <t>Julita Artiaga</t>
  </si>
  <si>
    <t xml:space="preserve">Elpa V. Baloro </t>
  </si>
  <si>
    <t>Analiza F. Savilla</t>
  </si>
  <si>
    <t>Maria Clara B. Penetrante</t>
  </si>
  <si>
    <t>Ma. Cecilia Alfonso</t>
  </si>
  <si>
    <t>B/S NO.</t>
  </si>
  <si>
    <t>Jayson  Olbes</t>
  </si>
  <si>
    <t xml:space="preserve">Jayson  Olbes </t>
  </si>
  <si>
    <t>Arnel Marinay</t>
  </si>
  <si>
    <t>Laila Recario</t>
  </si>
  <si>
    <t>Corazon Pahuyo</t>
  </si>
  <si>
    <t>Elizabeth Dominguez</t>
  </si>
  <si>
    <t>Julma P. Martin</t>
  </si>
  <si>
    <t>Francia Santiago</t>
  </si>
  <si>
    <t>Annabel Jacquelene Tan</t>
  </si>
  <si>
    <t>Lony R. Francisco</t>
  </si>
  <si>
    <t>Jobelle Galvez</t>
  </si>
  <si>
    <t>Jervis A. Admana</t>
  </si>
  <si>
    <t>Antonio Antonio</t>
  </si>
  <si>
    <t>Camilo Encabo</t>
  </si>
  <si>
    <t>Joel Benito</t>
  </si>
  <si>
    <t>Margie Polbida</t>
  </si>
  <si>
    <t>Shyril Sario</t>
  </si>
  <si>
    <t>Serlyn Del Rosario</t>
  </si>
  <si>
    <t>Jaymon L. Balane</t>
  </si>
  <si>
    <t>Vicente Peñero II, Jr.</t>
  </si>
  <si>
    <t>Mary Ann T. Peñero</t>
  </si>
  <si>
    <t>Christian Alfred Y. Cabral</t>
  </si>
  <si>
    <t>Eric Alfred Y. Cabral</t>
  </si>
  <si>
    <t>Amabelle C. Advincula</t>
  </si>
  <si>
    <t>Agustia Blanca O. Legaspi</t>
  </si>
  <si>
    <t>Jaycell C. San Agustin</t>
  </si>
  <si>
    <t>Joel T. Ng</t>
  </si>
  <si>
    <t>Lara Shaine Abilay</t>
  </si>
  <si>
    <t>Samuel H. San Juan</t>
  </si>
  <si>
    <t>Jenneilyn T. Mediarito</t>
  </si>
  <si>
    <t>Cristina Capaciete</t>
  </si>
  <si>
    <t>Jomar Diego</t>
  </si>
  <si>
    <t>Maria Lourdes Mangahas</t>
  </si>
  <si>
    <t>Joy P. Pante</t>
  </si>
  <si>
    <t>Benjoe M. Diego</t>
  </si>
  <si>
    <t>Lorily V. Barcinas</t>
  </si>
  <si>
    <t>Melody N. Arbuis</t>
  </si>
  <si>
    <t>Sheryl P. Lagueta</t>
  </si>
  <si>
    <t>Jenelyn P. Raquid</t>
  </si>
  <si>
    <t>Victor Y. Zabaldica</t>
  </si>
  <si>
    <t>Vilma Z. Thongsata</t>
  </si>
  <si>
    <t>Edward P. Abias</t>
  </si>
  <si>
    <t>Rochel V. Corpuz</t>
  </si>
  <si>
    <t>Meriam O. Rosco</t>
  </si>
  <si>
    <t>Denvy C. De Castro</t>
  </si>
  <si>
    <t>Adelfa Dadis</t>
  </si>
  <si>
    <t>Joan T. Agor</t>
  </si>
  <si>
    <t>Maiden M. San Juan</t>
  </si>
  <si>
    <t>Marlon P. Salvador</t>
  </si>
  <si>
    <t>Daisy A. Sta. Ana</t>
  </si>
  <si>
    <t>Amelia V. Morisca</t>
  </si>
  <si>
    <t>Christopher V. Morisca</t>
  </si>
  <si>
    <t>Christopher Morisca</t>
  </si>
  <si>
    <t>Diosa Maria A. Mayao</t>
  </si>
  <si>
    <t>Emil L. Cape</t>
  </si>
  <si>
    <t>Kareen D. Abella Cu</t>
  </si>
  <si>
    <t>Maribel l. San Andres</t>
  </si>
  <si>
    <t>Charito B. Retuya</t>
  </si>
  <si>
    <t>Florentino San Buenaventura Jr.</t>
  </si>
  <si>
    <t>Russel Tan Pua</t>
  </si>
  <si>
    <t>Carmensita S. Ung</t>
  </si>
  <si>
    <t>Angelina DL. Lirio</t>
  </si>
  <si>
    <t>Jeanne S. Clores</t>
  </si>
  <si>
    <t>Marilyn Verdejo</t>
  </si>
  <si>
    <t>Maria Cecilia Dela Cruz</t>
  </si>
  <si>
    <t>Melba Conda</t>
  </si>
  <si>
    <t>Marilyn Guran</t>
  </si>
  <si>
    <t>Cherrie Ann Pua (2)</t>
  </si>
  <si>
    <t xml:space="preserve">Cherrie Ann Pua </t>
  </si>
  <si>
    <t>Mary Francis Antonio</t>
  </si>
  <si>
    <t>Marc Gino Melchor</t>
  </si>
  <si>
    <t>Kimberly Belleca</t>
  </si>
  <si>
    <t>Angelisa Juarez</t>
  </si>
  <si>
    <t>Erlinda Paz</t>
  </si>
  <si>
    <t>Ramon Castillo</t>
  </si>
  <si>
    <t>Sheryl Alejo</t>
  </si>
  <si>
    <t>Fe Dela Rosa</t>
  </si>
  <si>
    <t>Ma. Margie Servidad</t>
  </si>
  <si>
    <t>Rose Francis Jara</t>
  </si>
  <si>
    <t>Myra Narzoles</t>
  </si>
  <si>
    <t>Hector Bisana</t>
  </si>
  <si>
    <t>Maricar Herrera</t>
  </si>
  <si>
    <t>Edgar San Agustin</t>
  </si>
  <si>
    <t>Rachel Belleca</t>
  </si>
  <si>
    <t>Maylen Decena</t>
  </si>
  <si>
    <t>Nenita Abio</t>
  </si>
  <si>
    <t>Leslie Santelices</t>
  </si>
  <si>
    <t>Jalene Botalon</t>
  </si>
  <si>
    <t>Michael Abesa</t>
  </si>
  <si>
    <t>Elizabeth Galan</t>
  </si>
  <si>
    <t>Michael Bajamundi</t>
  </si>
  <si>
    <t>Gina Egino</t>
  </si>
  <si>
    <t>Ephrain Catimbang</t>
  </si>
  <si>
    <t>Elma Rosales</t>
  </si>
  <si>
    <t>Juanita Brecio</t>
  </si>
  <si>
    <t>Lilian Amaro</t>
  </si>
  <si>
    <t>Mark Japhet Zabaldica</t>
  </si>
  <si>
    <t>Mary Ann Bolanos</t>
  </si>
  <si>
    <t>Mary Ann Bolanos (2)</t>
  </si>
  <si>
    <t>Elmer Bisana</t>
  </si>
  <si>
    <t>Juvy Morada</t>
  </si>
  <si>
    <t>Loriel Eledia</t>
  </si>
  <si>
    <t>Ula Enverga</t>
  </si>
  <si>
    <t>Judy Celso</t>
  </si>
  <si>
    <t>Carmena Borja</t>
  </si>
  <si>
    <t>Noli Alforte</t>
  </si>
  <si>
    <t>Michael Angelo Antonio</t>
  </si>
  <si>
    <t>Noel Antonio</t>
  </si>
  <si>
    <t>Belen Rojas</t>
  </si>
  <si>
    <t>Ronie Antonio</t>
  </si>
  <si>
    <t>Janet Bulahan</t>
  </si>
  <si>
    <t>Arlene Martinez</t>
  </si>
  <si>
    <t>Hannah Salon</t>
  </si>
  <si>
    <t>Rolando Bonite</t>
  </si>
  <si>
    <t>Wilgea Idlisan</t>
  </si>
  <si>
    <t>Charisse Mary France Parra</t>
  </si>
  <si>
    <t>Arthur Belen</t>
  </si>
  <si>
    <t>Domingo Andes</t>
  </si>
  <si>
    <t>Maria Teresa Valencia</t>
  </si>
  <si>
    <t>Marichu Mabana</t>
  </si>
  <si>
    <t>Erica Arimado</t>
  </si>
  <si>
    <t>Ana Ielene Jacob</t>
  </si>
  <si>
    <t>Elvira Alangco</t>
  </si>
  <si>
    <t>Emma Montalban</t>
  </si>
  <si>
    <t>Benedicto Abellano</t>
  </si>
  <si>
    <t>Ann Pante</t>
  </si>
  <si>
    <t>Ma. Isabel Abrenica</t>
  </si>
  <si>
    <t>Claro Alfonso 3</t>
  </si>
  <si>
    <t>Angelica Cueto</t>
  </si>
  <si>
    <t>Jessica Hipolito</t>
  </si>
  <si>
    <t>Chona Bonite</t>
  </si>
  <si>
    <t>Roselyn Badilla</t>
  </si>
  <si>
    <t>Charisse Sa Jose</t>
  </si>
  <si>
    <t>Rafael Trinidad</t>
  </si>
  <si>
    <t>Girlie Lumbang</t>
  </si>
  <si>
    <t>Joseph Andrew Enverga</t>
  </si>
  <si>
    <t>Myrna Bulao</t>
  </si>
  <si>
    <t>James Andrew Lansangan</t>
  </si>
  <si>
    <t>Emilda San Buenaventura</t>
  </si>
  <si>
    <t>Philip Levina</t>
  </si>
  <si>
    <t>Joseph Del rosario</t>
  </si>
  <si>
    <t>REGISTERED NAME</t>
  </si>
  <si>
    <t xml:space="preserve">Nenita Frondozo </t>
  </si>
  <si>
    <t>Maureen Z. Ventucilla</t>
  </si>
  <si>
    <t>Chona B. Bacuño</t>
  </si>
  <si>
    <t>Nerissa O. Fabrega</t>
  </si>
  <si>
    <t>Jovielen B. Palibino</t>
  </si>
  <si>
    <t>Jose Luis A. Beleno</t>
  </si>
  <si>
    <t>Christopher A. Trinidad</t>
  </si>
  <si>
    <t>Ma. Teresa N. Mayao</t>
  </si>
  <si>
    <t>Diana L. Garcera</t>
  </si>
  <si>
    <t>Rudy Caurel</t>
  </si>
  <si>
    <t>Marlon C. Malonda</t>
  </si>
  <si>
    <t>Katherine Joy Dichoso</t>
  </si>
  <si>
    <t>Gilbert M. Largado</t>
  </si>
  <si>
    <t>Dennis L. Sapusao</t>
  </si>
  <si>
    <t>Alvin DG. Delos Angeles</t>
  </si>
  <si>
    <t>Jorge Enciso</t>
  </si>
  <si>
    <t xml:space="preserve">Eden S. Arenas </t>
  </si>
  <si>
    <t>Ronald Claveron</t>
  </si>
  <si>
    <t>Fatima Katrina Santiago</t>
  </si>
  <si>
    <t>Stephanie Lee</t>
  </si>
  <si>
    <t>Evelyn Montejo</t>
  </si>
  <si>
    <t>Gerardo Francisco</t>
  </si>
  <si>
    <t>Melissa Shea</t>
  </si>
  <si>
    <t xml:space="preserve">Reynan Rebellon </t>
  </si>
  <si>
    <t>Imelda Revistual</t>
  </si>
  <si>
    <t>Paul Christian C. Liwag</t>
  </si>
  <si>
    <t>OLD AREA OCCUPIED</t>
  </si>
  <si>
    <t>NEW AREA OCCUPIED</t>
  </si>
  <si>
    <t>RENTAL RATE (2010)</t>
  </si>
  <si>
    <t>+50% INCREASE 2012</t>
  </si>
  <si>
    <t>NEW RATE FOR 2012</t>
  </si>
  <si>
    <t>DISCOUNTEDRATE</t>
  </si>
  <si>
    <t>+50% INCREASE 2013</t>
  </si>
  <si>
    <t>NEW RATE FOR 2013</t>
  </si>
  <si>
    <t>Six Coin Traders Corp.</t>
  </si>
  <si>
    <t>27..88</t>
  </si>
  <si>
    <t>Cristina Guinhawa Disuanco</t>
  </si>
  <si>
    <t>Anna Domanica Mariano Perol</t>
  </si>
  <si>
    <t>Avegeil Parra Espiritu</t>
  </si>
  <si>
    <t>Salvacion Santa Maria</t>
  </si>
  <si>
    <t>Nenita Silvestre Sare</t>
  </si>
  <si>
    <t>NAMASFED</t>
  </si>
  <si>
    <t>Cristina Lo Ang</t>
  </si>
  <si>
    <t xml:space="preserve"> Cristina Lo Ang</t>
  </si>
  <si>
    <t>Jeremie Janssen Lo(4)</t>
  </si>
  <si>
    <t>Jeremie Janssen Lo</t>
  </si>
  <si>
    <t>Jeremie Janssen Lo(3)</t>
  </si>
  <si>
    <t>DISCOUNTED RATE</t>
  </si>
  <si>
    <r>
      <t>Narizha F. Badgett</t>
    </r>
    <r>
      <rPr>
        <sz val="12"/>
        <rFont val="Calibri"/>
        <family val="2"/>
      </rPr>
      <t>6</t>
    </r>
  </si>
  <si>
    <r>
      <t xml:space="preserve">Gina  Vasquez(c/o </t>
    </r>
    <r>
      <rPr>
        <b/>
        <sz val="12"/>
        <color indexed="10"/>
        <rFont val="Calibri"/>
        <family val="2"/>
      </rPr>
      <t>Ramon</t>
    </r>
    <r>
      <rPr>
        <sz val="12"/>
        <rFont val="Calibri"/>
        <family val="2"/>
      </rPr>
      <t>)</t>
    </r>
  </si>
  <si>
    <t>Natividad Pamon</t>
  </si>
  <si>
    <t xml:space="preserve">Frankie Quimson Carlos </t>
  </si>
  <si>
    <t>Joan B. Pacis</t>
  </si>
  <si>
    <t>Sisaruth Cura</t>
  </si>
  <si>
    <t>Absalon Abio</t>
  </si>
  <si>
    <t>Nellie Miranda</t>
  </si>
  <si>
    <t>Flavel Queng</t>
  </si>
  <si>
    <t>Joy Virata Jamon</t>
  </si>
  <si>
    <t xml:space="preserve">Sammy Esplago </t>
  </si>
  <si>
    <t xml:space="preserve">Marife Mabana </t>
  </si>
  <si>
    <t xml:space="preserve">Francia Candido </t>
  </si>
  <si>
    <t>Dolores D. Paulo</t>
  </si>
  <si>
    <t xml:space="preserve">Dolores D. Paulo </t>
  </si>
  <si>
    <t>Ronald  Job</t>
  </si>
  <si>
    <t xml:space="preserve">Alma Avila </t>
  </si>
  <si>
    <t>Marife Mabana</t>
  </si>
  <si>
    <t xml:space="preserve">Melba Arbuis </t>
  </si>
  <si>
    <t>Manuel Imperial</t>
  </si>
  <si>
    <t xml:space="preserve">Manuel Imperial </t>
  </si>
  <si>
    <t>Joan Marie Baltazar</t>
  </si>
  <si>
    <t>Eva Gonzaga</t>
  </si>
  <si>
    <t xml:space="preserve">Elisa A. Cuyo   </t>
  </si>
  <si>
    <t>Meriam Bermas</t>
  </si>
  <si>
    <t>Frankline  Lamtecson</t>
  </si>
  <si>
    <t>Virgilio Sapin</t>
  </si>
  <si>
    <t>Oscar Bermas</t>
  </si>
  <si>
    <t xml:space="preserve">Consorcia Pelopero </t>
  </si>
  <si>
    <t>Jonard Cape</t>
  </si>
  <si>
    <t xml:space="preserve">Jocebelle Apring </t>
  </si>
  <si>
    <t xml:space="preserve">Catherine S. Diaz </t>
  </si>
  <si>
    <t>Efren Pelin</t>
  </si>
  <si>
    <t>Theresa Cambe De Castro</t>
  </si>
  <si>
    <t>Maria Dolores Nuñez</t>
  </si>
  <si>
    <t>Jesseca Poyaoan</t>
  </si>
  <si>
    <t>Rosita Patricio-Suñas (2)</t>
  </si>
  <si>
    <t>Rosita Patricio-Suñas</t>
  </si>
  <si>
    <t>Sharon Rebellon</t>
  </si>
  <si>
    <t>Jacqueline Balane</t>
  </si>
  <si>
    <t>Lea  G.  Rebellon Montemayor</t>
  </si>
  <si>
    <t>Pedro Carullo</t>
  </si>
  <si>
    <t>GROUND FLOOR</t>
  </si>
  <si>
    <t>Ana A. Homillada</t>
  </si>
  <si>
    <t>Francia A. Morandarte</t>
  </si>
  <si>
    <t>Adrian A. Serrano</t>
  </si>
  <si>
    <t>Randy S. Arroyo</t>
  </si>
  <si>
    <t>Ramwen Ivan R. Palo</t>
  </si>
  <si>
    <t>Joseph Andre A. Abarientos</t>
  </si>
  <si>
    <t>Rosalinda G. Gil</t>
  </si>
  <si>
    <t>Maria Cleo Fe P. Grabata</t>
  </si>
  <si>
    <t>Cathrynn Joyce P. Miraña</t>
  </si>
  <si>
    <t>Queenie C. Peñalosa</t>
  </si>
  <si>
    <t>Joseph Philip E. Castañeda</t>
  </si>
  <si>
    <t>Erica G. Aldecoa</t>
  </si>
  <si>
    <t>Carlo Nagelo N. Joaquin</t>
  </si>
  <si>
    <t>Rico A. Acabado</t>
  </si>
  <si>
    <t>Arlene D. Beltrano</t>
  </si>
  <si>
    <t>Leonor DJ. Tolosa</t>
  </si>
  <si>
    <t>Mary Grace P. Dizon</t>
  </si>
  <si>
    <t>Gina Cobillas</t>
  </si>
  <si>
    <t>Joel N. Africa</t>
  </si>
  <si>
    <t>Dennis R. Roxas</t>
  </si>
  <si>
    <t>Cristian E. Paulite</t>
  </si>
  <si>
    <t>Froilan M. Pama</t>
  </si>
  <si>
    <t>Ricardo O. Francisco</t>
  </si>
  <si>
    <t>Cyril Vista</t>
  </si>
  <si>
    <t>Bernie C. San Vicente</t>
  </si>
  <si>
    <t>REMARKS</t>
  </si>
  <si>
    <t>Cesar Antonio</t>
  </si>
  <si>
    <t>Tablante, Grace / Leoben</t>
  </si>
  <si>
    <t>Christine SJ. Badiola</t>
  </si>
  <si>
    <t>Ma. Angelita V. Malanyaon</t>
  </si>
  <si>
    <t>Christian V. Arcilla</t>
  </si>
  <si>
    <t>Remedios S. Dy</t>
  </si>
  <si>
    <t>Venes Aurellano</t>
  </si>
  <si>
    <t>Melanie Llanes</t>
  </si>
  <si>
    <t>Jamaica Tinguha</t>
  </si>
  <si>
    <t>Jasmin Antonio</t>
  </si>
  <si>
    <t>Lita Lagasca</t>
  </si>
  <si>
    <t>NATURE OF BUSSINESS</t>
  </si>
  <si>
    <t>RATE PER SQ. METER</t>
  </si>
  <si>
    <t>GEN. MERCHANDISE</t>
  </si>
  <si>
    <t>FROZEN FOOD</t>
  </si>
  <si>
    <t>EGG RETAILER</t>
  </si>
  <si>
    <t>SARI-SARI</t>
  </si>
  <si>
    <t>HEALTH BEAUTY PRODUCT</t>
  </si>
  <si>
    <t>DRESS SHOP</t>
  </si>
  <si>
    <t>BEAUTY PARLOR</t>
  </si>
  <si>
    <t>BAKED PRODUCT</t>
  </si>
  <si>
    <t>MAGAZINE NEWS PAPER</t>
  </si>
  <si>
    <t>FOOT WEAR / GEN. MERCHANDISE</t>
  </si>
  <si>
    <t>DRY GOODS</t>
  </si>
  <si>
    <t>JEWELRY AND REPAIR SHOP</t>
  </si>
  <si>
    <t>BARBER SHOP</t>
  </si>
  <si>
    <t>GROCERY</t>
  </si>
  <si>
    <t>PAWNSHOP</t>
  </si>
  <si>
    <t>EMPTY BOTTLE</t>
  </si>
  <si>
    <t>BEAUTY PARLOR AND BARBER SHOP</t>
  </si>
  <si>
    <t>PILI PASALUBONG</t>
  </si>
  <si>
    <t>BAKERY</t>
  </si>
  <si>
    <t>GEN. MERCHANDISE / SARI-SARI</t>
  </si>
  <si>
    <t>SNACK HOUSE</t>
  </si>
  <si>
    <t>LOTTO OUTLET</t>
  </si>
  <si>
    <t>TAILORING SHOP</t>
  </si>
  <si>
    <t>DRUG STORE</t>
  </si>
  <si>
    <t>GEN. MERCHANDISE / PASALUBONG</t>
  </si>
  <si>
    <t>DRY GOODS / BRIDAL GOWN</t>
  </si>
  <si>
    <t>FOOTWEAR</t>
  </si>
  <si>
    <t>NATIVE PRODUCT</t>
  </si>
  <si>
    <t>OFFICE</t>
  </si>
  <si>
    <t>WATER REFILLING STATION</t>
  </si>
  <si>
    <t>DENTAL CLINIC</t>
  </si>
  <si>
    <t>FLOWER PLANTS</t>
  </si>
  <si>
    <t>DRY GOODS / TEXTILE</t>
  </si>
  <si>
    <t>BAKESHOP</t>
  </si>
  <si>
    <t>FROZEN FOODS</t>
  </si>
  <si>
    <t>B3-S2A</t>
  </si>
  <si>
    <t>B3-S2B</t>
  </si>
  <si>
    <t>B3-S3A</t>
  </si>
  <si>
    <t>B3-S3B</t>
  </si>
  <si>
    <t>B13-S1A</t>
  </si>
  <si>
    <t>B13-S1B</t>
  </si>
  <si>
    <t>Sherah Mae G. Servilla</t>
  </si>
  <si>
    <t>Jason T. Agor</t>
  </si>
  <si>
    <t>Janet A. Araño</t>
  </si>
  <si>
    <t>Maricris Singson</t>
  </si>
  <si>
    <t>Angelita T. Garcia</t>
  </si>
  <si>
    <t xml:space="preserve">Cherrie B. Cabiles </t>
  </si>
  <si>
    <t>Jesus Y. Cancino</t>
  </si>
  <si>
    <t>Juanilon delos Santos</t>
  </si>
  <si>
    <t>Melinda Largado</t>
  </si>
  <si>
    <t>Joshua Nierva</t>
  </si>
  <si>
    <t>Herlin Gomez</t>
  </si>
  <si>
    <t>Florencia A. Salazar</t>
  </si>
  <si>
    <t>Leticia T. Resuello</t>
  </si>
  <si>
    <t>Erlinda A. Ferrer</t>
  </si>
  <si>
    <t>Ma. Rosario A. Beleno</t>
  </si>
  <si>
    <t>Ronaliza I. Sañares</t>
  </si>
  <si>
    <t>Heginy B. Prado</t>
  </si>
  <si>
    <t>Jean DL. Vargas</t>
  </si>
  <si>
    <t>Ren Mark V. Zuniega</t>
  </si>
  <si>
    <t>Lalaine Q. Canillo</t>
  </si>
  <si>
    <t>Mary France A. Lanuzga</t>
  </si>
  <si>
    <t>Maria Violeta S. Peñaredondo</t>
  </si>
  <si>
    <t>Lester M. Martinez</t>
  </si>
  <si>
    <t>Elvira P. Alangco</t>
  </si>
  <si>
    <t>Joseph T. Castillo</t>
  </si>
  <si>
    <t>Jose Antonio R. Hipolito Jr.</t>
  </si>
  <si>
    <t>Pio M. Chica</t>
  </si>
  <si>
    <t>Ray M. Pinote</t>
  </si>
  <si>
    <t>Cinderella D. Abesa</t>
  </si>
  <si>
    <t>Marian L. Claveron</t>
  </si>
  <si>
    <t>Russell Ann P. Claveron</t>
  </si>
  <si>
    <t>Arleen R. CaceresS</t>
  </si>
  <si>
    <t>Froilan Q. Carlos</t>
  </si>
  <si>
    <t>Julieta S. Caringal</t>
  </si>
  <si>
    <t>Eliza Y. Pabitero</t>
  </si>
  <si>
    <t>Elenita P. Arquilla</t>
  </si>
  <si>
    <t>Ivy A. Amaro</t>
  </si>
  <si>
    <t>Andrea C. Malonda</t>
  </si>
  <si>
    <t>Mariem Shem Z. Sarto</t>
  </si>
  <si>
    <t>Espiranza A. Montañez</t>
  </si>
  <si>
    <t>Ryan D. Solite</t>
  </si>
  <si>
    <t>Emelita Ruth B. Batuhan</t>
  </si>
  <si>
    <t>Angelica S. Artiaga</t>
  </si>
  <si>
    <t>Efren Z. Chavez</t>
  </si>
  <si>
    <t>Jeanly B. Botalon</t>
  </si>
  <si>
    <t>Louella N. Tablante</t>
  </si>
  <si>
    <t>John Paul A. Agnas</t>
  </si>
  <si>
    <t>Gladys P. San Lorenzo</t>
  </si>
  <si>
    <t>Domingo B. Namoro Jr.</t>
  </si>
  <si>
    <t xml:space="preserve">Christian L. Dables </t>
  </si>
  <si>
    <t>Rosalina H. Rances</t>
  </si>
  <si>
    <t>Marie Joy B. Bisenio</t>
  </si>
  <si>
    <t>Ricky S. Portuito</t>
  </si>
  <si>
    <t>Arjay R. Roxas</t>
  </si>
  <si>
    <t>Gilbert A. Moralde</t>
  </si>
  <si>
    <t>George P. Martin</t>
  </si>
  <si>
    <t>Annie Mae R. Lacerona</t>
  </si>
  <si>
    <t>Vina B. Tagum</t>
  </si>
  <si>
    <t>Marilyn B. Verdejo</t>
  </si>
  <si>
    <t>Jean Rose N. Nocillado</t>
  </si>
  <si>
    <t>Sarina Liza H. Hernandez</t>
  </si>
  <si>
    <t>John Mar S. Sare</t>
  </si>
  <si>
    <t>Layla B. Hernandez</t>
  </si>
  <si>
    <t>Joshua U. Contreras</t>
  </si>
  <si>
    <t>Ricardo Sy Ung</t>
  </si>
  <si>
    <t>Ryan P. Ung</t>
  </si>
  <si>
    <t>Erica May A. Reyes</t>
  </si>
  <si>
    <t>Maria Eunice A. Alma</t>
  </si>
  <si>
    <t>Francia C. Levina</t>
  </si>
  <si>
    <t>Juliet Levina(2)</t>
  </si>
  <si>
    <t>Angelicka Jenn V. Cacal</t>
  </si>
  <si>
    <t>Josephine V. Amaro</t>
  </si>
  <si>
    <t>Larry Cariño</t>
  </si>
  <si>
    <t>Mequias P. Borromeo</t>
  </si>
  <si>
    <t>Fernando S. Arevalo</t>
  </si>
  <si>
    <t>Jonna Mae R. Roa</t>
  </si>
  <si>
    <t>Josie B. Besinio</t>
  </si>
  <si>
    <t>Mark Anthony A. Risare</t>
  </si>
  <si>
    <t>Jullie Ann M. Lansangan</t>
  </si>
  <si>
    <t>Marie Ruth M. Jose</t>
  </si>
  <si>
    <t>Luchelle P. Badaguas</t>
  </si>
  <si>
    <t>Rejean M . Francisco</t>
  </si>
  <si>
    <t>Lilibeth C. Pante</t>
  </si>
  <si>
    <t>Maria Leonor F. Alinood</t>
  </si>
  <si>
    <t>Antonio O. Pasia</t>
  </si>
  <si>
    <t>Pechie SJ. Evasco</t>
  </si>
  <si>
    <t>Mona Marice I. Orante</t>
  </si>
  <si>
    <t>Albert P. Sarmiento</t>
  </si>
  <si>
    <t>Narciso B. Ligaspi</t>
  </si>
  <si>
    <t>Allan F. Castro</t>
  </si>
  <si>
    <t>Bryan Sy Laiz</t>
  </si>
  <si>
    <t>Melody A. Tabao</t>
  </si>
  <si>
    <t>Francia A. San Jose</t>
  </si>
  <si>
    <t>Eric C. Bequillo</t>
  </si>
  <si>
    <t>Adelma C. Vargas</t>
  </si>
  <si>
    <t>Rose Francis F. Jara</t>
  </si>
  <si>
    <t>Hector F. Bisana</t>
  </si>
  <si>
    <t>Francis DLS. Bandola</t>
  </si>
  <si>
    <t>Andres R. Abellano</t>
  </si>
  <si>
    <t>Melanie B. De Leon</t>
  </si>
  <si>
    <t>Mary Ann N. San Pascual</t>
  </si>
  <si>
    <t>Sandy G. Calleja</t>
  </si>
  <si>
    <t>Nolito T. Vargas</t>
  </si>
  <si>
    <t>Elisa B. Flores</t>
  </si>
  <si>
    <t>Jackielyn L. Brutas</t>
  </si>
  <si>
    <t>Andrew S. Alden</t>
  </si>
  <si>
    <t>Ma. Lourdes C. Panogalinga</t>
  </si>
  <si>
    <t>Junbel A. Lamtecson</t>
  </si>
  <si>
    <t>Marites C. Himoldang</t>
  </si>
  <si>
    <t>Kelly J. Arejola</t>
  </si>
  <si>
    <t>Leonardo V. Nierva III</t>
  </si>
  <si>
    <t>Rina Roxane O. Ong</t>
  </si>
  <si>
    <t>Gloria  Rebellon</t>
  </si>
  <si>
    <t>Judelyn B. Dura</t>
  </si>
  <si>
    <t>Paolo Gabriel DLC. Jamer</t>
  </si>
  <si>
    <t>Abdul Majeed C. Abdul Majid</t>
  </si>
  <si>
    <t>Violeta B. Bihag</t>
  </si>
  <si>
    <t>Salve B. Parpan</t>
  </si>
  <si>
    <t>Maria Eunice Alma</t>
  </si>
  <si>
    <t>Michael Amparo</t>
  </si>
  <si>
    <t>Susan C. Mones</t>
  </si>
  <si>
    <t>Laila Recario/Lester Martinez</t>
  </si>
  <si>
    <t>Dizon Divinaflor/Raissa Velasquez</t>
  </si>
  <si>
    <t>Dizon Divinaflor/Raissa velasquez</t>
  </si>
  <si>
    <t>Ricky Portuito</t>
  </si>
  <si>
    <t>Arjay Roxas</t>
  </si>
  <si>
    <t>Evelyn Mayao Montejo</t>
  </si>
  <si>
    <t>Jennifer De Vela</t>
  </si>
  <si>
    <t>Joanne SA. Arco</t>
  </si>
  <si>
    <t>Rodrigo B. Pelagio</t>
  </si>
  <si>
    <t>Joel B. Reyes</t>
  </si>
  <si>
    <t>Gladys J. Ng</t>
  </si>
  <si>
    <t>Jeram R. Relos</t>
  </si>
  <si>
    <t>Rebecca Riva R. Lumacad</t>
  </si>
  <si>
    <t>Princess L. Mariano</t>
  </si>
  <si>
    <t>Alvin Dg. Delos Angeles</t>
  </si>
  <si>
    <t>Gihel M. Calabia</t>
  </si>
  <si>
    <t>Junie S. Perez</t>
  </si>
  <si>
    <t>REFRESHMENT</t>
  </si>
  <si>
    <t>BREAD SHOP</t>
  </si>
  <si>
    <t>BANK</t>
  </si>
  <si>
    <t>GROCERY / RICE</t>
  </si>
  <si>
    <t>BAKERY OUTLET</t>
  </si>
  <si>
    <t>GEN. MERC</t>
  </si>
  <si>
    <t>GEN. MERCHANDISE / LOTTO OUTLET</t>
  </si>
  <si>
    <t>GEN. MERCHANDISE/PHOTO STUDIO</t>
  </si>
  <si>
    <t>BAKED SHOP</t>
  </si>
  <si>
    <t>SNACK REFRESHMENT</t>
  </si>
  <si>
    <t>RET-RICE</t>
  </si>
  <si>
    <t>RET-RICE / GROCERY</t>
  </si>
  <si>
    <t>BODEGA</t>
  </si>
  <si>
    <t>AGRI-PRODUCT/ANIMAL FEEDS</t>
  </si>
  <si>
    <t>SOFTDRINKS</t>
  </si>
  <si>
    <t>RET-ANIMAL FEEDS/FERTILIZER</t>
  </si>
  <si>
    <t>POULTRY FEEDS</t>
  </si>
  <si>
    <t>POULTRY FEEDS / PET PRODUCTS</t>
  </si>
  <si>
    <t>RICE, CORN, COPRA, PALAY</t>
  </si>
  <si>
    <t>Corazon B. Bola</t>
  </si>
  <si>
    <t>Rosemarie O. Young</t>
  </si>
  <si>
    <t>Jhon Roann L. Lorente</t>
  </si>
  <si>
    <t>Norman B. Dayan</t>
  </si>
  <si>
    <t>Romeo L. Panuelos Jr.</t>
  </si>
  <si>
    <t>Renee Rose A. Carba</t>
  </si>
  <si>
    <t>Novalyn R. Borja</t>
  </si>
  <si>
    <t>Camille S. Alday</t>
  </si>
  <si>
    <t>Stephanie M. Navarro</t>
  </si>
  <si>
    <t>Cristian T. Castillo</t>
  </si>
  <si>
    <t>Odessa Mae L. Morano</t>
  </si>
  <si>
    <t>Raymund Philip F. Revistual</t>
  </si>
  <si>
    <t>B16-S2A</t>
  </si>
  <si>
    <t>B16-S2B</t>
  </si>
  <si>
    <t>Joanna P. Tesorero</t>
  </si>
  <si>
    <t>Samantha Dolores Y. Lanon</t>
  </si>
  <si>
    <t>Judelyn SJ. Wong</t>
  </si>
  <si>
    <t>Marjorie May A. Lumbria</t>
  </si>
  <si>
    <t>Trisha Mae C. Alamil</t>
  </si>
  <si>
    <t>Ramon T. Alamil</t>
  </si>
  <si>
    <t>Arly R. Faramil</t>
  </si>
  <si>
    <t>Rechelle H. Discaya</t>
  </si>
  <si>
    <t>Marites B. Bergado</t>
  </si>
  <si>
    <t>Rennel P. Braganaza</t>
  </si>
  <si>
    <t>Adrian U. Brioso</t>
  </si>
  <si>
    <t>Josephine A. Abayon</t>
  </si>
  <si>
    <t>Cazandra Ivanna P. Miraña</t>
  </si>
  <si>
    <t>Ma. Leizel R. Basa</t>
  </si>
  <si>
    <t>Ivan Louise O. Rosco</t>
  </si>
  <si>
    <t>Lelia B. Ramasta</t>
  </si>
  <si>
    <t>Ray Allen Y. Pabitero</t>
  </si>
  <si>
    <t>Serlyn D. Del Rosario</t>
  </si>
  <si>
    <t>Maria Francia O. Dacara</t>
  </si>
  <si>
    <t>Joanne C. Orpiada</t>
  </si>
  <si>
    <t>Jack P. De Guzman</t>
  </si>
  <si>
    <t>Bernadeth SJ. Bejerano</t>
  </si>
  <si>
    <t>Judy Anne SD. Job</t>
  </si>
  <si>
    <t>Krisadee Tanah C. Benitez</t>
  </si>
  <si>
    <t>Sheryl A. Hernandez</t>
  </si>
  <si>
    <t>Jan Cedric F. Rustia</t>
  </si>
  <si>
    <t>Francia A. cruz</t>
  </si>
  <si>
    <t>Rosalyn I. Sañarez</t>
  </si>
  <si>
    <t>Jocelyn A. Moreno</t>
  </si>
  <si>
    <t>Humphrey Brent Alinood</t>
  </si>
  <si>
    <t>Erlinda L. Temwat</t>
  </si>
  <si>
    <t>Michael Soverano</t>
  </si>
  <si>
    <t>Renee Rose A. Cabra</t>
  </si>
  <si>
    <t>Ella May B. Terbio</t>
  </si>
  <si>
    <t>Sarah Rose E. Pua</t>
  </si>
  <si>
    <t>Nicole Ashley D. Castillo</t>
  </si>
  <si>
    <t>Abel/Marites C. Himoldang</t>
  </si>
  <si>
    <t>Nanette M. San Buenaventura</t>
  </si>
  <si>
    <t>John M. Acabado</t>
  </si>
  <si>
    <t>Alfredo F. Francisco</t>
  </si>
  <si>
    <t>Erwin A. Vita</t>
  </si>
  <si>
    <t>Mariejoy M. Ortega</t>
  </si>
  <si>
    <t>Helen Y. Alfonso</t>
  </si>
  <si>
    <t>Francis V. Botor</t>
  </si>
  <si>
    <t>Leah G. Lumabi</t>
  </si>
  <si>
    <t>Roderick C. Olea</t>
  </si>
  <si>
    <t>Marvin B. Mabana</t>
  </si>
  <si>
    <t>Adelina M. Vasquez</t>
  </si>
  <si>
    <t>Sheena S. Delos Santos</t>
  </si>
  <si>
    <t>Romeo G. Alano</t>
  </si>
  <si>
    <t>Marvin Ortega</t>
  </si>
  <si>
    <t>Aljon Isulan</t>
  </si>
  <si>
    <t>Ma. Antonio R. Cano II</t>
  </si>
  <si>
    <t>Ivy M. Roxas</t>
  </si>
  <si>
    <t>Rhea Loren Naradulla</t>
  </si>
  <si>
    <t>Christian N. Reniva</t>
  </si>
  <si>
    <t>Maricor T. Tablizo</t>
  </si>
  <si>
    <t>Manilyn L. Beldad</t>
  </si>
  <si>
    <t>May Rose D. Candido</t>
  </si>
  <si>
    <t>Eduvigis C. Pasa</t>
  </si>
  <si>
    <t>Renz Hedric C. Agor</t>
  </si>
  <si>
    <t>Jaypee R. Rellama</t>
  </si>
  <si>
    <t>Caridad C. Arquilla</t>
  </si>
  <si>
    <t>Maricho T. Pobre</t>
  </si>
  <si>
    <t>Mayolar V. Beluang</t>
  </si>
  <si>
    <t>Korina Kate V. Beluang</t>
  </si>
  <si>
    <t>Jayson O. Legaspi</t>
  </si>
  <si>
    <t>Neziel S. Santiano</t>
  </si>
  <si>
    <t>Niel Russell S. Santiano</t>
  </si>
  <si>
    <t>Raphael G. Acabado</t>
  </si>
  <si>
    <t>Arlene A. Cate</t>
  </si>
  <si>
    <t>Mercy S. Mayao</t>
  </si>
  <si>
    <t>Joenan R. Abio</t>
  </si>
  <si>
    <t>Ariel M. Yater</t>
  </si>
  <si>
    <t>Niña E. Recto</t>
  </si>
  <si>
    <t>Gerardo A. Francisco</t>
  </si>
  <si>
    <t>Marjorie DM. Guerrero</t>
  </si>
  <si>
    <t>Francis Vianney G. Zabaldica</t>
  </si>
  <si>
    <t>Rene Y. Zabaldica</t>
  </si>
  <si>
    <t>Mae Belle Lyn C. Himoldang</t>
  </si>
  <si>
    <t>Aida R. Rellama</t>
  </si>
  <si>
    <t>Mykell A. Legaspi</t>
  </si>
  <si>
    <t>Ryan Christian S. Calayca</t>
  </si>
  <si>
    <t>Ymer A. Legapi</t>
  </si>
  <si>
    <t>Hazel B. Alpe</t>
  </si>
  <si>
    <t>Mannilyn  S. Tawagon</t>
  </si>
  <si>
    <t>Ronald Bolivar</t>
  </si>
  <si>
    <t>Joey R. Rellama</t>
  </si>
  <si>
    <t>Solomon C. Callos Jr.</t>
  </si>
  <si>
    <t>Daisy Tan Lee</t>
  </si>
  <si>
    <t>Elyssa M. Quito</t>
  </si>
  <si>
    <t>Emmanuel Jose R. Antonio</t>
  </si>
  <si>
    <t>Mary Ann P. Realo</t>
  </si>
  <si>
    <t>Surewin DLA. San Juan</t>
  </si>
  <si>
    <t>Rizza L. Agpoon</t>
  </si>
  <si>
    <t>Romeo A. Alano</t>
  </si>
  <si>
    <t>Marlyn Aranaz</t>
  </si>
  <si>
    <t>Marcinette M. San Juan</t>
  </si>
  <si>
    <t>Catherine S. Diaz</t>
  </si>
  <si>
    <t>Qyle John DLS. San Juan</t>
  </si>
  <si>
    <t>Rosaleo T. Ludovice Jr.</t>
  </si>
  <si>
    <t>Niño Jesus A. Bena</t>
  </si>
  <si>
    <t>Efren S. Bongyad Jr.</t>
  </si>
  <si>
    <t>Grace S. Alvaro</t>
  </si>
  <si>
    <t>Geraldine L. Fabricante</t>
  </si>
  <si>
    <t>Mark Jarom S. Cunanan</t>
  </si>
  <si>
    <t>Gloria Laut</t>
  </si>
  <si>
    <t>Jayson San Pascual</t>
  </si>
  <si>
    <t>Franchescka Alain Abarientos</t>
  </si>
  <si>
    <t>Jocelyn Lopez</t>
  </si>
  <si>
    <t>Rosemarie Reyes</t>
  </si>
  <si>
    <t>Rolando R. Republica</t>
  </si>
  <si>
    <t>Crisanta P. Caponga</t>
  </si>
  <si>
    <t>Elsie DLS. Nares</t>
  </si>
  <si>
    <t>NATURE OF BUSSINESS 2025</t>
  </si>
  <si>
    <t>PILI PASALUBONG, GEN. MERCHANDISE, GROCERY</t>
  </si>
  <si>
    <t>NEPA GOODS</t>
  </si>
  <si>
    <t>RICE AND AGRI-CHEMICAL</t>
  </si>
  <si>
    <t>Ruth C. Gacer</t>
  </si>
  <si>
    <t>John Earl M. Velasquez</t>
  </si>
  <si>
    <t xml:space="preserve">Catherine P. Malijan </t>
  </si>
  <si>
    <t>Catherine P. Malijan</t>
  </si>
  <si>
    <t>TOTAL AREA OCCUPIED</t>
  </si>
  <si>
    <t>TOTAL RENTAL RATE</t>
  </si>
  <si>
    <t xml:space="preserve">POST TO POST </t>
  </si>
  <si>
    <t>1ST LEVEL</t>
  </si>
  <si>
    <t>2ND LEVEL</t>
  </si>
  <si>
    <t>3RD LEVEL</t>
  </si>
  <si>
    <t>7.8</t>
  </si>
  <si>
    <t>RATE PER SQUARE METER</t>
  </si>
  <si>
    <t xml:space="preserve">NCPM SUMMARY OF RENTABLE AREA </t>
  </si>
  <si>
    <t>GT TOTAL</t>
  </si>
  <si>
    <t>100% RENT</t>
  </si>
  <si>
    <t>HIGHEST RENTAL RATE ( GF )</t>
  </si>
  <si>
    <t>LOWEST RENTAL RATE (DG II)</t>
  </si>
  <si>
    <r>
      <t>50 /</t>
    </r>
    <r>
      <rPr>
        <b/>
        <sz val="12"/>
        <color rgb="FFFF0000"/>
        <rFont val="Calibri"/>
        <family val="2"/>
        <scheme val="minor"/>
      </rPr>
      <t xml:space="preserve"> 600</t>
    </r>
  </si>
  <si>
    <r>
      <t xml:space="preserve">4.12 / </t>
    </r>
    <r>
      <rPr>
        <b/>
        <sz val="12"/>
        <color rgb="FFFF0000"/>
        <rFont val="Calibri"/>
        <family val="2"/>
        <scheme val="minor"/>
      </rPr>
      <t>108.60</t>
    </r>
  </si>
  <si>
    <t>25% PROMPT DISCOUNTED RATE</t>
  </si>
  <si>
    <t>NCPM</t>
  </si>
  <si>
    <t>NUMBER OF STALLS</t>
  </si>
  <si>
    <t>NUMBER OF STALLHOLDERS</t>
  </si>
  <si>
    <t>AREA &amp; RATE PER SQUARE METER</t>
  </si>
  <si>
    <t>GT TOTAL PER SQUARE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</si>
</sst>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#,##0.00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70C0"/>
      <name val="Calibri"/>
      <family val="2"/>
      <scheme val="minor"/>
    </font>
    <font>
      <sz val="12"/>
      <name val="Calibri"/>
      <family val="2"/>
    </font>
    <font>
      <sz val="12"/>
      <name val="Arial"/>
      <family val="2"/>
    </font>
    <font>
      <sz val="12"/>
      <color rgb="FFC00000"/>
      <name val="Calibri"/>
      <family val="2"/>
      <scheme val="minor"/>
    </font>
    <font>
      <b/>
      <sz val="12"/>
      <color indexed="10"/>
      <name val="Calibri"/>
      <family val="2"/>
    </font>
    <font>
      <sz val="12"/>
      <color rgb="FFFFFF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2">
    <xf numFmtId="0" fontId="0" fillId="0" borderId="0" xfId="0"/>
    <xf numFmtId="0" fontId="3" fillId="0" borderId="0" xfId="0" applyFont="1"/>
    <xf numFmtId="0" fontId="5" fillId="0" borderId="0" xfId="0" applyFont="1"/>
    <xf numFmtId="43" fontId="7" fillId="0" borderId="1" xfId="0" applyNumberFormat="1" applyFont="1" applyBorder="1"/>
    <xf numFmtId="0" fontId="9" fillId="0" borderId="0" xfId="0" applyFont="1"/>
    <xf numFmtId="0" fontId="10" fillId="0" borderId="0" xfId="0" applyFont="1"/>
    <xf numFmtId="0" fontId="13" fillId="0" borderId="0" xfId="0" applyFont="1"/>
    <xf numFmtId="2" fontId="0" fillId="0" borderId="0" xfId="0" applyNumberFormat="1"/>
    <xf numFmtId="0" fontId="14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5" fillId="0" borderId="0" xfId="0" applyFont="1"/>
    <xf numFmtId="0" fontId="16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0" borderId="0" xfId="0" applyFont="1"/>
    <xf numFmtId="0" fontId="7" fillId="0" borderId="0" xfId="0" applyFont="1" applyAlignment="1">
      <alignment horizontal="center"/>
    </xf>
    <xf numFmtId="0" fontId="12" fillId="0" borderId="0" xfId="0" applyFont="1"/>
    <xf numFmtId="0" fontId="18" fillId="0" borderId="1" xfId="0" applyFont="1" applyBorder="1"/>
    <xf numFmtId="0" fontId="19" fillId="0" borderId="1" xfId="0" applyFont="1" applyBorder="1" applyAlignment="1">
      <alignment horizontal="center"/>
    </xf>
    <xf numFmtId="43" fontId="19" fillId="0" borderId="1" xfId="0" applyNumberFormat="1" applyFont="1" applyBorder="1"/>
    <xf numFmtId="49" fontId="19" fillId="0" borderId="1" xfId="0" applyNumberFormat="1" applyFont="1" applyBorder="1" applyAlignment="1">
      <alignment horizontal="center"/>
    </xf>
    <xf numFmtId="43" fontId="20" fillId="0" borderId="1" xfId="1" applyFont="1" applyBorder="1"/>
    <xf numFmtId="43" fontId="19" fillId="0" borderId="1" xfId="1" applyFont="1" applyBorder="1"/>
    <xf numFmtId="0" fontId="21" fillId="0" borderId="1" xfId="0" applyFont="1" applyBorder="1"/>
    <xf numFmtId="0" fontId="8" fillId="0" borderId="1" xfId="0" applyFont="1" applyBorder="1"/>
    <xf numFmtId="0" fontId="8" fillId="0" borderId="0" xfId="0" applyFont="1"/>
    <xf numFmtId="43" fontId="19" fillId="0" borderId="3" xfId="1" applyFont="1" applyFill="1" applyBorder="1" applyAlignment="1"/>
    <xf numFmtId="43" fontId="20" fillId="0" borderId="3" xfId="1" applyFont="1" applyFill="1" applyBorder="1" applyAlignment="1"/>
    <xf numFmtId="4" fontId="19" fillId="0" borderId="1" xfId="0" applyNumberFormat="1" applyFont="1" applyBorder="1"/>
    <xf numFmtId="43" fontId="19" fillId="0" borderId="1" xfId="0" applyNumberFormat="1" applyFont="1" applyBorder="1" applyAlignment="1">
      <alignment horizontal="center"/>
    </xf>
    <xf numFmtId="0" fontId="22" fillId="0" borderId="0" xfId="0" applyFont="1"/>
    <xf numFmtId="0" fontId="22" fillId="0" borderId="1" xfId="0" applyFont="1" applyBorder="1"/>
    <xf numFmtId="0" fontId="23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164" fontId="8" fillId="0" borderId="1" xfId="0" applyNumberFormat="1" applyFont="1" applyBorder="1"/>
    <xf numFmtId="4" fontId="18" fillId="2" borderId="5" xfId="0" applyNumberFormat="1" applyFont="1" applyFill="1" applyBorder="1"/>
    <xf numFmtId="43" fontId="8" fillId="0" borderId="1" xfId="0" applyNumberFormat="1" applyFont="1" applyBorder="1"/>
    <xf numFmtId="2" fontId="18" fillId="0" borderId="1" xfId="0" applyNumberFormat="1" applyFont="1" applyBorder="1"/>
    <xf numFmtId="4" fontId="18" fillId="0" borderId="1" xfId="0" applyNumberFormat="1" applyFont="1" applyBorder="1"/>
    <xf numFmtId="4" fontId="18" fillId="0" borderId="1" xfId="1" applyNumberFormat="1" applyFont="1" applyBorder="1"/>
    <xf numFmtId="4" fontId="8" fillId="0" borderId="1" xfId="0" applyNumberFormat="1" applyFont="1" applyBorder="1"/>
    <xf numFmtId="4" fontId="18" fillId="2" borderId="1" xfId="0" applyNumberFormat="1" applyFont="1" applyFill="1" applyBorder="1"/>
    <xf numFmtId="43" fontId="18" fillId="0" borderId="1" xfId="0" applyNumberFormat="1" applyFont="1" applyBorder="1"/>
    <xf numFmtId="0" fontId="19" fillId="2" borderId="1" xfId="0" applyFont="1" applyFill="1" applyBorder="1" applyAlignment="1">
      <alignment horizontal="center"/>
    </xf>
    <xf numFmtId="0" fontId="18" fillId="2" borderId="1" xfId="0" applyFont="1" applyFill="1" applyBorder="1"/>
    <xf numFmtId="2" fontId="18" fillId="2" borderId="1" xfId="0" applyNumberFormat="1" applyFont="1" applyFill="1" applyBorder="1"/>
    <xf numFmtId="4" fontId="18" fillId="2" borderId="1" xfId="1" applyNumberFormat="1" applyFont="1" applyFill="1" applyBorder="1"/>
    <xf numFmtId="4" fontId="8" fillId="2" borderId="5" xfId="0" applyNumberFormat="1" applyFont="1" applyFill="1" applyBorder="1"/>
    <xf numFmtId="43" fontId="18" fillId="2" borderId="5" xfId="0" applyNumberFormat="1" applyFont="1" applyFill="1" applyBorder="1"/>
    <xf numFmtId="43" fontId="8" fillId="2" borderId="2" xfId="0" applyNumberFormat="1" applyFont="1" applyFill="1" applyBorder="1" applyAlignment="1">
      <alignment horizontal="center" vertical="center" wrapText="1"/>
    </xf>
    <xf numFmtId="43" fontId="8" fillId="2" borderId="1" xfId="0" applyNumberFormat="1" applyFont="1" applyFill="1" applyBorder="1"/>
    <xf numFmtId="4" fontId="8" fillId="2" borderId="1" xfId="0" applyNumberFormat="1" applyFont="1" applyFill="1" applyBorder="1"/>
    <xf numFmtId="43" fontId="18" fillId="2" borderId="1" xfId="0" applyNumberFormat="1" applyFont="1" applyFill="1" applyBorder="1"/>
    <xf numFmtId="164" fontId="8" fillId="2" borderId="1" xfId="0" applyNumberFormat="1" applyFont="1" applyFill="1" applyBorder="1"/>
    <xf numFmtId="0" fontId="24" fillId="0" borderId="1" xfId="0" applyFont="1" applyBorder="1"/>
    <xf numFmtId="2" fontId="24" fillId="0" borderId="1" xfId="0" applyNumberFormat="1" applyFont="1" applyBorder="1"/>
    <xf numFmtId="0" fontId="2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" fontId="22" fillId="0" borderId="1" xfId="0" applyNumberFormat="1" applyFont="1" applyBorder="1"/>
    <xf numFmtId="0" fontId="8" fillId="2" borderId="1" xfId="0" applyFont="1" applyFill="1" applyBorder="1"/>
    <xf numFmtId="0" fontId="18" fillId="0" borderId="0" xfId="0" applyFont="1"/>
    <xf numFmtId="164" fontId="8" fillId="0" borderId="0" xfId="0" applyNumberFormat="1" applyFont="1"/>
    <xf numFmtId="0" fontId="19" fillId="0" borderId="1" xfId="0" applyFont="1" applyBorder="1"/>
    <xf numFmtId="0" fontId="19" fillId="0" borderId="2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8" fillId="0" borderId="0" xfId="0" applyNumberFormat="1" applyFont="1"/>
    <xf numFmtId="43" fontId="18" fillId="0" borderId="0" xfId="1" applyFont="1"/>
    <xf numFmtId="44" fontId="8" fillId="0" borderId="0" xfId="1" applyNumberFormat="1" applyFont="1"/>
    <xf numFmtId="49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3" fontId="20" fillId="0" borderId="0" xfId="1" applyFont="1" applyBorder="1"/>
    <xf numFmtId="43" fontId="19" fillId="0" borderId="0" xfId="1" applyFont="1" applyBorder="1"/>
    <xf numFmtId="0" fontId="7" fillId="0" borderId="0" xfId="0" applyFont="1"/>
    <xf numFmtId="43" fontId="18" fillId="0" borderId="0" xfId="1" applyFont="1" applyBorder="1"/>
    <xf numFmtId="43" fontId="8" fillId="0" borderId="0" xfId="1" applyFont="1" applyBorder="1"/>
    <xf numFmtId="49" fontId="25" fillId="0" borderId="1" xfId="0" applyNumberFormat="1" applyFont="1" applyBorder="1" applyAlignment="1">
      <alignment horizontal="center"/>
    </xf>
    <xf numFmtId="43" fontId="24" fillId="0" borderId="1" xfId="0" applyNumberFormat="1" applyFont="1" applyBorder="1"/>
    <xf numFmtId="0" fontId="21" fillId="0" borderId="0" xfId="0" applyFont="1"/>
    <xf numFmtId="0" fontId="22" fillId="0" borderId="0" xfId="0" applyFont="1" applyAlignment="1">
      <alignment horizontal="left"/>
    </xf>
    <xf numFmtId="0" fontId="0" fillId="0" borderId="0" xfId="0" applyAlignment="1">
      <alignment vertical="center"/>
    </xf>
    <xf numFmtId="43" fontId="7" fillId="0" borderId="0" xfId="0" applyNumberFormat="1" applyFont="1" applyAlignment="1">
      <alignment horizontal="center"/>
    </xf>
    <xf numFmtId="44" fontId="8" fillId="0" borderId="0" xfId="0" applyNumberFormat="1" applyFont="1"/>
    <xf numFmtId="4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3" fontId="19" fillId="0" borderId="1" xfId="1" applyFont="1" applyBorder="1" applyAlignment="1">
      <alignment horizontal="center"/>
    </xf>
    <xf numFmtId="43" fontId="19" fillId="0" borderId="1" xfId="1" applyFont="1" applyBorder="1" applyAlignment="1"/>
    <xf numFmtId="43" fontId="7" fillId="0" borderId="0" xfId="0" applyNumberFormat="1" applyFont="1"/>
    <xf numFmtId="44" fontId="7" fillId="0" borderId="0" xfId="0" applyNumberFormat="1" applyFont="1"/>
    <xf numFmtId="164" fontId="8" fillId="0" borderId="0" xfId="0" applyNumberFormat="1" applyFont="1" applyAlignment="1">
      <alignment horizontal="center"/>
    </xf>
    <xf numFmtId="4" fontId="8" fillId="0" borderId="1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4" fontId="19" fillId="0" borderId="0" xfId="0" applyNumberFormat="1" applyFont="1"/>
    <xf numFmtId="43" fontId="18" fillId="0" borderId="1" xfId="1" applyFont="1" applyBorder="1"/>
    <xf numFmtId="43" fontId="27" fillId="0" borderId="1" xfId="0" applyNumberFormat="1" applyFont="1" applyBorder="1"/>
    <xf numFmtId="2" fontId="1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28" fillId="0" borderId="1" xfId="0" applyFont="1" applyBorder="1"/>
    <xf numFmtId="43" fontId="8" fillId="0" borderId="1" xfId="1" applyFont="1" applyBorder="1"/>
    <xf numFmtId="0" fontId="7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18" fillId="0" borderId="2" xfId="0" applyFont="1" applyBorder="1"/>
    <xf numFmtId="4" fontId="18" fillId="0" borderId="3" xfId="0" applyNumberFormat="1" applyFont="1" applyBorder="1"/>
    <xf numFmtId="4" fontId="22" fillId="0" borderId="3" xfId="0" applyNumberFormat="1" applyFont="1" applyBorder="1"/>
    <xf numFmtId="0" fontId="27" fillId="0" borderId="1" xfId="0" applyFont="1" applyBorder="1"/>
    <xf numFmtId="4" fontId="18" fillId="2" borderId="3" xfId="0" applyNumberFormat="1" applyFont="1" applyFill="1" applyBorder="1"/>
    <xf numFmtId="43" fontId="18" fillId="2" borderId="1" xfId="1" applyFont="1" applyFill="1" applyBorder="1"/>
    <xf numFmtId="4" fontId="22" fillId="2" borderId="3" xfId="0" applyNumberFormat="1" applyFont="1" applyFill="1" applyBorder="1"/>
    <xf numFmtId="4" fontId="8" fillId="0" borderId="3" xfId="0" applyNumberFormat="1" applyFont="1" applyBorder="1"/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2" fontId="18" fillId="0" borderId="1" xfId="0" applyNumberFormat="1" applyFont="1" applyBorder="1" applyAlignment="1">
      <alignment wrapText="1"/>
    </xf>
    <xf numFmtId="43" fontId="18" fillId="0" borderId="1" xfId="1" applyFont="1" applyBorder="1" applyAlignment="1">
      <alignment wrapText="1"/>
    </xf>
    <xf numFmtId="0" fontId="20" fillId="0" borderId="1" xfId="0" applyFont="1" applyBorder="1"/>
    <xf numFmtId="0" fontId="25" fillId="0" borderId="0" xfId="0" applyFont="1"/>
    <xf numFmtId="2" fontId="22" fillId="0" borderId="1" xfId="0" applyNumberFormat="1" applyFont="1" applyBorder="1"/>
    <xf numFmtId="0" fontId="8" fillId="0" borderId="1" xfId="0" applyFont="1" applyBorder="1" applyAlignment="1">
      <alignment horizontal="right"/>
    </xf>
    <xf numFmtId="2" fontId="30" fillId="0" borderId="1" xfId="0" applyNumberFormat="1" applyFont="1" applyBorder="1"/>
    <xf numFmtId="43" fontId="25" fillId="0" borderId="1" xfId="0" applyNumberFormat="1" applyFont="1" applyBorder="1"/>
    <xf numFmtId="43" fontId="24" fillId="0" borderId="1" xfId="1" applyFont="1" applyBorder="1"/>
    <xf numFmtId="0" fontId="24" fillId="0" borderId="1" xfId="0" applyFont="1" applyBorder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0" fontId="19" fillId="0" borderId="3" xfId="0" applyFont="1" applyBorder="1"/>
    <xf numFmtId="2" fontId="19" fillId="0" borderId="1" xfId="0" applyNumberFormat="1" applyFont="1" applyBorder="1"/>
    <xf numFmtId="164" fontId="19" fillId="0" borderId="1" xfId="0" applyNumberFormat="1" applyFont="1" applyBorder="1" applyAlignment="1">
      <alignment horizontal="center"/>
    </xf>
    <xf numFmtId="43" fontId="18" fillId="0" borderId="1" xfId="1" applyFont="1" applyBorder="1" applyAlignment="1"/>
    <xf numFmtId="43" fontId="32" fillId="0" borderId="1" xfId="1" applyFont="1" applyBorder="1"/>
    <xf numFmtId="43" fontId="18" fillId="0" borderId="1" xfId="1" applyFont="1" applyFill="1" applyBorder="1"/>
    <xf numFmtId="0" fontId="23" fillId="0" borderId="1" xfId="0" applyFont="1" applyBorder="1"/>
    <xf numFmtId="2" fontId="18" fillId="0" borderId="0" xfId="0" applyNumberFormat="1" applyFont="1"/>
    <xf numFmtId="4" fontId="8" fillId="0" borderId="0" xfId="0" applyNumberFormat="1" applyFont="1"/>
    <xf numFmtId="0" fontId="24" fillId="0" borderId="0" xfId="0" applyFont="1"/>
    <xf numFmtId="44" fontId="22" fillId="0" borderId="0" xfId="0" applyNumberFormat="1" applyFont="1"/>
    <xf numFmtId="43" fontId="22" fillId="0" borderId="1" xfId="1" applyFont="1" applyBorder="1"/>
    <xf numFmtId="4" fontId="23" fillId="0" borderId="1" xfId="0" applyNumberFormat="1" applyFont="1" applyBorder="1"/>
    <xf numFmtId="43" fontId="33" fillId="0" borderId="1" xfId="0" applyNumberFormat="1" applyFont="1" applyBorder="1"/>
    <xf numFmtId="0" fontId="18" fillId="0" borderId="1" xfId="0" applyFont="1" applyBorder="1" applyAlignment="1">
      <alignment horizontal="left"/>
    </xf>
    <xf numFmtId="43" fontId="18" fillId="0" borderId="1" xfId="1" applyFont="1" applyBorder="1" applyAlignment="1">
      <alignment horizontal="left"/>
    </xf>
    <xf numFmtId="4" fontId="8" fillId="0" borderId="1" xfId="0" applyNumberFormat="1" applyFont="1" applyBorder="1" applyAlignment="1">
      <alignment wrapText="1"/>
    </xf>
    <xf numFmtId="4" fontId="18" fillId="0" borderId="1" xfId="1" applyNumberFormat="1" applyFont="1" applyBorder="1" applyAlignment="1">
      <alignment wrapText="1"/>
    </xf>
    <xf numFmtId="4" fontId="18" fillId="0" borderId="1" xfId="0" applyNumberFormat="1" applyFont="1" applyBorder="1" applyAlignment="1">
      <alignment wrapText="1"/>
    </xf>
    <xf numFmtId="4" fontId="18" fillId="0" borderId="0" xfId="0" applyNumberFormat="1" applyFont="1"/>
    <xf numFmtId="43" fontId="24" fillId="0" borderId="0" xfId="0" applyNumberFormat="1" applyFont="1"/>
    <xf numFmtId="0" fontId="0" fillId="0" borderId="0" xfId="0" applyAlignment="1">
      <alignment horizontal="center" vertical="center"/>
    </xf>
    <xf numFmtId="0" fontId="34" fillId="0" borderId="0" xfId="0" applyFont="1"/>
    <xf numFmtId="43" fontId="34" fillId="0" borderId="1" xfId="0" applyNumberFormat="1" applyFont="1" applyBorder="1"/>
    <xf numFmtId="2" fontId="18" fillId="0" borderId="1" xfId="0" applyNumberFormat="1" applyFont="1" applyBorder="1" applyAlignment="1">
      <alignment horizontal="center"/>
    </xf>
    <xf numFmtId="43" fontId="23" fillId="0" borderId="1" xfId="1" applyFont="1" applyBorder="1"/>
    <xf numFmtId="2" fontId="8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" fontId="22" fillId="0" borderId="0" xfId="0" applyNumberFormat="1" applyFont="1"/>
    <xf numFmtId="0" fontId="22" fillId="0" borderId="3" xfId="0" applyFont="1" applyBorder="1" applyAlignment="1">
      <alignment horizontal="center"/>
    </xf>
    <xf numFmtId="43" fontId="22" fillId="0" borderId="1" xfId="0" applyNumberFormat="1" applyFont="1" applyBorder="1"/>
    <xf numFmtId="0" fontId="36" fillId="0" borderId="1" xfId="0" applyFont="1" applyBorder="1"/>
    <xf numFmtId="0" fontId="37" fillId="0" borderId="1" xfId="0" applyFont="1" applyBorder="1"/>
    <xf numFmtId="0" fontId="8" fillId="0" borderId="0" xfId="0" applyFont="1" applyAlignment="1">
      <alignment horizontal="center" wrapText="1"/>
    </xf>
    <xf numFmtId="43" fontId="8" fillId="0" borderId="0" xfId="1" applyFont="1"/>
    <xf numFmtId="43" fontId="0" fillId="0" borderId="0" xfId="1" applyFont="1"/>
    <xf numFmtId="2" fontId="18" fillId="2" borderId="1" xfId="0" applyNumberFormat="1" applyFont="1" applyFill="1" applyBorder="1" applyAlignment="1">
      <alignment horizontal="right"/>
    </xf>
    <xf numFmtId="43" fontId="18" fillId="2" borderId="2" xfId="0" applyNumberFormat="1" applyFont="1" applyFill="1" applyBorder="1"/>
    <xf numFmtId="0" fontId="19" fillId="2" borderId="1" xfId="0" applyFont="1" applyFill="1" applyBorder="1" applyAlignment="1">
      <alignment horizontal="center" vertical="center"/>
    </xf>
    <xf numFmtId="43" fontId="16" fillId="0" borderId="0" xfId="1" applyFont="1"/>
    <xf numFmtId="43" fontId="11" fillId="0" borderId="0" xfId="1" applyFont="1"/>
    <xf numFmtId="4" fontId="18" fillId="2" borderId="1" xfId="0" applyNumberFormat="1" applyFont="1" applyFill="1" applyBorder="1" applyAlignment="1">
      <alignment horizontal="right"/>
    </xf>
    <xf numFmtId="4" fontId="18" fillId="2" borderId="1" xfId="1" applyNumberFormat="1" applyFont="1" applyFill="1" applyBorder="1" applyAlignment="1">
      <alignment horizontal="center"/>
    </xf>
    <xf numFmtId="43" fontId="25" fillId="0" borderId="1" xfId="1" applyFont="1" applyBorder="1" applyAlignment="1"/>
    <xf numFmtId="43" fontId="7" fillId="0" borderId="1" xfId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4" fillId="0" borderId="1" xfId="0" applyFont="1" applyBorder="1"/>
    <xf numFmtId="0" fontId="5" fillId="0" borderId="1" xfId="0" applyFont="1" applyBorder="1"/>
    <xf numFmtId="43" fontId="0" fillId="0" borderId="1" xfId="1" applyFont="1" applyBorder="1"/>
    <xf numFmtId="0" fontId="0" fillId="0" borderId="1" xfId="0" applyBorder="1" applyAlignment="1">
      <alignment wrapText="1"/>
    </xf>
    <xf numFmtId="0" fontId="3" fillId="0" borderId="1" xfId="0" applyFont="1" applyBorder="1"/>
    <xf numFmtId="43" fontId="0" fillId="0" borderId="1" xfId="1" applyFont="1" applyBorder="1" applyAlignment="1"/>
    <xf numFmtId="43" fontId="15" fillId="0" borderId="1" xfId="1" applyFont="1" applyBorder="1"/>
    <xf numFmtId="43" fontId="0" fillId="0" borderId="1" xfId="1" applyFont="1" applyBorder="1" applyAlignment="1">
      <alignment wrapText="1"/>
    </xf>
    <xf numFmtId="43" fontId="3" fillId="0" borderId="1" xfId="1" applyFont="1" applyBorder="1"/>
    <xf numFmtId="43" fontId="5" fillId="0" borderId="1" xfId="1" applyFont="1" applyBorder="1"/>
    <xf numFmtId="43" fontId="14" fillId="0" borderId="1" xfId="1" applyFont="1" applyBorder="1"/>
    <xf numFmtId="43" fontId="9" fillId="0" borderId="1" xfId="1" applyFont="1" applyBorder="1"/>
    <xf numFmtId="0" fontId="9" fillId="0" borderId="1" xfId="0" applyFont="1" applyBorder="1"/>
    <xf numFmtId="0" fontId="12" fillId="0" borderId="1" xfId="0" applyFont="1" applyBorder="1"/>
    <xf numFmtId="43" fontId="2" fillId="0" borderId="1" xfId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43" fontId="19" fillId="2" borderId="1" xfId="1" applyFont="1" applyFill="1" applyBorder="1" applyAlignment="1"/>
    <xf numFmtId="0" fontId="8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/>
    <xf numFmtId="43" fontId="19" fillId="2" borderId="1" xfId="0" applyNumberFormat="1" applyFont="1" applyFill="1" applyBorder="1"/>
    <xf numFmtId="43" fontId="19" fillId="2" borderId="1" xfId="1" applyFont="1" applyFill="1" applyBorder="1"/>
    <xf numFmtId="164" fontId="8" fillId="2" borderId="0" xfId="0" applyNumberFormat="1" applyFont="1" applyFill="1"/>
    <xf numFmtId="43" fontId="8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22" fillId="2" borderId="1" xfId="1" applyFont="1" applyFill="1" applyBorder="1"/>
    <xf numFmtId="43" fontId="8" fillId="2" borderId="1" xfId="1" applyFont="1" applyFill="1" applyBorder="1"/>
    <xf numFmtId="44" fontId="19" fillId="2" borderId="0" xfId="0" applyNumberFormat="1" applyFont="1" applyFill="1"/>
    <xf numFmtId="164" fontId="8" fillId="2" borderId="0" xfId="0" applyNumberFormat="1" applyFont="1" applyFill="1" applyAlignment="1">
      <alignment horizontal="center" wrapText="1"/>
    </xf>
    <xf numFmtId="0" fontId="8" fillId="2" borderId="1" xfId="0" applyFont="1" applyFill="1" applyBorder="1" applyAlignment="1">
      <alignment wrapText="1"/>
    </xf>
    <xf numFmtId="164" fontId="8" fillId="2" borderId="1" xfId="0" applyNumberFormat="1" applyFont="1" applyFill="1" applyBorder="1" applyAlignment="1">
      <alignment horizontal="center" wrapText="1"/>
    </xf>
    <xf numFmtId="0" fontId="7" fillId="2" borderId="0" xfId="0" applyFont="1" applyFill="1" applyAlignment="1">
      <alignment horizontal="center"/>
    </xf>
    <xf numFmtId="0" fontId="18" fillId="2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/>
    </xf>
    <xf numFmtId="0" fontId="18" fillId="2" borderId="5" xfId="0" applyFont="1" applyFill="1" applyBorder="1"/>
    <xf numFmtId="4" fontId="18" fillId="2" borderId="5" xfId="1" applyNumberFormat="1" applyFont="1" applyFill="1" applyBorder="1"/>
    <xf numFmtId="4" fontId="18" fillId="2" borderId="1" xfId="1" applyNumberFormat="1" applyFont="1" applyFill="1" applyBorder="1" applyAlignment="1"/>
    <xf numFmtId="4" fontId="18" fillId="2" borderId="1" xfId="0" applyNumberFormat="1" applyFont="1" applyFill="1" applyBorder="1" applyAlignment="1">
      <alignment horizontal="center"/>
    </xf>
    <xf numFmtId="0" fontId="24" fillId="2" borderId="1" xfId="0" applyFont="1" applyFill="1" applyBorder="1"/>
    <xf numFmtId="4" fontId="24" fillId="2" borderId="1" xfId="1" applyNumberFormat="1" applyFont="1" applyFill="1" applyBorder="1"/>
    <xf numFmtId="0" fontId="18" fillId="2" borderId="1" xfId="0" applyFont="1" applyFill="1" applyBorder="1" applyAlignment="1">
      <alignment vertical="center"/>
    </xf>
    <xf numFmtId="0" fontId="25" fillId="2" borderId="1" xfId="0" applyFont="1" applyFill="1" applyBorder="1"/>
    <xf numFmtId="0" fontId="20" fillId="2" borderId="1" xfId="0" applyFont="1" applyFill="1" applyBorder="1"/>
    <xf numFmtId="164" fontId="25" fillId="2" borderId="1" xfId="0" applyNumberFormat="1" applyFont="1" applyFill="1" applyBorder="1"/>
    <xf numFmtId="0" fontId="19" fillId="2" borderId="1" xfId="0" applyFont="1" applyFill="1" applyBorder="1"/>
    <xf numFmtId="165" fontId="18" fillId="2" borderId="1" xfId="1" applyNumberFormat="1" applyFont="1" applyFill="1" applyBorder="1"/>
    <xf numFmtId="165" fontId="18" fillId="2" borderId="1" xfId="0" applyNumberFormat="1" applyFont="1" applyFill="1" applyBorder="1"/>
    <xf numFmtId="0" fontId="18" fillId="2" borderId="1" xfId="0" applyFont="1" applyFill="1" applyBorder="1" applyAlignment="1">
      <alignment horizontal="center"/>
    </xf>
    <xf numFmtId="4" fontId="22" fillId="2" borderId="1" xfId="0" applyNumberFormat="1" applyFont="1" applyFill="1" applyBorder="1"/>
    <xf numFmtId="2" fontId="8" fillId="2" borderId="1" xfId="0" applyNumberFormat="1" applyFont="1" applyFill="1" applyBorder="1"/>
    <xf numFmtId="43" fontId="22" fillId="2" borderId="1" xfId="0" applyNumberFormat="1" applyFont="1" applyFill="1" applyBorder="1"/>
    <xf numFmtId="0" fontId="19" fillId="2" borderId="0" xfId="0" applyFont="1" applyFill="1" applyAlignment="1">
      <alignment horizontal="center"/>
    </xf>
    <xf numFmtId="0" fontId="7" fillId="2" borderId="0" xfId="0" applyFont="1" applyFill="1"/>
    <xf numFmtId="9" fontId="8" fillId="2" borderId="0" xfId="0" applyNumberFormat="1" applyFont="1" applyFill="1"/>
    <xf numFmtId="0" fontId="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4" fontId="8" fillId="2" borderId="0" xfId="0" applyNumberFormat="1" applyFont="1" applyFill="1"/>
    <xf numFmtId="0" fontId="24" fillId="2" borderId="0" xfId="0" applyFont="1" applyFill="1"/>
    <xf numFmtId="44" fontId="8" fillId="2" borderId="0" xfId="0" applyNumberFormat="1" applyFont="1" applyFill="1"/>
    <xf numFmtId="44" fontId="22" fillId="2" borderId="0" xfId="0" applyNumberFormat="1" applyFont="1" applyFill="1"/>
    <xf numFmtId="43" fontId="0" fillId="2" borderId="0" xfId="1" applyFont="1" applyFill="1"/>
    <xf numFmtId="43" fontId="0" fillId="2" borderId="1" xfId="1" applyFont="1" applyFill="1" applyBorder="1"/>
    <xf numFmtId="43" fontId="35" fillId="2" borderId="1" xfId="0" applyNumberFormat="1" applyFont="1" applyFill="1" applyBorder="1"/>
    <xf numFmtId="0" fontId="22" fillId="2" borderId="1" xfId="0" applyFont="1" applyFill="1" applyBorder="1"/>
    <xf numFmtId="43" fontId="24" fillId="2" borderId="1" xfId="0" applyNumberFormat="1" applyFont="1" applyFill="1" applyBorder="1"/>
    <xf numFmtId="164" fontId="8" fillId="2" borderId="1" xfId="0" applyNumberFormat="1" applyFont="1" applyFill="1" applyBorder="1" applyAlignment="1">
      <alignment horizontal="center"/>
    </xf>
    <xf numFmtId="0" fontId="29" fillId="2" borderId="1" xfId="0" applyFont="1" applyFill="1" applyBorder="1"/>
    <xf numFmtId="4" fontId="29" fillId="2" borderId="1" xfId="1" applyNumberFormat="1" applyFont="1" applyFill="1" applyBorder="1"/>
    <xf numFmtId="43" fontId="29" fillId="2" borderId="1" xfId="1" applyFont="1" applyFill="1" applyBorder="1"/>
    <xf numFmtId="0" fontId="21" fillId="2" borderId="1" xfId="0" applyFont="1" applyFill="1" applyBorder="1"/>
    <xf numFmtId="43" fontId="1" fillId="2" borderId="1" xfId="1" applyFont="1" applyFill="1" applyBorder="1"/>
    <xf numFmtId="4" fontId="19" fillId="2" borderId="1" xfId="0" applyNumberFormat="1" applyFont="1" applyFill="1" applyBorder="1"/>
    <xf numFmtId="43" fontId="25" fillId="2" borderId="1" xfId="0" applyNumberFormat="1" applyFont="1" applyFill="1" applyBorder="1"/>
    <xf numFmtId="0" fontId="18" fillId="2" borderId="2" xfId="0" applyFont="1" applyFill="1" applyBorder="1"/>
    <xf numFmtId="0" fontId="0" fillId="2" borderId="0" xfId="0" applyFill="1"/>
    <xf numFmtId="43" fontId="7" fillId="0" borderId="1" xfId="1" applyFont="1" applyBorder="1"/>
    <xf numFmtId="2" fontId="8" fillId="0" borderId="1" xfId="0" applyNumberFormat="1" applyFont="1" applyBorder="1"/>
    <xf numFmtId="0" fontId="8" fillId="0" borderId="0" xfId="0" applyFont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43" fontId="19" fillId="0" borderId="1" xfId="1" applyFont="1" applyBorder="1" applyAlignment="1">
      <alignment horizontal="center" vertical="center"/>
    </xf>
    <xf numFmtId="43" fontId="11" fillId="0" borderId="1" xfId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7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3" fontId="0" fillId="2" borderId="1" xfId="0" applyNumberForma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8" fillId="2" borderId="0" xfId="0" applyNumberFormat="1" applyFont="1" applyFill="1"/>
    <xf numFmtId="43" fontId="25" fillId="2" borderId="0" xfId="0" applyNumberFormat="1" applyFont="1" applyFill="1"/>
    <xf numFmtId="44" fontId="7" fillId="2" borderId="0" xfId="0" applyNumberFormat="1" applyFont="1" applyFill="1"/>
    <xf numFmtId="0" fontId="26" fillId="2" borderId="1" xfId="0" applyFont="1" applyFill="1" applyBorder="1"/>
    <xf numFmtId="43" fontId="27" fillId="2" borderId="1" xfId="0" applyNumberFormat="1" applyFont="1" applyFill="1" applyBorder="1"/>
    <xf numFmtId="43" fontId="7" fillId="2" borderId="1" xfId="0" applyNumberFormat="1" applyFont="1" applyFill="1" applyBorder="1"/>
    <xf numFmtId="43" fontId="19" fillId="2" borderId="2" xfId="0" applyNumberFormat="1" applyFont="1" applyFill="1" applyBorder="1"/>
    <xf numFmtId="0" fontId="18" fillId="2" borderId="1" xfId="0" applyFont="1" applyFill="1" applyBorder="1" applyAlignment="1">
      <alignment horizontal="right"/>
    </xf>
    <xf numFmtId="0" fontId="2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8" fillId="2" borderId="4" xfId="0" applyFont="1" applyFill="1" applyBorder="1"/>
    <xf numFmtId="44" fontId="7" fillId="2" borderId="1" xfId="0" applyNumberFormat="1" applyFont="1" applyFill="1" applyBorder="1"/>
    <xf numFmtId="44" fontId="19" fillId="2" borderId="1" xfId="0" applyNumberFormat="1" applyFont="1" applyFill="1" applyBorder="1"/>
    <xf numFmtId="0" fontId="28" fillId="2" borderId="1" xfId="0" applyFont="1" applyFill="1" applyBorder="1"/>
    <xf numFmtId="0" fontId="21" fillId="2" borderId="1" xfId="0" applyFont="1" applyFill="1" applyBorder="1" applyAlignment="1">
      <alignment horizontal="center"/>
    </xf>
    <xf numFmtId="0" fontId="30" fillId="2" borderId="1" xfId="0" applyFont="1" applyFill="1" applyBorder="1"/>
    <xf numFmtId="4" fontId="30" fillId="2" borderId="1" xfId="0" applyNumberFormat="1" applyFont="1" applyFill="1" applyBorder="1"/>
    <xf numFmtId="43" fontId="30" fillId="2" borderId="1" xfId="1" applyFont="1" applyFill="1" applyBorder="1"/>
    <xf numFmtId="43" fontId="30" fillId="2" borderId="1" xfId="0" applyNumberFormat="1" applyFont="1" applyFill="1" applyBorder="1"/>
    <xf numFmtId="43" fontId="21" fillId="2" borderId="1" xfId="0" applyNumberFormat="1" applyFont="1" applyFill="1" applyBorder="1"/>
    <xf numFmtId="43" fontId="13" fillId="2" borderId="1" xfId="1" applyFont="1" applyFill="1" applyBorder="1"/>
    <xf numFmtId="0" fontId="7" fillId="2" borderId="1" xfId="0" applyFont="1" applyFill="1" applyBorder="1"/>
    <xf numFmtId="43" fontId="7" fillId="2" borderId="1" xfId="1" applyFont="1" applyFill="1" applyBorder="1"/>
    <xf numFmtId="43" fontId="18" fillId="2" borderId="1" xfId="1" applyFont="1" applyFill="1" applyBorder="1" applyAlignment="1">
      <alignment horizontal="left" indent="4"/>
    </xf>
    <xf numFmtId="43" fontId="38" fillId="2" borderId="1" xfId="1" applyFont="1" applyFill="1" applyBorder="1" applyAlignment="1">
      <alignment horizontal="left" indent="4"/>
    </xf>
    <xf numFmtId="43" fontId="11" fillId="0" borderId="1" xfId="0" applyNumberFormat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49" fontId="20" fillId="0" borderId="3" xfId="0" applyNumberFormat="1" applyFont="1" applyBorder="1" applyAlignment="1">
      <alignment horizontal="center"/>
    </xf>
    <xf numFmtId="43" fontId="7" fillId="0" borderId="0" xfId="1" applyFont="1"/>
    <xf numFmtId="0" fontId="39" fillId="0" borderId="0" xfId="0" applyFont="1"/>
    <xf numFmtId="0" fontId="40" fillId="2" borderId="1" xfId="0" applyFont="1" applyFill="1" applyBorder="1" applyAlignment="1">
      <alignment horizontal="center" vertical="center" wrapText="1"/>
    </xf>
    <xf numFmtId="164" fontId="40" fillId="2" borderId="1" xfId="0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wrapText="1"/>
    </xf>
    <xf numFmtId="43" fontId="40" fillId="0" borderId="0" xfId="1" applyFont="1"/>
    <xf numFmtId="0" fontId="41" fillId="0" borderId="0" xfId="0" applyFont="1"/>
    <xf numFmtId="0" fontId="39" fillId="0" borderId="2" xfId="0" applyFont="1" applyBorder="1"/>
    <xf numFmtId="0" fontId="40" fillId="0" borderId="3" xfId="0" applyFont="1" applyBorder="1" applyAlignment="1">
      <alignment horizontal="center" wrapText="1"/>
    </xf>
    <xf numFmtId="0" fontId="40" fillId="2" borderId="1" xfId="0" applyFont="1" applyFill="1" applyBorder="1" applyAlignment="1">
      <alignment horizontal="left" vertical="top"/>
    </xf>
    <xf numFmtId="43" fontId="40" fillId="0" borderId="1" xfId="1" applyFont="1" applyBorder="1"/>
    <xf numFmtId="0" fontId="40" fillId="0" borderId="1" xfId="0" applyFont="1" applyBorder="1" applyAlignment="1">
      <alignment vertical="center"/>
    </xf>
    <xf numFmtId="0" fontId="40" fillId="0" borderId="1" xfId="0" applyFont="1" applyBorder="1"/>
    <xf numFmtId="43" fontId="40" fillId="0" borderId="1" xfId="0" applyNumberFormat="1" applyFont="1" applyBorder="1"/>
    <xf numFmtId="0" fontId="2" fillId="0" borderId="1" xfId="0" applyFont="1" applyBorder="1"/>
    <xf numFmtId="0" fontId="43" fillId="0" borderId="1" xfId="0" applyFont="1" applyBorder="1" applyAlignment="1">
      <alignment horizontal="center" vertical="center"/>
    </xf>
    <xf numFmtId="43" fontId="43" fillId="0" borderId="1" xfId="0" applyNumberFormat="1" applyFont="1" applyBorder="1"/>
    <xf numFmtId="43" fontId="44" fillId="0" borderId="1" xfId="0" applyNumberFormat="1" applyFont="1" applyBorder="1"/>
    <xf numFmtId="0" fontId="45" fillId="0" borderId="0" xfId="0" applyFont="1"/>
    <xf numFmtId="0" fontId="2" fillId="0" borderId="1" xfId="0" applyFont="1" applyBorder="1" applyAlignment="1">
      <alignment horizontal="center" wrapText="1"/>
    </xf>
    <xf numFmtId="0" fontId="7" fillId="0" borderId="1" xfId="1" applyNumberFormat="1" applyFont="1" applyBorder="1"/>
    <xf numFmtId="43" fontId="46" fillId="0" borderId="1" xfId="1" applyFont="1" applyBorder="1" applyAlignment="1">
      <alignment horizontal="center"/>
    </xf>
    <xf numFmtId="0" fontId="46" fillId="0" borderId="1" xfId="1" applyNumberFormat="1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45" fillId="0" borderId="1" xfId="0" applyFont="1" applyBorder="1"/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wrapText="1"/>
    </xf>
    <xf numFmtId="0" fontId="40" fillId="0" borderId="2" xfId="0" applyFont="1" applyBorder="1" applyAlignment="1">
      <alignment horizontal="center" wrapText="1"/>
    </xf>
    <xf numFmtId="0" fontId="40" fillId="0" borderId="12" xfId="0" applyFont="1" applyBorder="1" applyAlignment="1">
      <alignment horizontal="center" wrapText="1"/>
    </xf>
    <xf numFmtId="0" fontId="40" fillId="0" borderId="3" xfId="0" applyFont="1" applyBorder="1" applyAlignment="1">
      <alignment horizontal="center" wrapText="1"/>
    </xf>
    <xf numFmtId="0" fontId="42" fillId="0" borderId="7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49" fontId="20" fillId="0" borderId="2" xfId="0" applyNumberFormat="1" applyFont="1" applyBorder="1" applyAlignment="1">
      <alignment horizontal="center"/>
    </xf>
    <xf numFmtId="49" fontId="20" fillId="0" borderId="3" xfId="0" applyNumberFormat="1" applyFont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157162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=""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5943600" y="187166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943600" y="187166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8</xdr:row>
      <xdr:rowOff>157162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=""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6010275" y="187166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6010275" y="187166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157162</xdr:rowOff>
    </xdr:from>
    <xdr:ext cx="629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943100" y="187166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1943100" y="1871662"/>
              <a:ext cx="629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topLeftCell="A34" zoomScale="85" zoomScaleNormal="85" workbookViewId="0">
      <selection activeCell="I56" sqref="I56"/>
    </sheetView>
  </sheetViews>
  <sheetFormatPr defaultRowHeight="15" x14ac:dyDescent="0.25"/>
  <cols>
    <col min="1" max="1" width="30.140625" customWidth="1"/>
    <col min="2" max="2" width="15.85546875" customWidth="1"/>
    <col min="3" max="3" width="20.140625" customWidth="1"/>
    <col min="4" max="4" width="17" customWidth="1"/>
  </cols>
  <sheetData>
    <row r="1" spans="1:4" ht="30" customHeight="1" x14ac:dyDescent="0.25">
      <c r="A1" s="341" t="s">
        <v>2320</v>
      </c>
      <c r="B1" s="342"/>
      <c r="C1" s="342"/>
      <c r="D1" s="343"/>
    </row>
    <row r="2" spans="1:4" x14ac:dyDescent="0.25">
      <c r="A2" s="344"/>
      <c r="B2" s="345"/>
      <c r="C2" s="345"/>
      <c r="D2" s="346"/>
    </row>
    <row r="3" spans="1:4" ht="56.25" x14ac:dyDescent="0.3">
      <c r="A3" s="315"/>
      <c r="B3" s="310" t="s">
        <v>2312</v>
      </c>
      <c r="C3" s="311" t="s">
        <v>2313</v>
      </c>
      <c r="D3" s="316" t="s">
        <v>2319</v>
      </c>
    </row>
    <row r="4" spans="1:4" ht="18.75" x14ac:dyDescent="0.3">
      <c r="A4" s="338" t="s">
        <v>2315</v>
      </c>
      <c r="B4" s="339"/>
      <c r="C4" s="339"/>
      <c r="D4" s="340"/>
    </row>
    <row r="5" spans="1:4" ht="18.75" x14ac:dyDescent="0.3">
      <c r="A5" s="312"/>
      <c r="B5" s="312"/>
      <c r="C5" s="312"/>
      <c r="D5" s="312"/>
    </row>
    <row r="6" spans="1:4" ht="18.75" x14ac:dyDescent="0.25">
      <c r="A6" s="317" t="s">
        <v>1938</v>
      </c>
      <c r="B6" s="262">
        <v>6589.172999999998</v>
      </c>
      <c r="C6" s="262">
        <v>1773889.2359999972</v>
      </c>
      <c r="D6" s="262">
        <f>C6/B6</f>
        <v>269.21272760633207</v>
      </c>
    </row>
    <row r="7" spans="1:4" ht="18.75" x14ac:dyDescent="0.25">
      <c r="A7" s="319" t="s">
        <v>2314</v>
      </c>
      <c r="B7" s="262">
        <v>13.2</v>
      </c>
      <c r="C7" s="262">
        <v>71226.06</v>
      </c>
      <c r="D7" s="262">
        <f>C7/B7</f>
        <v>5395.9136363636362</v>
      </c>
    </row>
    <row r="8" spans="1:4" ht="18.75" x14ac:dyDescent="0.25">
      <c r="A8" s="319" t="s">
        <v>705</v>
      </c>
      <c r="B8" s="262">
        <v>275</v>
      </c>
      <c r="C8" s="262">
        <v>64828.39999999998</v>
      </c>
      <c r="D8" s="262">
        <f t="shared" ref="D8:D27" si="0">C8/B8</f>
        <v>235.73963636363629</v>
      </c>
    </row>
    <row r="9" spans="1:4" ht="18.75" x14ac:dyDescent="0.25">
      <c r="A9" s="319" t="s">
        <v>720</v>
      </c>
      <c r="B9" s="262">
        <v>65</v>
      </c>
      <c r="C9" s="262">
        <v>32438.639999999996</v>
      </c>
      <c r="D9" s="262">
        <f t="shared" si="0"/>
        <v>499.05599999999993</v>
      </c>
    </row>
    <row r="10" spans="1:4" ht="18.75" x14ac:dyDescent="0.3">
      <c r="A10" s="109" t="s">
        <v>1435</v>
      </c>
      <c r="B10" s="318">
        <f>SUM(B6:B9)</f>
        <v>6942.3729999999978</v>
      </c>
      <c r="C10" s="318">
        <f t="shared" ref="C10" si="1">SUM(C6:C9)</f>
        <v>1942382.3359999971</v>
      </c>
      <c r="D10" s="318">
        <f>C10/B10</f>
        <v>279.78651334349189</v>
      </c>
    </row>
    <row r="11" spans="1:4" ht="18.75" x14ac:dyDescent="0.3">
      <c r="A11" s="314"/>
      <c r="B11" s="313"/>
      <c r="C11" s="313"/>
      <c r="D11" s="313"/>
    </row>
    <row r="12" spans="1:4" ht="18.75" x14ac:dyDescent="0.3">
      <c r="A12" s="337" t="s">
        <v>2316</v>
      </c>
      <c r="B12" s="337"/>
      <c r="C12" s="337"/>
      <c r="D12" s="337"/>
    </row>
    <row r="13" spans="1:4" ht="18.75" x14ac:dyDescent="0.3">
      <c r="A13" s="312"/>
      <c r="B13" s="312"/>
      <c r="C13" s="312"/>
      <c r="D13" s="312"/>
    </row>
    <row r="14" spans="1:4" ht="18.75" x14ac:dyDescent="0.3">
      <c r="A14" s="320" t="s">
        <v>1640</v>
      </c>
      <c r="B14" s="262">
        <v>1052.1299999999992</v>
      </c>
      <c r="C14" s="262">
        <v>136314.66500000004</v>
      </c>
      <c r="D14" s="262">
        <f t="shared" si="0"/>
        <v>129.56066740802007</v>
      </c>
    </row>
    <row r="15" spans="1:4" ht="18.75" x14ac:dyDescent="0.3">
      <c r="A15" s="320" t="s">
        <v>1653</v>
      </c>
      <c r="B15" s="262">
        <v>509.21000000000009</v>
      </c>
      <c r="C15" s="262">
        <v>72140.661200000031</v>
      </c>
      <c r="D15" s="262">
        <f t="shared" si="0"/>
        <v>141.67172914907408</v>
      </c>
    </row>
    <row r="16" spans="1:4" ht="18.75" x14ac:dyDescent="0.3">
      <c r="A16" s="320" t="s">
        <v>1591</v>
      </c>
      <c r="B16" s="262">
        <v>444.77400000000006</v>
      </c>
      <c r="C16" s="262">
        <v>65268.796593319996</v>
      </c>
      <c r="D16" s="262">
        <f t="shared" si="0"/>
        <v>146.7459801906586</v>
      </c>
    </row>
    <row r="17" spans="1:4" ht="18.75" x14ac:dyDescent="0.3">
      <c r="A17" s="320" t="s">
        <v>813</v>
      </c>
      <c r="B17" s="262">
        <v>334.2200000000002</v>
      </c>
      <c r="C17" s="262">
        <v>48620.124999999985</v>
      </c>
      <c r="D17" s="262">
        <f t="shared" si="0"/>
        <v>145.47341571420009</v>
      </c>
    </row>
    <row r="18" spans="1:4" ht="18.75" x14ac:dyDescent="0.3">
      <c r="A18" s="320" t="s">
        <v>831</v>
      </c>
      <c r="B18" s="262">
        <v>336</v>
      </c>
      <c r="C18" s="262">
        <v>149546.88000000032</v>
      </c>
      <c r="D18" s="262">
        <f t="shared" si="0"/>
        <v>445.08000000000095</v>
      </c>
    </row>
    <row r="19" spans="1:4" ht="18.75" x14ac:dyDescent="0.3">
      <c r="A19" s="320" t="s">
        <v>848</v>
      </c>
      <c r="B19" s="262">
        <v>152.434</v>
      </c>
      <c r="C19" s="262">
        <v>27944.059333320005</v>
      </c>
      <c r="D19" s="262">
        <f t="shared" si="0"/>
        <v>183.31907142317334</v>
      </c>
    </row>
    <row r="20" spans="1:4" ht="18.75" x14ac:dyDescent="0.3">
      <c r="A20" s="320" t="s">
        <v>861</v>
      </c>
      <c r="B20" s="262">
        <v>260.02</v>
      </c>
      <c r="C20" s="262">
        <v>39115.43</v>
      </c>
      <c r="D20" s="262">
        <f t="shared" si="0"/>
        <v>150.43238981616801</v>
      </c>
    </row>
    <row r="21" spans="1:4" ht="18.75" x14ac:dyDescent="0.3">
      <c r="A21" s="320" t="s">
        <v>886</v>
      </c>
      <c r="B21" s="262">
        <v>632.07999999999993</v>
      </c>
      <c r="C21" s="262">
        <v>92644.709999999846</v>
      </c>
      <c r="D21" s="262">
        <f t="shared" si="0"/>
        <v>146.57117769902521</v>
      </c>
    </row>
    <row r="22" spans="1:4" ht="18.75" x14ac:dyDescent="0.3">
      <c r="A22" s="320" t="s">
        <v>1077</v>
      </c>
      <c r="B22" s="262">
        <v>214.24000000000018</v>
      </c>
      <c r="C22" s="262">
        <v>114142.0800000001</v>
      </c>
      <c r="D22" s="262">
        <f t="shared" si="0"/>
        <v>532.77669902912623</v>
      </c>
    </row>
    <row r="23" spans="1:4" ht="18.75" x14ac:dyDescent="0.3">
      <c r="A23" s="320" t="s">
        <v>1435</v>
      </c>
      <c r="B23" s="318">
        <f>SUM(B14:B22)</f>
        <v>3935.1079999999997</v>
      </c>
      <c r="C23" s="318">
        <f t="shared" ref="C23" si="2">SUM(C14:C22)</f>
        <v>745737.40712664032</v>
      </c>
      <c r="D23" s="318">
        <f>C23/B23</f>
        <v>189.50875226973196</v>
      </c>
    </row>
    <row r="24" spans="1:4" ht="18.75" x14ac:dyDescent="0.3">
      <c r="A24" s="314"/>
      <c r="B24" s="313"/>
      <c r="C24" s="313"/>
      <c r="D24" s="313"/>
    </row>
    <row r="25" spans="1:4" ht="18.75" x14ac:dyDescent="0.3">
      <c r="A25" s="337" t="s">
        <v>2317</v>
      </c>
      <c r="B25" s="337"/>
      <c r="C25" s="337"/>
      <c r="D25" s="337"/>
    </row>
    <row r="26" spans="1:4" ht="18.75" x14ac:dyDescent="0.3">
      <c r="A26" s="312"/>
      <c r="B26" s="312"/>
      <c r="C26" s="312"/>
      <c r="D26" s="312"/>
    </row>
    <row r="27" spans="1:4" ht="18.75" x14ac:dyDescent="0.3">
      <c r="A27" s="320" t="s">
        <v>1308</v>
      </c>
      <c r="B27" s="262">
        <v>1860</v>
      </c>
      <c r="C27" s="262">
        <v>328659.83999999752</v>
      </c>
      <c r="D27" s="262">
        <f t="shared" si="0"/>
        <v>176.6988387096761</v>
      </c>
    </row>
    <row r="28" spans="1:4" ht="18.75" x14ac:dyDescent="0.3">
      <c r="A28" s="320" t="s">
        <v>1435</v>
      </c>
      <c r="B28" s="321">
        <f>SUM(B27)</f>
        <v>1860</v>
      </c>
      <c r="C28" s="321">
        <f t="shared" ref="C28:D28" si="3">SUM(C27)</f>
        <v>328659.83999999752</v>
      </c>
      <c r="D28" s="321">
        <f t="shared" si="3"/>
        <v>176.6988387096761</v>
      </c>
    </row>
    <row r="29" spans="1:4" ht="18.75" x14ac:dyDescent="0.3">
      <c r="A29" s="314"/>
      <c r="B29" s="309"/>
      <c r="C29" s="309"/>
      <c r="D29" s="309"/>
    </row>
    <row r="30" spans="1:4" ht="21" x14ac:dyDescent="0.35">
      <c r="A30" s="323" t="s">
        <v>2321</v>
      </c>
      <c r="B30" s="324">
        <f>SUM(B27,B22,B21,B20,B19,B18,B17,B16,B15,B14,B9,B8,B7,B6)</f>
        <v>12737.480999999998</v>
      </c>
      <c r="C30" s="324">
        <f t="shared" ref="C30" si="4">SUM(C27,C22,C21,C20,C19,C18,C17,C16,C15,C14,C9,C8,C7,C6)</f>
        <v>3016779.5831266353</v>
      </c>
      <c r="D30" s="325">
        <f>C30/B30</f>
        <v>236.84271506482605</v>
      </c>
    </row>
    <row r="31" spans="1:4" ht="18.75" x14ac:dyDescent="0.3">
      <c r="A31" s="309"/>
      <c r="B31" s="309"/>
      <c r="C31" s="309"/>
      <c r="D31" s="309"/>
    </row>
    <row r="32" spans="1:4" ht="18.75" x14ac:dyDescent="0.3">
      <c r="A32" s="309"/>
      <c r="B32" s="309"/>
      <c r="C32" s="309"/>
      <c r="D32" s="309"/>
    </row>
    <row r="33" spans="1:4" ht="18.75" x14ac:dyDescent="0.3">
      <c r="A33" s="309"/>
      <c r="B33" s="309"/>
      <c r="C33" s="309"/>
      <c r="D33" s="309"/>
    </row>
    <row r="34" spans="1:4" ht="18.75" x14ac:dyDescent="0.3">
      <c r="A34" s="309"/>
      <c r="B34" s="309"/>
      <c r="C34" s="309"/>
      <c r="D34" s="309"/>
    </row>
    <row r="36" spans="1:4" x14ac:dyDescent="0.25">
      <c r="A36" s="347" t="s">
        <v>2320</v>
      </c>
      <c r="B36" s="348"/>
      <c r="C36" s="348"/>
      <c r="D36" s="349"/>
    </row>
    <row r="37" spans="1:4" x14ac:dyDescent="0.25">
      <c r="A37" s="350"/>
      <c r="B37" s="351"/>
      <c r="C37" s="351"/>
      <c r="D37" s="352"/>
    </row>
    <row r="38" spans="1:4" ht="56.25" x14ac:dyDescent="0.3">
      <c r="A38" s="315"/>
      <c r="B38" s="310" t="s">
        <v>2312</v>
      </c>
      <c r="C38" s="311" t="s">
        <v>2313</v>
      </c>
      <c r="D38" s="316" t="s">
        <v>2319</v>
      </c>
    </row>
    <row r="39" spans="1:4" ht="18.75" x14ac:dyDescent="0.3">
      <c r="A39" s="338" t="s">
        <v>2315</v>
      </c>
      <c r="B39" s="339"/>
      <c r="C39" s="339"/>
      <c r="D39" s="340"/>
    </row>
    <row r="40" spans="1:4" ht="6.75" customHeight="1" x14ac:dyDescent="0.3">
      <c r="A40" s="312"/>
      <c r="B40" s="312"/>
      <c r="C40" s="312"/>
      <c r="D40" s="312"/>
    </row>
    <row r="41" spans="1:4" ht="18.75" x14ac:dyDescent="0.25">
      <c r="A41" s="317" t="s">
        <v>1938</v>
      </c>
      <c r="B41" s="262">
        <v>6589.172999999998</v>
      </c>
      <c r="C41" s="262">
        <v>1773889.2359999972</v>
      </c>
      <c r="D41" s="262">
        <f>C41/B41</f>
        <v>269.21272760633207</v>
      </c>
    </row>
    <row r="42" spans="1:4" ht="18.75" x14ac:dyDescent="0.25">
      <c r="A42" s="319" t="s">
        <v>705</v>
      </c>
      <c r="B42" s="262">
        <v>275</v>
      </c>
      <c r="C42" s="262">
        <v>64828.39999999998</v>
      </c>
      <c r="D42" s="262">
        <f t="shared" ref="D42:D43" si="5">C42/B42</f>
        <v>235.73963636363629</v>
      </c>
    </row>
    <row r="43" spans="1:4" ht="18.75" x14ac:dyDescent="0.25">
      <c r="A43" s="319" t="s">
        <v>720</v>
      </c>
      <c r="B43" s="262">
        <v>65</v>
      </c>
      <c r="C43" s="262">
        <v>32438.639999999996</v>
      </c>
      <c r="D43" s="262">
        <f t="shared" si="5"/>
        <v>499.05599999999993</v>
      </c>
    </row>
    <row r="44" spans="1:4" ht="18.75" x14ac:dyDescent="0.3">
      <c r="A44" s="320" t="s">
        <v>1435</v>
      </c>
      <c r="B44" s="318">
        <f>SUM(B41:B43)</f>
        <v>6929.172999999998</v>
      </c>
      <c r="C44" s="318">
        <f t="shared" ref="C44" si="6">SUM(C41:C43)</f>
        <v>1871156.275999997</v>
      </c>
      <c r="D44" s="318">
        <f>C44/B44</f>
        <v>270.04034622890748</v>
      </c>
    </row>
    <row r="45" spans="1:4" ht="7.5" customHeight="1" x14ac:dyDescent="0.3">
      <c r="A45" s="314"/>
      <c r="B45" s="313"/>
      <c r="C45" s="313"/>
      <c r="D45" s="313"/>
    </row>
    <row r="46" spans="1:4" ht="18.75" x14ac:dyDescent="0.3">
      <c r="A46" s="337" t="s">
        <v>2316</v>
      </c>
      <c r="B46" s="337"/>
      <c r="C46" s="337"/>
      <c r="D46" s="337"/>
    </row>
    <row r="47" spans="1:4" ht="6.75" customHeight="1" x14ac:dyDescent="0.3">
      <c r="A47" s="312"/>
      <c r="B47" s="312"/>
      <c r="C47" s="312"/>
      <c r="D47" s="312"/>
    </row>
    <row r="48" spans="1:4" ht="18.75" x14ac:dyDescent="0.3">
      <c r="A48" s="320" t="s">
        <v>1640</v>
      </c>
      <c r="B48" s="262">
        <v>1052.1299999999992</v>
      </c>
      <c r="C48" s="262">
        <v>136314.66500000004</v>
      </c>
      <c r="D48" s="262">
        <f t="shared" ref="D48:D56" si="7">C48/B48</f>
        <v>129.56066740802007</v>
      </c>
    </row>
    <row r="49" spans="1:4" ht="18.75" x14ac:dyDescent="0.3">
      <c r="A49" s="320" t="s">
        <v>1653</v>
      </c>
      <c r="B49" s="262">
        <v>509.21000000000009</v>
      </c>
      <c r="C49" s="262">
        <v>72140.661200000031</v>
      </c>
      <c r="D49" s="262">
        <f t="shared" si="7"/>
        <v>141.67172914907408</v>
      </c>
    </row>
    <row r="50" spans="1:4" ht="18.75" x14ac:dyDescent="0.3">
      <c r="A50" s="320" t="s">
        <v>1591</v>
      </c>
      <c r="B50" s="262">
        <v>444.77400000000006</v>
      </c>
      <c r="C50" s="262">
        <v>65268.796593319996</v>
      </c>
      <c r="D50" s="262">
        <f t="shared" si="7"/>
        <v>146.7459801906586</v>
      </c>
    </row>
    <row r="51" spans="1:4" ht="18.75" x14ac:dyDescent="0.3">
      <c r="A51" s="320" t="s">
        <v>813</v>
      </c>
      <c r="B51" s="262">
        <v>334.2200000000002</v>
      </c>
      <c r="C51" s="262">
        <v>48620.124999999985</v>
      </c>
      <c r="D51" s="262">
        <f t="shared" si="7"/>
        <v>145.47341571420009</v>
      </c>
    </row>
    <row r="52" spans="1:4" ht="18.75" x14ac:dyDescent="0.3">
      <c r="A52" s="320" t="s">
        <v>831</v>
      </c>
      <c r="B52" s="262">
        <v>336</v>
      </c>
      <c r="C52" s="262">
        <v>149546.88000000032</v>
      </c>
      <c r="D52" s="262">
        <f t="shared" si="7"/>
        <v>445.08000000000095</v>
      </c>
    </row>
    <row r="53" spans="1:4" ht="18.75" x14ac:dyDescent="0.3">
      <c r="A53" s="320" t="s">
        <v>848</v>
      </c>
      <c r="B53" s="262">
        <v>152.434</v>
      </c>
      <c r="C53" s="262">
        <v>27944.059333320005</v>
      </c>
      <c r="D53" s="262">
        <f t="shared" si="7"/>
        <v>183.31907142317334</v>
      </c>
    </row>
    <row r="54" spans="1:4" ht="18.75" x14ac:dyDescent="0.3">
      <c r="A54" s="320" t="s">
        <v>861</v>
      </c>
      <c r="B54" s="262">
        <v>260.02</v>
      </c>
      <c r="C54" s="262">
        <v>39115.43</v>
      </c>
      <c r="D54" s="262">
        <f t="shared" si="7"/>
        <v>150.43238981616801</v>
      </c>
    </row>
    <row r="55" spans="1:4" ht="18.75" x14ac:dyDescent="0.3">
      <c r="A55" s="320" t="s">
        <v>886</v>
      </c>
      <c r="B55" s="262">
        <v>632.07999999999993</v>
      </c>
      <c r="C55" s="262">
        <v>92644.709999999846</v>
      </c>
      <c r="D55" s="262">
        <f t="shared" si="7"/>
        <v>146.57117769902521</v>
      </c>
    </row>
    <row r="56" spans="1:4" ht="18.75" x14ac:dyDescent="0.3">
      <c r="A56" s="320" t="s">
        <v>1077</v>
      </c>
      <c r="B56" s="262">
        <v>214.24000000000018</v>
      </c>
      <c r="C56" s="262">
        <v>114142.0800000001</v>
      </c>
      <c r="D56" s="262">
        <f t="shared" si="7"/>
        <v>532.77669902912623</v>
      </c>
    </row>
    <row r="57" spans="1:4" ht="18.75" x14ac:dyDescent="0.3">
      <c r="A57" s="320" t="s">
        <v>1435</v>
      </c>
      <c r="B57" s="318">
        <f>SUM(B48:B56)</f>
        <v>3935.1079999999997</v>
      </c>
      <c r="C57" s="318">
        <f t="shared" ref="C57" si="8">SUM(C48:C56)</f>
        <v>745737.40712664032</v>
      </c>
      <c r="D57" s="318">
        <f>C57/B57</f>
        <v>189.50875226973196</v>
      </c>
    </row>
    <row r="58" spans="1:4" ht="7.5" customHeight="1" x14ac:dyDescent="0.3">
      <c r="A58" s="314"/>
      <c r="B58" s="313"/>
      <c r="C58" s="313"/>
      <c r="D58" s="313"/>
    </row>
    <row r="59" spans="1:4" ht="18.75" x14ac:dyDescent="0.3">
      <c r="A59" s="337" t="s">
        <v>2317</v>
      </c>
      <c r="B59" s="337"/>
      <c r="C59" s="337"/>
      <c r="D59" s="337"/>
    </row>
    <row r="60" spans="1:4" ht="8.25" customHeight="1" x14ac:dyDescent="0.3">
      <c r="A60" s="312"/>
      <c r="B60" s="312"/>
      <c r="C60" s="312"/>
      <c r="D60" s="312"/>
    </row>
    <row r="61" spans="1:4" ht="18.75" x14ac:dyDescent="0.3">
      <c r="A61" s="320" t="s">
        <v>1308</v>
      </c>
      <c r="B61" s="262">
        <v>1860</v>
      </c>
      <c r="C61" s="262">
        <v>328659.83999999752</v>
      </c>
      <c r="D61" s="262">
        <f t="shared" ref="D61" si="9">C61/B61</f>
        <v>176.6988387096761</v>
      </c>
    </row>
    <row r="62" spans="1:4" ht="18.75" x14ac:dyDescent="0.3">
      <c r="A62" s="320" t="s">
        <v>1435</v>
      </c>
      <c r="B62" s="321">
        <f>SUM(B61)</f>
        <v>1860</v>
      </c>
      <c r="C62" s="321">
        <f t="shared" ref="C62" si="10">SUM(C61)</f>
        <v>328659.83999999752</v>
      </c>
      <c r="D62" s="321">
        <f>C62/B62</f>
        <v>176.6988387096761</v>
      </c>
    </row>
    <row r="63" spans="1:4" ht="9.75" customHeight="1" x14ac:dyDescent="0.3">
      <c r="A63" s="314"/>
      <c r="B63" s="309"/>
      <c r="C63" s="309"/>
      <c r="D63" s="309"/>
    </row>
    <row r="64" spans="1:4" ht="21" x14ac:dyDescent="0.35">
      <c r="A64" s="336" t="s">
        <v>2332</v>
      </c>
      <c r="B64" s="324">
        <f>SUM(B62,B57,B44)</f>
        <v>12724.280999999999</v>
      </c>
      <c r="C64" s="324">
        <f t="shared" ref="C64" si="11">SUM(C62,C57,C44)</f>
        <v>2945553.5231266348</v>
      </c>
      <c r="D64" s="325">
        <f>C64/B64</f>
        <v>231.49076345662556</v>
      </c>
    </row>
    <row r="65" spans="1:4" ht="9.75" customHeight="1" x14ac:dyDescent="0.25"/>
    <row r="66" spans="1:4" ht="30" customHeight="1" x14ac:dyDescent="0.25">
      <c r="A66" s="30"/>
      <c r="B66" s="331" t="s">
        <v>2322</v>
      </c>
      <c r="C66" s="332" t="s">
        <v>2327</v>
      </c>
      <c r="D66" s="333" t="s">
        <v>2331</v>
      </c>
    </row>
    <row r="67" spans="1:4" ht="15.75" x14ac:dyDescent="0.25">
      <c r="A67" s="334" t="s">
        <v>2323</v>
      </c>
      <c r="B67" s="262">
        <v>30000</v>
      </c>
      <c r="C67" s="262">
        <v>22500</v>
      </c>
      <c r="D67" s="335" t="s">
        <v>2325</v>
      </c>
    </row>
    <row r="68" spans="1:4" ht="15.75" x14ac:dyDescent="0.25">
      <c r="A68" s="334" t="s">
        <v>2324</v>
      </c>
      <c r="B68" s="262">
        <v>434.4</v>
      </c>
      <c r="C68" s="262">
        <v>325.8</v>
      </c>
      <c r="D68" s="335" t="s">
        <v>2326</v>
      </c>
    </row>
    <row r="69" spans="1:4" ht="9" customHeight="1" x14ac:dyDescent="0.25">
      <c r="A69" s="326"/>
      <c r="B69" s="308"/>
      <c r="C69" s="308"/>
      <c r="D69" s="21"/>
    </row>
    <row r="70" spans="1:4" ht="30" x14ac:dyDescent="0.25">
      <c r="A70" s="13" t="s">
        <v>2328</v>
      </c>
      <c r="B70" s="327" t="s">
        <v>2329</v>
      </c>
      <c r="C70" s="327" t="s">
        <v>2330</v>
      </c>
    </row>
    <row r="71" spans="1:4" x14ac:dyDescent="0.25">
      <c r="A71" s="322" t="s">
        <v>2315</v>
      </c>
      <c r="B71" s="322">
        <v>571</v>
      </c>
      <c r="C71" s="322">
        <v>393</v>
      </c>
    </row>
    <row r="72" spans="1:4" ht="15.75" x14ac:dyDescent="0.25">
      <c r="A72" s="322" t="s">
        <v>2316</v>
      </c>
      <c r="B72" s="328">
        <v>680</v>
      </c>
      <c r="C72" s="322">
        <v>450</v>
      </c>
    </row>
    <row r="73" spans="1:4" x14ac:dyDescent="0.25">
      <c r="A73" s="322" t="s">
        <v>2317</v>
      </c>
      <c r="B73" s="322">
        <v>465</v>
      </c>
      <c r="C73" s="322">
        <v>290</v>
      </c>
    </row>
    <row r="74" spans="1:4" ht="18.75" x14ac:dyDescent="0.3">
      <c r="A74" s="329" t="s">
        <v>1435</v>
      </c>
      <c r="B74" s="330">
        <f>SUM(B71:B73)</f>
        <v>1716</v>
      </c>
      <c r="C74" s="330">
        <f>SUM(C71:C73)</f>
        <v>1133</v>
      </c>
    </row>
  </sheetData>
  <mergeCells count="8">
    <mergeCell ref="A1:D2"/>
    <mergeCell ref="A36:D37"/>
    <mergeCell ref="A39:D39"/>
    <mergeCell ref="A46:D46"/>
    <mergeCell ref="A59:D59"/>
    <mergeCell ref="A4:D4"/>
    <mergeCell ref="A12:D12"/>
    <mergeCell ref="A25:D2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5"/>
  <sheetViews>
    <sheetView topLeftCell="A124" zoomScaleNormal="100" workbookViewId="0">
      <selection activeCell="I259" sqref="I259"/>
    </sheetView>
  </sheetViews>
  <sheetFormatPr defaultRowHeight="15.75" x14ac:dyDescent="0.25"/>
  <cols>
    <col min="1" max="1" width="10.42578125" style="202" customWidth="1"/>
    <col min="2" max="2" width="32.28515625" style="202" customWidth="1"/>
    <col min="3" max="5" width="12.7109375" style="202" customWidth="1"/>
    <col min="6" max="6" width="12.7109375" style="215" customWidth="1"/>
    <col min="7" max="7" width="12.7109375" style="202" customWidth="1"/>
    <col min="8" max="8" width="12.7109375" style="215" customWidth="1"/>
    <col min="9" max="9" width="12.7109375" style="198" customWidth="1"/>
    <col min="10" max="10" width="12.7109375" style="205" customWidth="1"/>
    <col min="11" max="11" width="12.28515625" style="166" customWidth="1"/>
    <col min="12" max="12" width="31.7109375" style="271" hidden="1" customWidth="1"/>
    <col min="13" max="13" width="44.85546875" style="303" customWidth="1"/>
  </cols>
  <sheetData>
    <row r="1" spans="1:13" x14ac:dyDescent="0.25">
      <c r="B1" s="214" t="s">
        <v>1938</v>
      </c>
    </row>
    <row r="2" spans="1:13" s="10" customFormat="1" ht="46.5" customHeight="1" x14ac:dyDescent="0.25">
      <c r="A2" s="207" t="s">
        <v>1705</v>
      </c>
      <c r="B2" s="216" t="s">
        <v>1847</v>
      </c>
      <c r="C2" s="207" t="s">
        <v>1875</v>
      </c>
      <c r="D2" s="217" t="s">
        <v>1876</v>
      </c>
      <c r="E2" s="218" t="s">
        <v>1877</v>
      </c>
      <c r="F2" s="71" t="s">
        <v>1878</v>
      </c>
      <c r="G2" s="219" t="s">
        <v>1895</v>
      </c>
      <c r="H2" s="71" t="s">
        <v>1880</v>
      </c>
      <c r="I2" s="196" t="s">
        <v>1881</v>
      </c>
      <c r="J2" s="196" t="s">
        <v>1612</v>
      </c>
      <c r="K2" s="176" t="s">
        <v>1977</v>
      </c>
      <c r="L2" s="272" t="s">
        <v>1976</v>
      </c>
      <c r="M2" s="272" t="s">
        <v>2304</v>
      </c>
    </row>
    <row r="3" spans="1:13" ht="16.5" customHeight="1" x14ac:dyDescent="0.25">
      <c r="A3" s="220" t="s">
        <v>0</v>
      </c>
      <c r="B3" s="221" t="s">
        <v>1</v>
      </c>
      <c r="C3" s="41">
        <v>17.16</v>
      </c>
      <c r="D3" s="222">
        <v>3331.28</v>
      </c>
      <c r="E3" s="53">
        <f>D3*50%</f>
        <v>1665.64</v>
      </c>
      <c r="F3" s="41">
        <f>D3+E3</f>
        <v>4996.92</v>
      </c>
      <c r="G3" s="53">
        <f>F3-(F3*25%)</f>
        <v>3747.69</v>
      </c>
      <c r="H3" s="54">
        <f>D3*50%</f>
        <v>1665.64</v>
      </c>
      <c r="I3" s="55">
        <f>D3+(H3*2)</f>
        <v>6662.56</v>
      </c>
      <c r="J3" s="56">
        <f>I3-(I3*25%)</f>
        <v>4996.92</v>
      </c>
      <c r="K3" s="108">
        <f>I3/C3</f>
        <v>388.26107226107229</v>
      </c>
      <c r="L3" s="194" t="s">
        <v>1989</v>
      </c>
      <c r="M3" s="304" t="s">
        <v>2305</v>
      </c>
    </row>
    <row r="4" spans="1:13" ht="16.5" customHeight="1" x14ac:dyDescent="0.25">
      <c r="A4" s="49" t="s">
        <v>2</v>
      </c>
      <c r="B4" s="50" t="s">
        <v>1884</v>
      </c>
      <c r="C4" s="47">
        <v>16.8</v>
      </c>
      <c r="D4" s="52">
        <v>3685.75</v>
      </c>
      <c r="E4" s="53">
        <f t="shared" ref="E4:E67" si="0">D4*50%</f>
        <v>1842.875</v>
      </c>
      <c r="F4" s="41">
        <f t="shared" ref="F4:F8" si="1">D4+E4</f>
        <v>5528.625</v>
      </c>
      <c r="G4" s="53">
        <f t="shared" ref="G4:G67" si="2">F4-(F4*25%)</f>
        <v>4146.46875</v>
      </c>
      <c r="H4" s="54">
        <f t="shared" ref="H4:H8" si="3">D4*50%</f>
        <v>1842.875</v>
      </c>
      <c r="I4" s="55">
        <f t="shared" ref="I4:I8" si="4">D4+(H4*2)</f>
        <v>7371.5</v>
      </c>
      <c r="J4" s="56">
        <f t="shared" ref="J4:J8" si="5">I4-(I4*25%)</f>
        <v>5528.625</v>
      </c>
      <c r="K4" s="108">
        <f t="shared" ref="K4:K67" si="6">I4/C4</f>
        <v>438.77976190476187</v>
      </c>
      <c r="L4" s="194" t="s">
        <v>1978</v>
      </c>
      <c r="M4" s="304"/>
    </row>
    <row r="5" spans="1:13" ht="16.5" customHeight="1" x14ac:dyDescent="0.25">
      <c r="A5" s="49" t="s">
        <v>3</v>
      </c>
      <c r="B5" s="50" t="s">
        <v>4</v>
      </c>
      <c r="C5" s="47">
        <v>11.59</v>
      </c>
      <c r="D5" s="52">
        <v>1761.8</v>
      </c>
      <c r="E5" s="53">
        <f t="shared" si="0"/>
        <v>880.9</v>
      </c>
      <c r="F5" s="41">
        <f t="shared" si="1"/>
        <v>2642.7</v>
      </c>
      <c r="G5" s="53">
        <f t="shared" si="2"/>
        <v>1982.0249999999999</v>
      </c>
      <c r="H5" s="54">
        <f t="shared" si="3"/>
        <v>880.9</v>
      </c>
      <c r="I5" s="55">
        <f t="shared" si="4"/>
        <v>3523.6</v>
      </c>
      <c r="J5" s="56">
        <f t="shared" si="5"/>
        <v>2642.7</v>
      </c>
      <c r="K5" s="108">
        <f t="shared" si="6"/>
        <v>304.02070750647107</v>
      </c>
      <c r="L5" s="194" t="s">
        <v>1979</v>
      </c>
      <c r="M5" s="304" t="s">
        <v>2305</v>
      </c>
    </row>
    <row r="6" spans="1:13" ht="16.5" customHeight="1" x14ac:dyDescent="0.25">
      <c r="A6" s="49" t="s">
        <v>5</v>
      </c>
      <c r="B6" s="50" t="s">
        <v>2219</v>
      </c>
      <c r="C6" s="47">
        <v>10.26</v>
      </c>
      <c r="D6" s="52">
        <v>2634.46</v>
      </c>
      <c r="E6" s="53">
        <f t="shared" si="0"/>
        <v>1317.23</v>
      </c>
      <c r="F6" s="41">
        <f t="shared" si="1"/>
        <v>3951.69</v>
      </c>
      <c r="G6" s="53">
        <f t="shared" si="2"/>
        <v>2963.7674999999999</v>
      </c>
      <c r="H6" s="54">
        <f t="shared" si="3"/>
        <v>1317.23</v>
      </c>
      <c r="I6" s="55">
        <f t="shared" si="4"/>
        <v>5268.92</v>
      </c>
      <c r="J6" s="56">
        <f t="shared" si="5"/>
        <v>3951.69</v>
      </c>
      <c r="K6" s="108">
        <f t="shared" si="6"/>
        <v>513.53996101364521</v>
      </c>
      <c r="L6" s="194" t="s">
        <v>1989</v>
      </c>
      <c r="M6" s="304"/>
    </row>
    <row r="7" spans="1:13" ht="16.5" customHeight="1" x14ac:dyDescent="0.25">
      <c r="A7" s="49" t="s">
        <v>6</v>
      </c>
      <c r="B7" s="50" t="s">
        <v>7</v>
      </c>
      <c r="C7" s="47">
        <v>12.3</v>
      </c>
      <c r="D7" s="52">
        <v>1689.72</v>
      </c>
      <c r="E7" s="53">
        <f t="shared" si="0"/>
        <v>844.86</v>
      </c>
      <c r="F7" s="41">
        <f t="shared" si="1"/>
        <v>2534.58</v>
      </c>
      <c r="G7" s="53">
        <f t="shared" si="2"/>
        <v>1900.9349999999999</v>
      </c>
      <c r="H7" s="54">
        <f t="shared" si="3"/>
        <v>844.86</v>
      </c>
      <c r="I7" s="55">
        <f t="shared" si="4"/>
        <v>3379.44</v>
      </c>
      <c r="J7" s="56">
        <f t="shared" si="5"/>
        <v>2534.58</v>
      </c>
      <c r="K7" s="108">
        <f t="shared" si="6"/>
        <v>274.75121951219512</v>
      </c>
      <c r="L7" s="194" t="s">
        <v>1979</v>
      </c>
      <c r="M7" s="304" t="s">
        <v>2305</v>
      </c>
    </row>
    <row r="8" spans="1:13" ht="16.5" customHeight="1" x14ac:dyDescent="0.25">
      <c r="A8" s="49" t="s">
        <v>8</v>
      </c>
      <c r="B8" s="50" t="s">
        <v>1873</v>
      </c>
      <c r="C8" s="57">
        <v>7.2</v>
      </c>
      <c r="D8" s="57">
        <v>1848.7650000000001</v>
      </c>
      <c r="E8" s="53">
        <f t="shared" si="0"/>
        <v>924.38250000000005</v>
      </c>
      <c r="F8" s="41">
        <f t="shared" si="1"/>
        <v>2773.1475</v>
      </c>
      <c r="G8" s="53">
        <f t="shared" si="2"/>
        <v>2079.8606250000003</v>
      </c>
      <c r="H8" s="54">
        <f t="shared" si="3"/>
        <v>924.38250000000005</v>
      </c>
      <c r="I8" s="55">
        <f t="shared" si="4"/>
        <v>3697.53</v>
      </c>
      <c r="J8" s="56">
        <f t="shared" si="5"/>
        <v>2773.1475</v>
      </c>
      <c r="K8" s="108">
        <f t="shared" si="6"/>
        <v>513.54583333333335</v>
      </c>
      <c r="L8" s="194" t="s">
        <v>1989</v>
      </c>
      <c r="M8" s="304"/>
    </row>
    <row r="9" spans="1:13" ht="18" customHeight="1" x14ac:dyDescent="0.25">
      <c r="A9" s="65"/>
      <c r="B9" s="65"/>
      <c r="C9" s="57"/>
      <c r="D9" s="57"/>
      <c r="E9" s="57"/>
      <c r="F9" s="47"/>
      <c r="G9" s="57"/>
      <c r="H9" s="58"/>
      <c r="I9" s="199"/>
      <c r="J9" s="59"/>
      <c r="K9" s="108"/>
      <c r="L9" s="194"/>
      <c r="M9" s="304"/>
    </row>
    <row r="10" spans="1:13" ht="16.5" customHeight="1" x14ac:dyDescent="0.25">
      <c r="A10" s="49" t="s">
        <v>9</v>
      </c>
      <c r="B10" s="50" t="s">
        <v>2301</v>
      </c>
      <c r="C10" s="47">
        <v>10.45</v>
      </c>
      <c r="D10" s="223">
        <v>1660.92</v>
      </c>
      <c r="E10" s="53">
        <f t="shared" si="0"/>
        <v>830.46</v>
      </c>
      <c r="F10" s="41">
        <f t="shared" ref="F10:F20" si="7">D10+E10</f>
        <v>2491.38</v>
      </c>
      <c r="G10" s="53">
        <f t="shared" si="2"/>
        <v>1868.5350000000001</v>
      </c>
      <c r="H10" s="54">
        <f t="shared" ref="H10:H20" si="8">D10*50%</f>
        <v>830.46</v>
      </c>
      <c r="I10" s="55">
        <f t="shared" ref="I10:I20" si="9">D10+(H10*2)</f>
        <v>3321.84</v>
      </c>
      <c r="J10" s="56">
        <f t="shared" ref="J10:J21" si="10">I10-(I10*25%)</f>
        <v>2491.38</v>
      </c>
      <c r="K10" s="108">
        <f t="shared" si="6"/>
        <v>317.87942583732058</v>
      </c>
      <c r="L10" s="194" t="s">
        <v>1989</v>
      </c>
      <c r="M10" s="304"/>
    </row>
    <row r="11" spans="1:13" ht="16.5" customHeight="1" x14ac:dyDescent="0.25">
      <c r="A11" s="49" t="s">
        <v>10</v>
      </c>
      <c r="B11" s="50" t="s">
        <v>1836</v>
      </c>
      <c r="C11" s="47">
        <v>10.45</v>
      </c>
      <c r="D11" s="52">
        <v>1071.8599999999999</v>
      </c>
      <c r="E11" s="53">
        <f t="shared" si="0"/>
        <v>535.92999999999995</v>
      </c>
      <c r="F11" s="41">
        <f t="shared" si="7"/>
        <v>1607.79</v>
      </c>
      <c r="G11" s="53">
        <f t="shared" si="2"/>
        <v>1205.8425</v>
      </c>
      <c r="H11" s="54">
        <f t="shared" si="8"/>
        <v>535.92999999999995</v>
      </c>
      <c r="I11" s="55">
        <f t="shared" si="9"/>
        <v>2143.7199999999998</v>
      </c>
      <c r="J11" s="56">
        <f t="shared" si="10"/>
        <v>1607.79</v>
      </c>
      <c r="K11" s="108">
        <f t="shared" si="6"/>
        <v>205.14066985645931</v>
      </c>
      <c r="L11" s="194" t="s">
        <v>1989</v>
      </c>
      <c r="M11" s="304"/>
    </row>
    <row r="12" spans="1:13" ht="16.5" customHeight="1" x14ac:dyDescent="0.25">
      <c r="A12" s="49" t="s">
        <v>11</v>
      </c>
      <c r="B12" s="50" t="s">
        <v>1595</v>
      </c>
      <c r="C12" s="47">
        <v>6.9</v>
      </c>
      <c r="D12" s="52">
        <v>1030.6099999999999</v>
      </c>
      <c r="E12" s="53">
        <f t="shared" si="0"/>
        <v>515.30499999999995</v>
      </c>
      <c r="F12" s="41">
        <f t="shared" si="7"/>
        <v>1545.915</v>
      </c>
      <c r="G12" s="53">
        <f t="shared" si="2"/>
        <v>1159.43625</v>
      </c>
      <c r="H12" s="54">
        <f t="shared" si="8"/>
        <v>515.30499999999995</v>
      </c>
      <c r="I12" s="55">
        <f t="shared" si="9"/>
        <v>2061.2199999999998</v>
      </c>
      <c r="J12" s="56">
        <f t="shared" si="10"/>
        <v>1545.915</v>
      </c>
      <c r="K12" s="108">
        <f t="shared" si="6"/>
        <v>298.72753623188402</v>
      </c>
      <c r="L12" s="194" t="s">
        <v>1980</v>
      </c>
      <c r="M12" s="304"/>
    </row>
    <row r="13" spans="1:13" ht="16.5" customHeight="1" x14ac:dyDescent="0.25">
      <c r="A13" s="49" t="s">
        <v>12</v>
      </c>
      <c r="B13" s="50" t="s">
        <v>1971</v>
      </c>
      <c r="C13" s="47">
        <v>6.9</v>
      </c>
      <c r="D13" s="52">
        <v>1030.6099999999999</v>
      </c>
      <c r="E13" s="53">
        <f t="shared" si="0"/>
        <v>515.30499999999995</v>
      </c>
      <c r="F13" s="41">
        <f t="shared" si="7"/>
        <v>1545.915</v>
      </c>
      <c r="G13" s="53">
        <f t="shared" si="2"/>
        <v>1159.43625</v>
      </c>
      <c r="H13" s="54">
        <f t="shared" si="8"/>
        <v>515.30499999999995</v>
      </c>
      <c r="I13" s="55">
        <f t="shared" si="9"/>
        <v>2061.2199999999998</v>
      </c>
      <c r="J13" s="56">
        <f t="shared" si="10"/>
        <v>1545.915</v>
      </c>
      <c r="K13" s="108">
        <f t="shared" si="6"/>
        <v>298.72753623188402</v>
      </c>
      <c r="L13" s="194" t="s">
        <v>1981</v>
      </c>
      <c r="M13" s="304"/>
    </row>
    <row r="14" spans="1:13" ht="16.5" customHeight="1" x14ac:dyDescent="0.25">
      <c r="A14" s="49" t="s">
        <v>13</v>
      </c>
      <c r="B14" s="50" t="s">
        <v>1596</v>
      </c>
      <c r="C14" s="47">
        <v>6.9</v>
      </c>
      <c r="D14" s="52">
        <v>1030.6099999999999</v>
      </c>
      <c r="E14" s="53">
        <f t="shared" si="0"/>
        <v>515.30499999999995</v>
      </c>
      <c r="F14" s="41">
        <f t="shared" si="7"/>
        <v>1545.915</v>
      </c>
      <c r="G14" s="53">
        <f t="shared" si="2"/>
        <v>1159.43625</v>
      </c>
      <c r="H14" s="54">
        <f t="shared" si="8"/>
        <v>515.30499999999995</v>
      </c>
      <c r="I14" s="55">
        <f t="shared" si="9"/>
        <v>2061.2199999999998</v>
      </c>
      <c r="J14" s="56">
        <f t="shared" si="10"/>
        <v>1545.915</v>
      </c>
      <c r="K14" s="108">
        <f t="shared" si="6"/>
        <v>298.72753623188402</v>
      </c>
      <c r="L14" s="194" t="s">
        <v>1978</v>
      </c>
      <c r="M14" s="304" t="s">
        <v>2305</v>
      </c>
    </row>
    <row r="15" spans="1:13" ht="16.5" customHeight="1" x14ac:dyDescent="0.25">
      <c r="A15" s="49" t="s">
        <v>14</v>
      </c>
      <c r="B15" s="50" t="s">
        <v>1597</v>
      </c>
      <c r="C15" s="47">
        <v>6.9</v>
      </c>
      <c r="D15" s="52">
        <v>1030.6099999999999</v>
      </c>
      <c r="E15" s="53">
        <f t="shared" si="0"/>
        <v>515.30499999999995</v>
      </c>
      <c r="F15" s="41">
        <f t="shared" si="7"/>
        <v>1545.915</v>
      </c>
      <c r="G15" s="53">
        <f t="shared" si="2"/>
        <v>1159.43625</v>
      </c>
      <c r="H15" s="54">
        <f t="shared" si="8"/>
        <v>515.30499999999995</v>
      </c>
      <c r="I15" s="55">
        <f t="shared" si="9"/>
        <v>2061.2199999999998</v>
      </c>
      <c r="J15" s="56">
        <f t="shared" si="10"/>
        <v>1545.915</v>
      </c>
      <c r="K15" s="108">
        <f t="shared" si="6"/>
        <v>298.72753623188402</v>
      </c>
      <c r="L15" s="194" t="s">
        <v>1978</v>
      </c>
      <c r="M15" s="304"/>
    </row>
    <row r="16" spans="1:13" ht="16.5" customHeight="1" x14ac:dyDescent="0.25">
      <c r="A16" s="49" t="s">
        <v>15</v>
      </c>
      <c r="B16" s="50" t="s">
        <v>2271</v>
      </c>
      <c r="C16" s="47">
        <v>6.9</v>
      </c>
      <c r="D16" s="47">
        <v>1030.6099999999999</v>
      </c>
      <c r="E16" s="53">
        <f t="shared" si="0"/>
        <v>515.30499999999995</v>
      </c>
      <c r="F16" s="41">
        <f t="shared" si="7"/>
        <v>1545.915</v>
      </c>
      <c r="G16" s="53">
        <f t="shared" si="2"/>
        <v>1159.43625</v>
      </c>
      <c r="H16" s="54">
        <f t="shared" si="8"/>
        <v>515.30499999999995</v>
      </c>
      <c r="I16" s="55">
        <f t="shared" si="9"/>
        <v>2061.2199999999998</v>
      </c>
      <c r="J16" s="56">
        <f t="shared" si="10"/>
        <v>1545.915</v>
      </c>
      <c r="K16" s="108">
        <f t="shared" si="6"/>
        <v>298.72753623188402</v>
      </c>
      <c r="L16" s="194" t="s">
        <v>1978</v>
      </c>
      <c r="M16" s="304"/>
    </row>
    <row r="17" spans="1:13" ht="16.5" customHeight="1" x14ac:dyDescent="0.25">
      <c r="A17" s="49" t="s">
        <v>16</v>
      </c>
      <c r="B17" s="50" t="s">
        <v>1597</v>
      </c>
      <c r="C17" s="47">
        <v>6.9</v>
      </c>
      <c r="D17" s="47">
        <v>948.45500000000004</v>
      </c>
      <c r="E17" s="53">
        <f t="shared" si="0"/>
        <v>474.22750000000002</v>
      </c>
      <c r="F17" s="41">
        <f t="shared" si="7"/>
        <v>1422.6825000000001</v>
      </c>
      <c r="G17" s="53">
        <f t="shared" si="2"/>
        <v>1067.0118750000001</v>
      </c>
      <c r="H17" s="54">
        <f t="shared" si="8"/>
        <v>474.22750000000002</v>
      </c>
      <c r="I17" s="55">
        <f t="shared" si="9"/>
        <v>1896.91</v>
      </c>
      <c r="J17" s="56">
        <f t="shared" si="10"/>
        <v>1422.6825000000001</v>
      </c>
      <c r="K17" s="108">
        <f t="shared" si="6"/>
        <v>274.91449275362316</v>
      </c>
      <c r="L17" s="194" t="s">
        <v>1978</v>
      </c>
      <c r="M17" s="304"/>
    </row>
    <row r="18" spans="1:13" ht="16.5" customHeight="1" x14ac:dyDescent="0.25">
      <c r="A18" s="49" t="s">
        <v>17</v>
      </c>
      <c r="B18" s="50" t="s">
        <v>1568</v>
      </c>
      <c r="C18" s="47">
        <v>6.83</v>
      </c>
      <c r="D18" s="52">
        <v>812.8</v>
      </c>
      <c r="E18" s="53">
        <f t="shared" si="0"/>
        <v>406.4</v>
      </c>
      <c r="F18" s="41">
        <f t="shared" si="7"/>
        <v>1219.1999999999998</v>
      </c>
      <c r="G18" s="53">
        <f t="shared" si="2"/>
        <v>914.39999999999986</v>
      </c>
      <c r="H18" s="54">
        <f t="shared" si="8"/>
        <v>406.4</v>
      </c>
      <c r="I18" s="55">
        <f t="shared" si="9"/>
        <v>1625.6</v>
      </c>
      <c r="J18" s="56">
        <f t="shared" si="10"/>
        <v>1219.1999999999998</v>
      </c>
      <c r="K18" s="108">
        <f t="shared" si="6"/>
        <v>238.00878477306</v>
      </c>
      <c r="L18" s="194" t="s">
        <v>1982</v>
      </c>
      <c r="M18" s="304"/>
    </row>
    <row r="19" spans="1:13" ht="16.5" customHeight="1" x14ac:dyDescent="0.25">
      <c r="A19" s="49" t="s">
        <v>18</v>
      </c>
      <c r="B19" s="50" t="s">
        <v>1569</v>
      </c>
      <c r="C19" s="47">
        <v>9.3699999999999992</v>
      </c>
      <c r="D19" s="47">
        <v>1114</v>
      </c>
      <c r="E19" s="53">
        <f t="shared" si="0"/>
        <v>557</v>
      </c>
      <c r="F19" s="41">
        <f t="shared" si="7"/>
        <v>1671</v>
      </c>
      <c r="G19" s="53">
        <f t="shared" si="2"/>
        <v>1253.25</v>
      </c>
      <c r="H19" s="54">
        <f t="shared" si="8"/>
        <v>557</v>
      </c>
      <c r="I19" s="55">
        <f t="shared" si="9"/>
        <v>2228</v>
      </c>
      <c r="J19" s="56">
        <f t="shared" si="10"/>
        <v>1671</v>
      </c>
      <c r="K19" s="108">
        <f t="shared" si="6"/>
        <v>237.7801494130203</v>
      </c>
      <c r="L19" s="194" t="s">
        <v>1978</v>
      </c>
      <c r="M19" s="304"/>
    </row>
    <row r="20" spans="1:13" ht="16.5" customHeight="1" x14ac:dyDescent="0.25">
      <c r="A20" s="49" t="s">
        <v>19</v>
      </c>
      <c r="B20" s="50" t="s">
        <v>2079</v>
      </c>
      <c r="C20" s="47">
        <v>7.9</v>
      </c>
      <c r="D20" s="52">
        <v>1289.625</v>
      </c>
      <c r="E20" s="53">
        <f t="shared" si="0"/>
        <v>644.8125</v>
      </c>
      <c r="F20" s="41">
        <f t="shared" si="7"/>
        <v>1934.4375</v>
      </c>
      <c r="G20" s="53">
        <f t="shared" si="2"/>
        <v>1450.828125</v>
      </c>
      <c r="H20" s="54">
        <f t="shared" si="8"/>
        <v>644.8125</v>
      </c>
      <c r="I20" s="55">
        <f t="shared" si="9"/>
        <v>2579.25</v>
      </c>
      <c r="J20" s="56">
        <f t="shared" si="10"/>
        <v>1934.4375</v>
      </c>
      <c r="K20" s="108">
        <f t="shared" si="6"/>
        <v>326.48734177215186</v>
      </c>
      <c r="L20" s="194" t="s">
        <v>1983</v>
      </c>
      <c r="M20" s="304"/>
    </row>
    <row r="21" spans="1:13" ht="16.5" customHeight="1" x14ac:dyDescent="0.25">
      <c r="A21" s="49" t="s">
        <v>20</v>
      </c>
      <c r="B21" s="50" t="s">
        <v>2079</v>
      </c>
      <c r="C21" s="47">
        <v>8.52</v>
      </c>
      <c r="D21" s="52">
        <v>1289.625</v>
      </c>
      <c r="E21" s="53">
        <f t="shared" si="0"/>
        <v>644.8125</v>
      </c>
      <c r="F21" s="41">
        <f t="shared" ref="F21" si="11">D21+E21</f>
        <v>1934.4375</v>
      </c>
      <c r="G21" s="53">
        <f t="shared" si="2"/>
        <v>1450.828125</v>
      </c>
      <c r="H21" s="54">
        <f t="shared" ref="H21" si="12">D21*50%</f>
        <v>644.8125</v>
      </c>
      <c r="I21" s="55">
        <f t="shared" ref="I21" si="13">D21+(H21*2)</f>
        <v>2579.25</v>
      </c>
      <c r="J21" s="56">
        <f t="shared" si="10"/>
        <v>1934.4375</v>
      </c>
      <c r="K21" s="108">
        <f t="shared" si="6"/>
        <v>302.72887323943661</v>
      </c>
      <c r="L21" s="194" t="s">
        <v>1983</v>
      </c>
      <c r="M21" s="304"/>
    </row>
    <row r="22" spans="1:13" ht="18" customHeight="1" x14ac:dyDescent="0.25">
      <c r="A22" s="65"/>
      <c r="B22" s="65"/>
      <c r="C22" s="57"/>
      <c r="D22" s="57"/>
      <c r="E22" s="57"/>
      <c r="F22" s="47"/>
      <c r="G22" s="57"/>
      <c r="H22" s="58"/>
      <c r="I22" s="199"/>
      <c r="J22" s="59"/>
      <c r="K22" s="108"/>
      <c r="L22" s="194"/>
      <c r="M22" s="304"/>
    </row>
    <row r="23" spans="1:13" ht="15.75" customHeight="1" x14ac:dyDescent="0.25">
      <c r="A23" s="49" t="s">
        <v>21</v>
      </c>
      <c r="B23" s="50" t="s">
        <v>1341</v>
      </c>
      <c r="C23" s="47">
        <v>8.5399999999999991</v>
      </c>
      <c r="D23" s="52">
        <v>1116.6500000000001</v>
      </c>
      <c r="E23" s="53">
        <f t="shared" si="0"/>
        <v>558.32500000000005</v>
      </c>
      <c r="F23" s="41">
        <f t="shared" ref="F23:F24" si="14">D23+E23</f>
        <v>1674.9750000000001</v>
      </c>
      <c r="G23" s="53">
        <f t="shared" si="2"/>
        <v>1256.23125</v>
      </c>
      <c r="H23" s="54">
        <f t="shared" ref="H23:H24" si="15">D23*50%</f>
        <v>558.32500000000005</v>
      </c>
      <c r="I23" s="55">
        <f t="shared" ref="I23:I24" si="16">D23+(H23*2)</f>
        <v>2233.3000000000002</v>
      </c>
      <c r="J23" s="56">
        <f t="shared" ref="J23:J77" si="17">I23-(I23*25%)</f>
        <v>1674.9750000000001</v>
      </c>
      <c r="K23" s="108">
        <f t="shared" si="6"/>
        <v>261.51053864168625</v>
      </c>
      <c r="L23" s="194" t="s">
        <v>1978</v>
      </c>
      <c r="M23" s="304"/>
    </row>
    <row r="24" spans="1:13" ht="15.75" customHeight="1" x14ac:dyDescent="0.25">
      <c r="A24" s="49" t="s">
        <v>22</v>
      </c>
      <c r="B24" s="50" t="s">
        <v>1341</v>
      </c>
      <c r="C24" s="47">
        <v>8.5399999999999991</v>
      </c>
      <c r="D24" s="47">
        <v>1116.6500000000001</v>
      </c>
      <c r="E24" s="53">
        <f t="shared" si="0"/>
        <v>558.32500000000005</v>
      </c>
      <c r="F24" s="41">
        <f t="shared" si="14"/>
        <v>1674.9750000000001</v>
      </c>
      <c r="G24" s="53">
        <f t="shared" si="2"/>
        <v>1256.23125</v>
      </c>
      <c r="H24" s="54">
        <f t="shared" si="15"/>
        <v>558.32500000000005</v>
      </c>
      <c r="I24" s="55">
        <f t="shared" si="16"/>
        <v>2233.3000000000002</v>
      </c>
      <c r="J24" s="56">
        <f t="shared" si="17"/>
        <v>1674.9750000000001</v>
      </c>
      <c r="K24" s="108">
        <f t="shared" si="6"/>
        <v>261.51053864168625</v>
      </c>
      <c r="L24" s="194" t="s">
        <v>1978</v>
      </c>
      <c r="M24" s="304"/>
    </row>
    <row r="25" spans="1:13" ht="15.75" customHeight="1" x14ac:dyDescent="0.25">
      <c r="A25" s="49" t="s">
        <v>23</v>
      </c>
      <c r="B25" s="50" t="s">
        <v>2272</v>
      </c>
      <c r="C25" s="47">
        <v>8.0820000000000007</v>
      </c>
      <c r="D25" s="47">
        <v>1333.56</v>
      </c>
      <c r="E25" s="53">
        <f t="shared" si="0"/>
        <v>666.78</v>
      </c>
      <c r="F25" s="41">
        <f t="shared" ref="F25:F26" si="18">D25+E25</f>
        <v>2000.34</v>
      </c>
      <c r="G25" s="53">
        <f t="shared" si="2"/>
        <v>1500.2549999999999</v>
      </c>
      <c r="H25" s="54">
        <f t="shared" ref="H25:H26" si="19">D25*50%</f>
        <v>666.78</v>
      </c>
      <c r="I25" s="55">
        <f t="shared" ref="I25:I26" si="20">D25+(H25*2)</f>
        <v>2667.12</v>
      </c>
      <c r="J25" s="56">
        <f t="shared" si="17"/>
        <v>2000.34</v>
      </c>
      <c r="K25" s="108">
        <f t="shared" si="6"/>
        <v>330.00742390497396</v>
      </c>
      <c r="L25" s="194" t="s">
        <v>1984</v>
      </c>
      <c r="M25" s="304"/>
    </row>
    <row r="26" spans="1:13" ht="15.75" customHeight="1" x14ac:dyDescent="0.25">
      <c r="A26" s="49" t="s">
        <v>24</v>
      </c>
      <c r="B26" s="50" t="s">
        <v>2272</v>
      </c>
      <c r="C26" s="47">
        <v>8.0820000000000007</v>
      </c>
      <c r="D26" s="47">
        <v>1333.56</v>
      </c>
      <c r="E26" s="53">
        <f t="shared" si="0"/>
        <v>666.78</v>
      </c>
      <c r="F26" s="41">
        <f t="shared" si="18"/>
        <v>2000.34</v>
      </c>
      <c r="G26" s="53">
        <f t="shared" si="2"/>
        <v>1500.2549999999999</v>
      </c>
      <c r="H26" s="54">
        <f t="shared" si="19"/>
        <v>666.78</v>
      </c>
      <c r="I26" s="55">
        <f t="shared" si="20"/>
        <v>2667.12</v>
      </c>
      <c r="J26" s="56">
        <f t="shared" si="17"/>
        <v>2000.34</v>
      </c>
      <c r="K26" s="108">
        <f t="shared" si="6"/>
        <v>330.00742390497396</v>
      </c>
      <c r="L26" s="194" t="s">
        <v>1984</v>
      </c>
      <c r="M26" s="304"/>
    </row>
    <row r="27" spans="1:13" ht="15.75" customHeight="1" x14ac:dyDescent="0.25">
      <c r="A27" s="49" t="s">
        <v>25</v>
      </c>
      <c r="B27" s="50" t="s">
        <v>2308</v>
      </c>
      <c r="C27" s="47">
        <v>8.0820000000000007</v>
      </c>
      <c r="D27" s="47">
        <v>1333.5625</v>
      </c>
      <c r="E27" s="53">
        <f t="shared" si="0"/>
        <v>666.78125</v>
      </c>
      <c r="F27" s="41">
        <f t="shared" ref="F27:F28" si="21">D27+E27</f>
        <v>2000.34375</v>
      </c>
      <c r="G27" s="53">
        <f t="shared" si="2"/>
        <v>1500.2578125</v>
      </c>
      <c r="H27" s="54">
        <f t="shared" ref="H27:H28" si="22">D27*50%</f>
        <v>666.78125</v>
      </c>
      <c r="I27" s="55">
        <f t="shared" ref="I27:I28" si="23">D27+(H27*2)</f>
        <v>2667.125</v>
      </c>
      <c r="J27" s="56">
        <f t="shared" si="17"/>
        <v>2000.34375</v>
      </c>
      <c r="K27" s="108">
        <f t="shared" si="6"/>
        <v>330.0080425637218</v>
      </c>
      <c r="L27" s="194" t="s">
        <v>1984</v>
      </c>
      <c r="M27" s="304"/>
    </row>
    <row r="28" spans="1:13" ht="15.75" customHeight="1" x14ac:dyDescent="0.25">
      <c r="A28" s="49" t="s">
        <v>26</v>
      </c>
      <c r="B28" s="50" t="s">
        <v>2308</v>
      </c>
      <c r="C28" s="47">
        <v>8.0820000000000007</v>
      </c>
      <c r="D28" s="47">
        <v>1333.5625</v>
      </c>
      <c r="E28" s="53">
        <f t="shared" si="0"/>
        <v>666.78125</v>
      </c>
      <c r="F28" s="41">
        <f t="shared" si="21"/>
        <v>2000.34375</v>
      </c>
      <c r="G28" s="53">
        <f t="shared" si="2"/>
        <v>1500.2578125</v>
      </c>
      <c r="H28" s="54">
        <f t="shared" si="22"/>
        <v>666.78125</v>
      </c>
      <c r="I28" s="55">
        <f t="shared" si="23"/>
        <v>2667.125</v>
      </c>
      <c r="J28" s="56">
        <f t="shared" si="17"/>
        <v>2000.34375</v>
      </c>
      <c r="K28" s="108">
        <f t="shared" si="6"/>
        <v>330.0080425637218</v>
      </c>
      <c r="L28" s="194" t="s">
        <v>1984</v>
      </c>
      <c r="M28" s="304"/>
    </row>
    <row r="29" spans="1:13" ht="15.75" customHeight="1" x14ac:dyDescent="0.25">
      <c r="A29" s="49" t="s">
        <v>27</v>
      </c>
      <c r="B29" s="50" t="s">
        <v>28</v>
      </c>
      <c r="C29" s="47">
        <v>12.2</v>
      </c>
      <c r="D29" s="47">
        <v>1518.5350000000001</v>
      </c>
      <c r="E29" s="53">
        <f t="shared" si="0"/>
        <v>759.26750000000004</v>
      </c>
      <c r="F29" s="41">
        <f t="shared" ref="F29:F30" si="24">D29+E29</f>
        <v>2277.8025000000002</v>
      </c>
      <c r="G29" s="53">
        <f t="shared" si="2"/>
        <v>1708.3518750000003</v>
      </c>
      <c r="H29" s="54">
        <f t="shared" ref="H29:H30" si="25">D29*50%</f>
        <v>759.26750000000004</v>
      </c>
      <c r="I29" s="55">
        <f t="shared" ref="I29:I30" si="26">D29+(H29*2)</f>
        <v>3037.07</v>
      </c>
      <c r="J29" s="56">
        <f t="shared" si="17"/>
        <v>2277.8025000000002</v>
      </c>
      <c r="K29" s="108">
        <f t="shared" si="6"/>
        <v>248.94016393442627</v>
      </c>
      <c r="L29" s="194" t="s">
        <v>1978</v>
      </c>
      <c r="M29" s="304"/>
    </row>
    <row r="30" spans="1:13" ht="15.75" customHeight="1" x14ac:dyDescent="0.25">
      <c r="A30" s="49" t="s">
        <v>29</v>
      </c>
      <c r="B30" s="50" t="s">
        <v>30</v>
      </c>
      <c r="C30" s="47">
        <v>12.2</v>
      </c>
      <c r="D30" s="47">
        <v>1518.5350000000001</v>
      </c>
      <c r="E30" s="53">
        <f t="shared" si="0"/>
        <v>759.26750000000004</v>
      </c>
      <c r="F30" s="41">
        <f t="shared" si="24"/>
        <v>2277.8025000000002</v>
      </c>
      <c r="G30" s="53">
        <f t="shared" si="2"/>
        <v>1708.3518750000003</v>
      </c>
      <c r="H30" s="54">
        <f t="shared" si="25"/>
        <v>759.26750000000004</v>
      </c>
      <c r="I30" s="55">
        <f t="shared" si="26"/>
        <v>3037.07</v>
      </c>
      <c r="J30" s="56">
        <f t="shared" si="17"/>
        <v>2277.8025000000002</v>
      </c>
      <c r="K30" s="108">
        <f t="shared" si="6"/>
        <v>248.94016393442627</v>
      </c>
      <c r="L30" s="194" t="s">
        <v>1978</v>
      </c>
      <c r="M30" s="304"/>
    </row>
    <row r="31" spans="1:13" ht="15.75" customHeight="1" x14ac:dyDescent="0.25">
      <c r="A31" s="49" t="s">
        <v>31</v>
      </c>
      <c r="B31" s="50" t="s">
        <v>1781</v>
      </c>
      <c r="C31" s="47">
        <v>8.31</v>
      </c>
      <c r="D31" s="47">
        <v>1032.7</v>
      </c>
      <c r="E31" s="53">
        <f t="shared" si="0"/>
        <v>516.35</v>
      </c>
      <c r="F31" s="41">
        <f t="shared" ref="F31:F32" si="27">D31+E31</f>
        <v>1549.0500000000002</v>
      </c>
      <c r="G31" s="53">
        <f t="shared" si="2"/>
        <v>1161.7875000000001</v>
      </c>
      <c r="H31" s="54">
        <f t="shared" ref="H31:H32" si="28">D31*50%</f>
        <v>516.35</v>
      </c>
      <c r="I31" s="55">
        <f t="shared" ref="I31:I32" si="29">D31+(H31*2)</f>
        <v>2065.4</v>
      </c>
      <c r="J31" s="56">
        <f t="shared" si="17"/>
        <v>1549.0500000000002</v>
      </c>
      <c r="K31" s="108">
        <f t="shared" si="6"/>
        <v>248.54392298435619</v>
      </c>
      <c r="L31" s="194" t="s">
        <v>1978</v>
      </c>
      <c r="M31" s="304" t="s">
        <v>2305</v>
      </c>
    </row>
    <row r="32" spans="1:13" ht="15.75" customHeight="1" x14ac:dyDescent="0.25">
      <c r="A32" s="49" t="s">
        <v>32</v>
      </c>
      <c r="B32" s="50" t="s">
        <v>1781</v>
      </c>
      <c r="C32" s="47">
        <v>8.31</v>
      </c>
      <c r="D32" s="47">
        <v>1032.7</v>
      </c>
      <c r="E32" s="53">
        <f t="shared" si="0"/>
        <v>516.35</v>
      </c>
      <c r="F32" s="41">
        <f t="shared" si="27"/>
        <v>1549.0500000000002</v>
      </c>
      <c r="G32" s="53">
        <f t="shared" si="2"/>
        <v>1161.7875000000001</v>
      </c>
      <c r="H32" s="54">
        <f t="shared" si="28"/>
        <v>516.35</v>
      </c>
      <c r="I32" s="55">
        <f t="shared" si="29"/>
        <v>2065.4</v>
      </c>
      <c r="J32" s="56">
        <f t="shared" si="17"/>
        <v>1549.0500000000002</v>
      </c>
      <c r="K32" s="108">
        <f t="shared" si="6"/>
        <v>248.54392298435619</v>
      </c>
      <c r="L32" s="194" t="s">
        <v>1978</v>
      </c>
      <c r="M32" s="304" t="s">
        <v>2305</v>
      </c>
    </row>
    <row r="33" spans="1:13" ht="15.75" customHeight="1" x14ac:dyDescent="0.25">
      <c r="A33" s="49" t="s">
        <v>33</v>
      </c>
      <c r="B33" s="50" t="s">
        <v>34</v>
      </c>
      <c r="C33" s="47">
        <v>7.8</v>
      </c>
      <c r="D33" s="52">
        <v>1239.73</v>
      </c>
      <c r="E33" s="53">
        <f t="shared" si="0"/>
        <v>619.86500000000001</v>
      </c>
      <c r="F33" s="41">
        <f t="shared" ref="F33:F35" si="30">D33+E33</f>
        <v>1859.595</v>
      </c>
      <c r="G33" s="53">
        <f t="shared" si="2"/>
        <v>1394.69625</v>
      </c>
      <c r="H33" s="54">
        <f t="shared" ref="H33:H35" si="31">D33*50%</f>
        <v>619.86500000000001</v>
      </c>
      <c r="I33" s="55">
        <f t="shared" ref="I33:I35" si="32">D33+(H33*2)</f>
        <v>2479.46</v>
      </c>
      <c r="J33" s="56">
        <f t="shared" si="17"/>
        <v>1859.595</v>
      </c>
      <c r="K33" s="108">
        <f t="shared" si="6"/>
        <v>317.87948717948717</v>
      </c>
      <c r="L33" s="194" t="s">
        <v>1985</v>
      </c>
      <c r="M33" s="304" t="s">
        <v>2305</v>
      </c>
    </row>
    <row r="34" spans="1:13" ht="15.75" customHeight="1" x14ac:dyDescent="0.25">
      <c r="A34" s="49" t="s">
        <v>35</v>
      </c>
      <c r="B34" s="50" t="s">
        <v>1855</v>
      </c>
      <c r="C34" s="47">
        <v>10.62</v>
      </c>
      <c r="D34" s="52">
        <v>1687.94</v>
      </c>
      <c r="E34" s="53">
        <f t="shared" si="0"/>
        <v>843.97</v>
      </c>
      <c r="F34" s="41">
        <f t="shared" si="30"/>
        <v>2531.91</v>
      </c>
      <c r="G34" s="53">
        <f t="shared" si="2"/>
        <v>1898.9324999999999</v>
      </c>
      <c r="H34" s="54">
        <f t="shared" si="31"/>
        <v>843.97</v>
      </c>
      <c r="I34" s="55">
        <f t="shared" si="32"/>
        <v>3375.88</v>
      </c>
      <c r="J34" s="56">
        <f t="shared" si="17"/>
        <v>2531.91</v>
      </c>
      <c r="K34" s="108">
        <f t="shared" si="6"/>
        <v>317.87947269303203</v>
      </c>
      <c r="L34" s="194" t="s">
        <v>1978</v>
      </c>
      <c r="M34" s="304" t="s">
        <v>2305</v>
      </c>
    </row>
    <row r="35" spans="1:13" ht="15.75" customHeight="1" x14ac:dyDescent="0.25">
      <c r="A35" s="49" t="s">
        <v>36</v>
      </c>
      <c r="B35" s="50" t="s">
        <v>1949</v>
      </c>
      <c r="C35" s="47">
        <v>7.8</v>
      </c>
      <c r="D35" s="52">
        <v>1490.58</v>
      </c>
      <c r="E35" s="53">
        <f t="shared" si="0"/>
        <v>745.29</v>
      </c>
      <c r="F35" s="41">
        <f t="shared" si="30"/>
        <v>2235.87</v>
      </c>
      <c r="G35" s="53">
        <f t="shared" si="2"/>
        <v>1676.9024999999999</v>
      </c>
      <c r="H35" s="54">
        <f t="shared" si="31"/>
        <v>745.29</v>
      </c>
      <c r="I35" s="55">
        <f t="shared" si="32"/>
        <v>2981.16</v>
      </c>
      <c r="J35" s="56">
        <f t="shared" si="17"/>
        <v>2235.87</v>
      </c>
      <c r="K35" s="108">
        <f t="shared" si="6"/>
        <v>382.2</v>
      </c>
      <c r="L35" s="194" t="s">
        <v>1984</v>
      </c>
      <c r="M35" s="304"/>
    </row>
    <row r="36" spans="1:13" ht="18" customHeight="1" x14ac:dyDescent="0.25">
      <c r="A36" s="65"/>
      <c r="B36" s="65"/>
      <c r="C36" s="57"/>
      <c r="D36" s="57"/>
      <c r="E36" s="57"/>
      <c r="F36" s="47"/>
      <c r="G36" s="57"/>
      <c r="H36" s="58"/>
      <c r="I36" s="199"/>
      <c r="J36" s="59"/>
      <c r="K36" s="108"/>
      <c r="L36" s="194"/>
      <c r="M36" s="304"/>
    </row>
    <row r="37" spans="1:13" ht="15.75" customHeight="1" x14ac:dyDescent="0.25">
      <c r="A37" s="49" t="s">
        <v>37</v>
      </c>
      <c r="B37" s="50" t="s">
        <v>38</v>
      </c>
      <c r="C37" s="47">
        <v>10.54</v>
      </c>
      <c r="D37" s="52">
        <v>1529.885</v>
      </c>
      <c r="E37" s="53">
        <f t="shared" si="0"/>
        <v>764.9425</v>
      </c>
      <c r="F37" s="41">
        <f t="shared" ref="F37" si="33">D37+E37</f>
        <v>2294.8274999999999</v>
      </c>
      <c r="G37" s="53">
        <f t="shared" si="2"/>
        <v>1721.120625</v>
      </c>
      <c r="H37" s="54">
        <f t="shared" ref="H37" si="34">D37*50%</f>
        <v>764.9425</v>
      </c>
      <c r="I37" s="55">
        <f t="shared" ref="I37" si="35">D37+(H37*2)</f>
        <v>3059.77</v>
      </c>
      <c r="J37" s="56">
        <f t="shared" si="17"/>
        <v>2294.8274999999999</v>
      </c>
      <c r="K37" s="108">
        <f t="shared" si="6"/>
        <v>290.30075901328274</v>
      </c>
      <c r="L37" s="194" t="s">
        <v>1986</v>
      </c>
      <c r="M37" s="304"/>
    </row>
    <row r="38" spans="1:13" ht="15.75" customHeight="1" x14ac:dyDescent="0.25">
      <c r="A38" s="49" t="s">
        <v>39</v>
      </c>
      <c r="B38" s="50" t="s">
        <v>1869</v>
      </c>
      <c r="C38" s="47">
        <v>10.1</v>
      </c>
      <c r="D38" s="52">
        <v>1306.23</v>
      </c>
      <c r="E38" s="53">
        <f t="shared" si="0"/>
        <v>653.11500000000001</v>
      </c>
      <c r="F38" s="41">
        <f t="shared" ref="F38" si="36">D38+E38</f>
        <v>1959.345</v>
      </c>
      <c r="G38" s="53">
        <f t="shared" si="2"/>
        <v>1469.50875</v>
      </c>
      <c r="H38" s="54">
        <f t="shared" ref="H38" si="37">D38*50%</f>
        <v>653.11500000000001</v>
      </c>
      <c r="I38" s="55">
        <f t="shared" ref="I38" si="38">D38+(H38*2)</f>
        <v>2612.46</v>
      </c>
      <c r="J38" s="56">
        <f t="shared" si="17"/>
        <v>1959.345</v>
      </c>
      <c r="K38" s="108">
        <f t="shared" si="6"/>
        <v>258.65940594059407</v>
      </c>
      <c r="L38" s="194" t="s">
        <v>1987</v>
      </c>
      <c r="M38" s="304"/>
    </row>
    <row r="39" spans="1:13" ht="15.75" customHeight="1" x14ac:dyDescent="0.25">
      <c r="A39" s="49" t="s">
        <v>40</v>
      </c>
      <c r="B39" s="50" t="s">
        <v>41</v>
      </c>
      <c r="C39" s="47">
        <v>10.54</v>
      </c>
      <c r="D39" s="47">
        <v>1529.885</v>
      </c>
      <c r="E39" s="53">
        <f t="shared" si="0"/>
        <v>764.9425</v>
      </c>
      <c r="F39" s="41">
        <f t="shared" ref="F39" si="39">D39+E39</f>
        <v>2294.8274999999999</v>
      </c>
      <c r="G39" s="53">
        <f t="shared" si="2"/>
        <v>1721.120625</v>
      </c>
      <c r="H39" s="54">
        <f t="shared" ref="H39" si="40">D39*50%</f>
        <v>764.9425</v>
      </c>
      <c r="I39" s="55">
        <f t="shared" ref="I39" si="41">D39+(H39*2)</f>
        <v>3059.77</v>
      </c>
      <c r="J39" s="56">
        <f t="shared" si="17"/>
        <v>2294.8274999999999</v>
      </c>
      <c r="K39" s="108">
        <f t="shared" si="6"/>
        <v>290.30075901328274</v>
      </c>
      <c r="L39" s="194" t="s">
        <v>1986</v>
      </c>
      <c r="M39" s="304"/>
    </row>
    <row r="40" spans="1:13" ht="15.75" customHeight="1" x14ac:dyDescent="0.25">
      <c r="A40" s="49" t="s">
        <v>42</v>
      </c>
      <c r="B40" s="50" t="s">
        <v>1869</v>
      </c>
      <c r="C40" s="47">
        <v>10.1</v>
      </c>
      <c r="D40" s="47">
        <v>1306.23</v>
      </c>
      <c r="E40" s="53">
        <f t="shared" si="0"/>
        <v>653.11500000000001</v>
      </c>
      <c r="F40" s="41">
        <f t="shared" ref="F40" si="42">D40+E40</f>
        <v>1959.345</v>
      </c>
      <c r="G40" s="53">
        <f t="shared" si="2"/>
        <v>1469.50875</v>
      </c>
      <c r="H40" s="54">
        <f t="shared" ref="H40" si="43">D40*50%</f>
        <v>653.11500000000001</v>
      </c>
      <c r="I40" s="55">
        <f t="shared" ref="I40" si="44">D40+(H40*2)</f>
        <v>2612.46</v>
      </c>
      <c r="J40" s="56">
        <f t="shared" si="17"/>
        <v>1959.345</v>
      </c>
      <c r="K40" s="108">
        <f t="shared" si="6"/>
        <v>258.65940594059407</v>
      </c>
      <c r="L40" s="194" t="s">
        <v>1987</v>
      </c>
      <c r="M40" s="304"/>
    </row>
    <row r="41" spans="1:13" ht="15.75" customHeight="1" x14ac:dyDescent="0.25">
      <c r="A41" s="49" t="s">
        <v>43</v>
      </c>
      <c r="B41" s="50" t="s">
        <v>41</v>
      </c>
      <c r="C41" s="47">
        <v>10.54</v>
      </c>
      <c r="D41" s="47">
        <v>1529.89</v>
      </c>
      <c r="E41" s="53">
        <f t="shared" si="0"/>
        <v>764.94500000000005</v>
      </c>
      <c r="F41" s="41">
        <f t="shared" ref="F41" si="45">D41+E41</f>
        <v>2294.835</v>
      </c>
      <c r="G41" s="53">
        <f t="shared" si="2"/>
        <v>1721.12625</v>
      </c>
      <c r="H41" s="54">
        <f t="shared" ref="H41" si="46">D41*50%</f>
        <v>764.94500000000005</v>
      </c>
      <c r="I41" s="55">
        <f t="shared" ref="I41" si="47">D41+(H41*2)</f>
        <v>3059.78</v>
      </c>
      <c r="J41" s="56">
        <f t="shared" si="17"/>
        <v>2294.835</v>
      </c>
      <c r="K41" s="108">
        <f t="shared" si="6"/>
        <v>290.30170777988621</v>
      </c>
      <c r="L41" s="194" t="s">
        <v>1986</v>
      </c>
      <c r="M41" s="304"/>
    </row>
    <row r="42" spans="1:13" ht="15.75" customHeight="1" x14ac:dyDescent="0.25">
      <c r="A42" s="49" t="s">
        <v>44</v>
      </c>
      <c r="B42" s="50" t="s">
        <v>1945</v>
      </c>
      <c r="C42" s="47">
        <v>10.1</v>
      </c>
      <c r="D42" s="47">
        <v>1306.23</v>
      </c>
      <c r="E42" s="53">
        <f t="shared" si="0"/>
        <v>653.11500000000001</v>
      </c>
      <c r="F42" s="41">
        <f t="shared" ref="F42" si="48">D42+E42</f>
        <v>1959.345</v>
      </c>
      <c r="G42" s="53">
        <f t="shared" si="2"/>
        <v>1469.50875</v>
      </c>
      <c r="H42" s="54">
        <f t="shared" ref="H42" si="49">D42*50%</f>
        <v>653.11500000000001</v>
      </c>
      <c r="I42" s="55">
        <f t="shared" ref="I42" si="50">D42+(H42*2)</f>
        <v>2612.46</v>
      </c>
      <c r="J42" s="56">
        <f t="shared" si="17"/>
        <v>1959.345</v>
      </c>
      <c r="K42" s="108">
        <f t="shared" si="6"/>
        <v>258.65940594059407</v>
      </c>
      <c r="L42" s="194" t="s">
        <v>1978</v>
      </c>
      <c r="M42" s="304"/>
    </row>
    <row r="43" spans="1:13" ht="15.75" customHeight="1" x14ac:dyDescent="0.25">
      <c r="A43" s="49" t="s">
        <v>45</v>
      </c>
      <c r="B43" s="50" t="s">
        <v>1515</v>
      </c>
      <c r="C43" s="47">
        <v>7.56</v>
      </c>
      <c r="D43" s="47">
        <v>1941.18</v>
      </c>
      <c r="E43" s="53">
        <f t="shared" si="0"/>
        <v>970.59</v>
      </c>
      <c r="F43" s="41">
        <f t="shared" ref="F43" si="51">D43+E43</f>
        <v>2911.77</v>
      </c>
      <c r="G43" s="53">
        <f t="shared" si="2"/>
        <v>2183.8274999999999</v>
      </c>
      <c r="H43" s="54">
        <f t="shared" ref="H43" si="52">D43*50%</f>
        <v>970.59</v>
      </c>
      <c r="I43" s="55">
        <f t="shared" ref="I43" si="53">D43+(H43*2)</f>
        <v>3882.36</v>
      </c>
      <c r="J43" s="56">
        <f t="shared" si="17"/>
        <v>2911.77</v>
      </c>
      <c r="K43" s="108">
        <f t="shared" si="6"/>
        <v>513.53968253968253</v>
      </c>
      <c r="L43" s="194" t="s">
        <v>1989</v>
      </c>
      <c r="M43" s="304"/>
    </row>
    <row r="44" spans="1:13" ht="15.75" customHeight="1" x14ac:dyDescent="0.25">
      <c r="A44" s="49" t="s">
        <v>46</v>
      </c>
      <c r="B44" s="50" t="s">
        <v>1482</v>
      </c>
      <c r="C44" s="173">
        <v>9.6</v>
      </c>
      <c r="D44" s="47">
        <v>1406.98</v>
      </c>
      <c r="E44" s="53">
        <f t="shared" si="0"/>
        <v>703.49</v>
      </c>
      <c r="F44" s="41">
        <f t="shared" ref="F44" si="54">D44+E44</f>
        <v>2110.4700000000003</v>
      </c>
      <c r="G44" s="53">
        <f t="shared" si="2"/>
        <v>1582.8525000000002</v>
      </c>
      <c r="H44" s="54">
        <f t="shared" ref="H44" si="55">D44*50%</f>
        <v>703.49</v>
      </c>
      <c r="I44" s="55">
        <f t="shared" ref="I44" si="56">D44+(H44*2)</f>
        <v>2813.96</v>
      </c>
      <c r="J44" s="56">
        <f t="shared" si="17"/>
        <v>2110.4700000000003</v>
      </c>
      <c r="K44" s="108">
        <f t="shared" si="6"/>
        <v>293.12083333333334</v>
      </c>
      <c r="L44" s="194" t="s">
        <v>1978</v>
      </c>
      <c r="M44" s="304"/>
    </row>
    <row r="45" spans="1:13" ht="15.75" customHeight="1" x14ac:dyDescent="0.25">
      <c r="A45" s="49" t="s">
        <v>47</v>
      </c>
      <c r="B45" s="50" t="s">
        <v>1515</v>
      </c>
      <c r="C45" s="47">
        <v>7.56</v>
      </c>
      <c r="D45" s="47">
        <v>1941.18</v>
      </c>
      <c r="E45" s="53">
        <f t="shared" si="0"/>
        <v>970.59</v>
      </c>
      <c r="F45" s="41">
        <f t="shared" ref="F45" si="57">D45+E45</f>
        <v>2911.77</v>
      </c>
      <c r="G45" s="53">
        <f t="shared" si="2"/>
        <v>2183.8274999999999</v>
      </c>
      <c r="H45" s="54">
        <f t="shared" ref="H45" si="58">D45*50%</f>
        <v>970.59</v>
      </c>
      <c r="I45" s="55">
        <f t="shared" ref="I45" si="59">D45+(H45*2)</f>
        <v>3882.36</v>
      </c>
      <c r="J45" s="56">
        <f t="shared" si="17"/>
        <v>2911.77</v>
      </c>
      <c r="K45" s="108">
        <f t="shared" si="6"/>
        <v>513.53968253968253</v>
      </c>
      <c r="L45" s="194" t="s">
        <v>1989</v>
      </c>
      <c r="M45" s="304"/>
    </row>
    <row r="46" spans="1:13" ht="15.75" customHeight="1" x14ac:dyDescent="0.25">
      <c r="A46" s="49" t="s">
        <v>48</v>
      </c>
      <c r="B46" s="50" t="s">
        <v>2286</v>
      </c>
      <c r="C46" s="47">
        <v>9.1449999999999996</v>
      </c>
      <c r="D46" s="47">
        <v>1406.46</v>
      </c>
      <c r="E46" s="53">
        <f t="shared" si="0"/>
        <v>703.23</v>
      </c>
      <c r="F46" s="41">
        <f t="shared" ref="F46" si="60">D46+E46</f>
        <v>2109.69</v>
      </c>
      <c r="G46" s="53">
        <f t="shared" si="2"/>
        <v>1582.2674999999999</v>
      </c>
      <c r="H46" s="54">
        <f t="shared" ref="H46" si="61">D46*50%</f>
        <v>703.23</v>
      </c>
      <c r="I46" s="55">
        <f t="shared" ref="I46" si="62">D46+(H46*2)</f>
        <v>2812.92</v>
      </c>
      <c r="J46" s="56">
        <f t="shared" si="17"/>
        <v>2109.69</v>
      </c>
      <c r="K46" s="108">
        <f t="shared" si="6"/>
        <v>307.59103335155822</v>
      </c>
      <c r="L46" s="194" t="s">
        <v>1978</v>
      </c>
      <c r="M46" s="304"/>
    </row>
    <row r="47" spans="1:13" ht="18" customHeight="1" x14ac:dyDescent="0.25">
      <c r="A47" s="65"/>
      <c r="B47" s="65"/>
      <c r="C47" s="57"/>
      <c r="D47" s="57"/>
      <c r="E47" s="57"/>
      <c r="F47" s="47"/>
      <c r="G47" s="57"/>
      <c r="H47" s="58"/>
      <c r="I47" s="199"/>
      <c r="J47" s="59"/>
      <c r="K47" s="108"/>
      <c r="L47" s="194"/>
      <c r="M47" s="304"/>
    </row>
    <row r="48" spans="1:13" ht="16.5" customHeight="1" x14ac:dyDescent="0.25">
      <c r="A48" s="49" t="s">
        <v>49</v>
      </c>
      <c r="B48" s="50" t="s">
        <v>1702</v>
      </c>
      <c r="C48" s="47">
        <v>8</v>
      </c>
      <c r="D48" s="52">
        <v>798</v>
      </c>
      <c r="E48" s="53">
        <f t="shared" si="0"/>
        <v>399</v>
      </c>
      <c r="F48" s="41">
        <f t="shared" ref="F48:F49" si="63">D48+E48</f>
        <v>1197</v>
      </c>
      <c r="G48" s="53">
        <f t="shared" si="2"/>
        <v>897.75</v>
      </c>
      <c r="H48" s="54">
        <f t="shared" ref="H48:H49" si="64">D48*50%</f>
        <v>399</v>
      </c>
      <c r="I48" s="55">
        <f t="shared" ref="I48:I49" si="65">D48+(H48*2)</f>
        <v>1596</v>
      </c>
      <c r="J48" s="56">
        <f t="shared" si="17"/>
        <v>1197</v>
      </c>
      <c r="K48" s="108">
        <f t="shared" si="6"/>
        <v>199.5</v>
      </c>
      <c r="L48" s="194" t="s">
        <v>1978</v>
      </c>
      <c r="M48" s="304"/>
    </row>
    <row r="49" spans="1:13" ht="16.5" customHeight="1" x14ac:dyDescent="0.25">
      <c r="A49" s="49" t="s">
        <v>50</v>
      </c>
      <c r="B49" s="50" t="s">
        <v>1702</v>
      </c>
      <c r="C49" s="47">
        <v>8</v>
      </c>
      <c r="D49" s="52">
        <v>798</v>
      </c>
      <c r="E49" s="53">
        <f t="shared" si="0"/>
        <v>399</v>
      </c>
      <c r="F49" s="41">
        <f t="shared" si="63"/>
        <v>1197</v>
      </c>
      <c r="G49" s="53">
        <f t="shared" si="2"/>
        <v>897.75</v>
      </c>
      <c r="H49" s="54">
        <f t="shared" si="64"/>
        <v>399</v>
      </c>
      <c r="I49" s="55">
        <f t="shared" si="65"/>
        <v>1596</v>
      </c>
      <c r="J49" s="56">
        <f t="shared" si="17"/>
        <v>1197</v>
      </c>
      <c r="K49" s="108">
        <f t="shared" si="6"/>
        <v>199.5</v>
      </c>
      <c r="L49" s="194" t="s">
        <v>1978</v>
      </c>
      <c r="M49" s="304"/>
    </row>
    <row r="50" spans="1:13" ht="16.5" customHeight="1" x14ac:dyDescent="0.25">
      <c r="A50" s="49" t="s">
        <v>51</v>
      </c>
      <c r="B50" s="50" t="s">
        <v>52</v>
      </c>
      <c r="C50" s="47">
        <v>7.68</v>
      </c>
      <c r="D50" s="52">
        <v>722.19</v>
      </c>
      <c r="E50" s="53">
        <f t="shared" si="0"/>
        <v>361.09500000000003</v>
      </c>
      <c r="F50" s="41">
        <f t="shared" ref="F50" si="66">D50+E50</f>
        <v>1083.2850000000001</v>
      </c>
      <c r="G50" s="53">
        <f t="shared" si="2"/>
        <v>812.46375000000012</v>
      </c>
      <c r="H50" s="54">
        <f t="shared" ref="H50" si="67">D50*50%</f>
        <v>361.09500000000003</v>
      </c>
      <c r="I50" s="55">
        <f t="shared" ref="I50" si="68">D50+(H50*2)</f>
        <v>1444.38</v>
      </c>
      <c r="J50" s="56">
        <f t="shared" si="17"/>
        <v>1083.2850000000001</v>
      </c>
      <c r="K50" s="108">
        <f t="shared" si="6"/>
        <v>188.07031250000003</v>
      </c>
      <c r="L50" s="194" t="s">
        <v>1988</v>
      </c>
      <c r="M50" s="304"/>
    </row>
    <row r="51" spans="1:13" ht="16.5" customHeight="1" x14ac:dyDescent="0.25">
      <c r="A51" s="49" t="s">
        <v>53</v>
      </c>
      <c r="B51" s="50" t="s">
        <v>1376</v>
      </c>
      <c r="C51" s="47">
        <v>7.05</v>
      </c>
      <c r="D51" s="52">
        <v>683.38</v>
      </c>
      <c r="E51" s="53">
        <f t="shared" si="0"/>
        <v>341.69</v>
      </c>
      <c r="F51" s="41">
        <f t="shared" ref="F51" si="69">D51+E51</f>
        <v>1025.07</v>
      </c>
      <c r="G51" s="53">
        <f t="shared" si="2"/>
        <v>768.80250000000001</v>
      </c>
      <c r="H51" s="54">
        <f t="shared" ref="H51" si="70">D51*50%</f>
        <v>341.69</v>
      </c>
      <c r="I51" s="55">
        <f t="shared" ref="I51" si="71">D51+(H51*2)</f>
        <v>1366.76</v>
      </c>
      <c r="J51" s="56">
        <f t="shared" si="17"/>
        <v>1025.07</v>
      </c>
      <c r="K51" s="108">
        <f t="shared" si="6"/>
        <v>193.86666666666667</v>
      </c>
      <c r="L51" s="194" t="s">
        <v>1989</v>
      </c>
      <c r="M51" s="304"/>
    </row>
    <row r="52" spans="1:13" ht="16.5" customHeight="1" x14ac:dyDescent="0.25">
      <c r="A52" s="49" t="s">
        <v>54</v>
      </c>
      <c r="B52" s="50" t="s">
        <v>55</v>
      </c>
      <c r="C52" s="47">
        <v>6.8</v>
      </c>
      <c r="D52" s="47">
        <v>722.19</v>
      </c>
      <c r="E52" s="53">
        <f t="shared" si="0"/>
        <v>361.09500000000003</v>
      </c>
      <c r="F52" s="41">
        <f t="shared" ref="F52:F53" si="72">D52+E52</f>
        <v>1083.2850000000001</v>
      </c>
      <c r="G52" s="53">
        <f t="shared" si="2"/>
        <v>812.46375000000012</v>
      </c>
      <c r="H52" s="54">
        <f t="shared" ref="H52:H53" si="73">D52*50%</f>
        <v>361.09500000000003</v>
      </c>
      <c r="I52" s="55">
        <f t="shared" ref="I52:I53" si="74">D52+(H52*2)</f>
        <v>1444.38</v>
      </c>
      <c r="J52" s="56">
        <f t="shared" si="17"/>
        <v>1083.2850000000001</v>
      </c>
      <c r="K52" s="108">
        <f t="shared" si="6"/>
        <v>212.40882352941179</v>
      </c>
      <c r="L52" s="194" t="s">
        <v>1988</v>
      </c>
      <c r="M52" s="304"/>
    </row>
    <row r="53" spans="1:13" ht="16.5" customHeight="1" x14ac:dyDescent="0.25">
      <c r="A53" s="49" t="s">
        <v>56</v>
      </c>
      <c r="B53" s="50" t="s">
        <v>57</v>
      </c>
      <c r="C53" s="47">
        <v>7.05</v>
      </c>
      <c r="D53" s="52">
        <v>683.38</v>
      </c>
      <c r="E53" s="53">
        <f t="shared" si="0"/>
        <v>341.69</v>
      </c>
      <c r="F53" s="41">
        <f t="shared" si="72"/>
        <v>1025.07</v>
      </c>
      <c r="G53" s="53">
        <f t="shared" si="2"/>
        <v>768.80250000000001</v>
      </c>
      <c r="H53" s="54">
        <f t="shared" si="73"/>
        <v>341.69</v>
      </c>
      <c r="I53" s="55">
        <f t="shared" si="74"/>
        <v>1366.76</v>
      </c>
      <c r="J53" s="56">
        <f t="shared" si="17"/>
        <v>1025.07</v>
      </c>
      <c r="K53" s="108">
        <f t="shared" si="6"/>
        <v>193.86666666666667</v>
      </c>
      <c r="L53" s="194" t="s">
        <v>1989</v>
      </c>
      <c r="M53" s="304"/>
    </row>
    <row r="54" spans="1:13" ht="16.5" customHeight="1" x14ac:dyDescent="0.25">
      <c r="A54" s="49" t="s">
        <v>58</v>
      </c>
      <c r="B54" s="50" t="s">
        <v>59</v>
      </c>
      <c r="C54" s="47">
        <v>9</v>
      </c>
      <c r="D54" s="52">
        <v>972.27</v>
      </c>
      <c r="E54" s="53">
        <f t="shared" si="0"/>
        <v>486.13499999999999</v>
      </c>
      <c r="F54" s="41">
        <f t="shared" ref="F54:F60" si="75">D54+E54</f>
        <v>1458.405</v>
      </c>
      <c r="G54" s="53">
        <f t="shared" si="2"/>
        <v>1093.80375</v>
      </c>
      <c r="H54" s="54">
        <f t="shared" ref="H54:H60" si="76">D54*50%</f>
        <v>486.13499999999999</v>
      </c>
      <c r="I54" s="55">
        <f t="shared" ref="I54:I60" si="77">D54+(H54*2)</f>
        <v>1944.54</v>
      </c>
      <c r="J54" s="56">
        <f t="shared" si="17"/>
        <v>1458.405</v>
      </c>
      <c r="K54" s="108">
        <f t="shared" si="6"/>
        <v>216.06</v>
      </c>
      <c r="L54" s="194" t="s">
        <v>1983</v>
      </c>
      <c r="M54" s="304"/>
    </row>
    <row r="55" spans="1:13" ht="16.5" customHeight="1" x14ac:dyDescent="0.25">
      <c r="A55" s="49" t="s">
        <v>60</v>
      </c>
      <c r="B55" s="50" t="s">
        <v>1677</v>
      </c>
      <c r="C55" s="47">
        <v>6.9</v>
      </c>
      <c r="D55" s="47">
        <v>671.26</v>
      </c>
      <c r="E55" s="53">
        <f t="shared" si="0"/>
        <v>335.63</v>
      </c>
      <c r="F55" s="41">
        <f t="shared" si="75"/>
        <v>1006.89</v>
      </c>
      <c r="G55" s="53">
        <f t="shared" si="2"/>
        <v>755.16750000000002</v>
      </c>
      <c r="H55" s="54">
        <f t="shared" si="76"/>
        <v>335.63</v>
      </c>
      <c r="I55" s="55">
        <f t="shared" si="77"/>
        <v>1342.52</v>
      </c>
      <c r="J55" s="56">
        <f t="shared" si="17"/>
        <v>1006.89</v>
      </c>
      <c r="K55" s="108">
        <f t="shared" si="6"/>
        <v>194.56811594202898</v>
      </c>
      <c r="L55" s="194" t="s">
        <v>1989</v>
      </c>
      <c r="M55" s="304"/>
    </row>
    <row r="56" spans="1:13" ht="16.5" customHeight="1" x14ac:dyDescent="0.25">
      <c r="A56" s="49" t="s">
        <v>61</v>
      </c>
      <c r="B56" s="50" t="s">
        <v>62</v>
      </c>
      <c r="C56" s="47">
        <v>7.74</v>
      </c>
      <c r="D56" s="52">
        <v>986.38</v>
      </c>
      <c r="E56" s="53">
        <f t="shared" si="0"/>
        <v>493.19</v>
      </c>
      <c r="F56" s="41">
        <f t="shared" si="75"/>
        <v>1479.57</v>
      </c>
      <c r="G56" s="53">
        <f t="shared" si="2"/>
        <v>1109.6775</v>
      </c>
      <c r="H56" s="54">
        <f t="shared" si="76"/>
        <v>493.19</v>
      </c>
      <c r="I56" s="55">
        <f t="shared" si="77"/>
        <v>1972.76</v>
      </c>
      <c r="J56" s="56">
        <f t="shared" si="17"/>
        <v>1479.57</v>
      </c>
      <c r="K56" s="108">
        <f t="shared" si="6"/>
        <v>254.87855297157623</v>
      </c>
      <c r="L56" s="194" t="s">
        <v>1989</v>
      </c>
      <c r="M56" s="304"/>
    </row>
    <row r="57" spans="1:13" ht="16.5" customHeight="1" x14ac:dyDescent="0.25">
      <c r="A57" s="49" t="s">
        <v>63</v>
      </c>
      <c r="B57" s="50" t="s">
        <v>64</v>
      </c>
      <c r="C57" s="47">
        <v>8.06</v>
      </c>
      <c r="D57" s="52">
        <v>803.98</v>
      </c>
      <c r="E57" s="53">
        <f t="shared" si="0"/>
        <v>401.99</v>
      </c>
      <c r="F57" s="41">
        <f t="shared" si="75"/>
        <v>1205.97</v>
      </c>
      <c r="G57" s="53">
        <f t="shared" si="2"/>
        <v>904.47749999999996</v>
      </c>
      <c r="H57" s="54">
        <f t="shared" si="76"/>
        <v>401.99</v>
      </c>
      <c r="I57" s="55">
        <f t="shared" si="77"/>
        <v>1607.96</v>
      </c>
      <c r="J57" s="56">
        <f t="shared" si="17"/>
        <v>1205.97</v>
      </c>
      <c r="K57" s="108">
        <f t="shared" si="6"/>
        <v>199.49875930521091</v>
      </c>
      <c r="L57" s="194" t="s">
        <v>1978</v>
      </c>
      <c r="M57" s="304"/>
    </row>
    <row r="58" spans="1:13" ht="16.5" customHeight="1" x14ac:dyDescent="0.25">
      <c r="A58" s="49" t="s">
        <v>65</v>
      </c>
      <c r="B58" s="50" t="s">
        <v>62</v>
      </c>
      <c r="C58" s="47">
        <v>7.8</v>
      </c>
      <c r="D58" s="52">
        <v>994.03</v>
      </c>
      <c r="E58" s="53">
        <f t="shared" si="0"/>
        <v>497.01499999999999</v>
      </c>
      <c r="F58" s="41">
        <f t="shared" si="75"/>
        <v>1491.0450000000001</v>
      </c>
      <c r="G58" s="53">
        <f t="shared" si="2"/>
        <v>1118.2837500000001</v>
      </c>
      <c r="H58" s="54">
        <f t="shared" si="76"/>
        <v>497.01499999999999</v>
      </c>
      <c r="I58" s="55">
        <f t="shared" si="77"/>
        <v>1988.06</v>
      </c>
      <c r="J58" s="56">
        <f t="shared" si="17"/>
        <v>1491.0450000000001</v>
      </c>
      <c r="K58" s="108">
        <f t="shared" si="6"/>
        <v>254.87948717948717</v>
      </c>
      <c r="L58" s="194" t="s">
        <v>1989</v>
      </c>
      <c r="M58" s="304"/>
    </row>
    <row r="59" spans="1:13" ht="16.5" customHeight="1" x14ac:dyDescent="0.25">
      <c r="A59" s="49" t="s">
        <v>66</v>
      </c>
      <c r="B59" s="50" t="s">
        <v>67</v>
      </c>
      <c r="C59" s="47">
        <v>8.06</v>
      </c>
      <c r="D59" s="47">
        <v>803.98</v>
      </c>
      <c r="E59" s="53">
        <f t="shared" si="0"/>
        <v>401.99</v>
      </c>
      <c r="F59" s="41">
        <f t="shared" si="75"/>
        <v>1205.97</v>
      </c>
      <c r="G59" s="53">
        <f t="shared" si="2"/>
        <v>904.47749999999996</v>
      </c>
      <c r="H59" s="54">
        <f t="shared" si="76"/>
        <v>401.99</v>
      </c>
      <c r="I59" s="55">
        <f t="shared" si="77"/>
        <v>1607.96</v>
      </c>
      <c r="J59" s="56">
        <f t="shared" si="17"/>
        <v>1205.97</v>
      </c>
      <c r="K59" s="108">
        <f t="shared" si="6"/>
        <v>199.49875930521091</v>
      </c>
      <c r="L59" s="194" t="s">
        <v>1978</v>
      </c>
      <c r="M59" s="304"/>
    </row>
    <row r="60" spans="1:13" ht="16.5" customHeight="1" x14ac:dyDescent="0.25">
      <c r="A60" s="49" t="s">
        <v>68</v>
      </c>
      <c r="B60" s="50" t="s">
        <v>1885</v>
      </c>
      <c r="C60" s="47">
        <v>8.1</v>
      </c>
      <c r="D60" s="52">
        <v>1032.26</v>
      </c>
      <c r="E60" s="53">
        <f t="shared" si="0"/>
        <v>516.13</v>
      </c>
      <c r="F60" s="41">
        <f t="shared" si="75"/>
        <v>1548.3899999999999</v>
      </c>
      <c r="G60" s="53">
        <f t="shared" si="2"/>
        <v>1161.2925</v>
      </c>
      <c r="H60" s="54">
        <f t="shared" si="76"/>
        <v>516.13</v>
      </c>
      <c r="I60" s="55">
        <f t="shared" si="77"/>
        <v>2064.52</v>
      </c>
      <c r="J60" s="56">
        <f t="shared" si="17"/>
        <v>1548.3899999999999</v>
      </c>
      <c r="K60" s="108">
        <f t="shared" si="6"/>
        <v>254.87901234567903</v>
      </c>
      <c r="L60" s="194" t="s">
        <v>1990</v>
      </c>
      <c r="M60" s="304"/>
    </row>
    <row r="61" spans="1:13" ht="18" customHeight="1" x14ac:dyDescent="0.25">
      <c r="A61" s="65"/>
      <c r="B61" s="65"/>
      <c r="C61" s="57"/>
      <c r="D61" s="57"/>
      <c r="E61" s="57"/>
      <c r="F61" s="47"/>
      <c r="G61" s="57"/>
      <c r="H61" s="58"/>
      <c r="I61" s="199"/>
      <c r="J61" s="59"/>
      <c r="K61" s="108"/>
      <c r="L61" s="194"/>
      <c r="M61" s="304"/>
    </row>
    <row r="62" spans="1:13" ht="14.25" customHeight="1" x14ac:dyDescent="0.25">
      <c r="A62" s="49" t="s">
        <v>69</v>
      </c>
      <c r="B62" s="50" t="s">
        <v>1854</v>
      </c>
      <c r="C62" s="47">
        <v>8.3699999999999992</v>
      </c>
      <c r="D62" s="52">
        <v>1011.8049999999999</v>
      </c>
      <c r="E62" s="53">
        <f t="shared" si="0"/>
        <v>505.90249999999997</v>
      </c>
      <c r="F62" s="41">
        <f t="shared" ref="F62:F63" si="78">D62+E62</f>
        <v>1517.7075</v>
      </c>
      <c r="G62" s="53">
        <f t="shared" si="2"/>
        <v>1138.2806249999999</v>
      </c>
      <c r="H62" s="54">
        <f t="shared" ref="H62:H63" si="79">D62*50%</f>
        <v>505.90249999999997</v>
      </c>
      <c r="I62" s="55">
        <f t="shared" ref="I62:I63" si="80">D62+(H62*2)</f>
        <v>2023.61</v>
      </c>
      <c r="J62" s="56">
        <f t="shared" si="17"/>
        <v>1517.7075</v>
      </c>
      <c r="K62" s="108">
        <f t="shared" si="6"/>
        <v>241.76941457586619</v>
      </c>
      <c r="L62" s="194" t="s">
        <v>1978</v>
      </c>
      <c r="M62" s="304"/>
    </row>
    <row r="63" spans="1:13" ht="14.25" customHeight="1" x14ac:dyDescent="0.25">
      <c r="A63" s="49" t="s">
        <v>70</v>
      </c>
      <c r="B63" s="50" t="s">
        <v>2253</v>
      </c>
      <c r="C63" s="47">
        <v>8.6999999999999993</v>
      </c>
      <c r="D63" s="52">
        <v>1108.73</v>
      </c>
      <c r="E63" s="53">
        <f t="shared" si="0"/>
        <v>554.36500000000001</v>
      </c>
      <c r="F63" s="41">
        <f t="shared" si="78"/>
        <v>1663.095</v>
      </c>
      <c r="G63" s="53">
        <f t="shared" si="2"/>
        <v>1247.32125</v>
      </c>
      <c r="H63" s="54">
        <f t="shared" si="79"/>
        <v>554.36500000000001</v>
      </c>
      <c r="I63" s="55">
        <f t="shared" si="80"/>
        <v>2217.46</v>
      </c>
      <c r="J63" s="56">
        <f t="shared" si="17"/>
        <v>1663.095</v>
      </c>
      <c r="K63" s="108">
        <f t="shared" si="6"/>
        <v>254.88045977011498</v>
      </c>
      <c r="L63" s="194" t="s">
        <v>1984</v>
      </c>
      <c r="M63" s="304"/>
    </row>
    <row r="64" spans="1:13" ht="14.25" customHeight="1" x14ac:dyDescent="0.25">
      <c r="A64" s="49" t="s">
        <v>71</v>
      </c>
      <c r="B64" s="50" t="s">
        <v>1839</v>
      </c>
      <c r="C64" s="47">
        <v>8.3699999999999992</v>
      </c>
      <c r="D64" s="47">
        <v>1011.8049999999999</v>
      </c>
      <c r="E64" s="53">
        <f t="shared" si="0"/>
        <v>505.90249999999997</v>
      </c>
      <c r="F64" s="41">
        <f t="shared" ref="F64" si="81">D64+E64</f>
        <v>1517.7075</v>
      </c>
      <c r="G64" s="53">
        <f t="shared" si="2"/>
        <v>1138.2806249999999</v>
      </c>
      <c r="H64" s="54">
        <f t="shared" ref="H64" si="82">D64*50%</f>
        <v>505.90249999999997</v>
      </c>
      <c r="I64" s="55">
        <f t="shared" ref="I64" si="83">D64+(H64*2)</f>
        <v>2023.61</v>
      </c>
      <c r="J64" s="56">
        <f t="shared" si="17"/>
        <v>1517.7075</v>
      </c>
      <c r="K64" s="108">
        <f t="shared" si="6"/>
        <v>241.76941457586619</v>
      </c>
      <c r="L64" s="194"/>
      <c r="M64" s="304"/>
    </row>
    <row r="65" spans="1:13" ht="14.25" customHeight="1" x14ac:dyDescent="0.25">
      <c r="A65" s="49" t="s">
        <v>72</v>
      </c>
      <c r="B65" s="50" t="s">
        <v>1770</v>
      </c>
      <c r="C65" s="47">
        <v>7.95</v>
      </c>
      <c r="D65" s="52">
        <v>858.84</v>
      </c>
      <c r="E65" s="53">
        <f t="shared" si="0"/>
        <v>429.42</v>
      </c>
      <c r="F65" s="41">
        <f t="shared" ref="F65:F71" si="84">D65+E65</f>
        <v>1288.26</v>
      </c>
      <c r="G65" s="53">
        <f t="shared" si="2"/>
        <v>966.19499999999994</v>
      </c>
      <c r="H65" s="54">
        <f t="shared" ref="H65:H71" si="85">D65*50%</f>
        <v>429.42</v>
      </c>
      <c r="I65" s="55">
        <f t="shared" ref="I65:I71" si="86">D65+(H65*2)</f>
        <v>1717.68</v>
      </c>
      <c r="J65" s="56">
        <f t="shared" si="17"/>
        <v>1288.26</v>
      </c>
      <c r="K65" s="108">
        <f t="shared" si="6"/>
        <v>216.06037735849057</v>
      </c>
      <c r="L65" s="194" t="s">
        <v>1984</v>
      </c>
      <c r="M65" s="304"/>
    </row>
    <row r="66" spans="1:13" ht="14.25" customHeight="1" x14ac:dyDescent="0.25">
      <c r="A66" s="49" t="s">
        <v>73</v>
      </c>
      <c r="B66" s="50" t="s">
        <v>1950</v>
      </c>
      <c r="C66" s="47">
        <v>7.8</v>
      </c>
      <c r="D66" s="52">
        <v>763.64</v>
      </c>
      <c r="E66" s="53">
        <f t="shared" si="0"/>
        <v>381.82</v>
      </c>
      <c r="F66" s="41">
        <f t="shared" si="84"/>
        <v>1145.46</v>
      </c>
      <c r="G66" s="53">
        <f t="shared" si="2"/>
        <v>859.09500000000003</v>
      </c>
      <c r="H66" s="54">
        <f t="shared" si="85"/>
        <v>381.82</v>
      </c>
      <c r="I66" s="55">
        <f t="shared" si="86"/>
        <v>1527.28</v>
      </c>
      <c r="J66" s="56">
        <f t="shared" si="17"/>
        <v>1145.46</v>
      </c>
      <c r="K66" s="108">
        <f t="shared" si="6"/>
        <v>195.8051282051282</v>
      </c>
      <c r="L66" s="194" t="s">
        <v>1984</v>
      </c>
      <c r="M66" s="304"/>
    </row>
    <row r="67" spans="1:13" ht="14.25" customHeight="1" x14ac:dyDescent="0.25">
      <c r="A67" s="49" t="s">
        <v>74</v>
      </c>
      <c r="B67" s="50" t="s">
        <v>1850</v>
      </c>
      <c r="C67" s="47">
        <v>7.95</v>
      </c>
      <c r="D67" s="52">
        <v>858.84</v>
      </c>
      <c r="E67" s="53">
        <f t="shared" si="0"/>
        <v>429.42</v>
      </c>
      <c r="F67" s="41">
        <f t="shared" si="84"/>
        <v>1288.26</v>
      </c>
      <c r="G67" s="53">
        <f t="shared" si="2"/>
        <v>966.19499999999994</v>
      </c>
      <c r="H67" s="54">
        <f t="shared" si="85"/>
        <v>429.42</v>
      </c>
      <c r="I67" s="55">
        <f t="shared" si="86"/>
        <v>1717.68</v>
      </c>
      <c r="J67" s="56">
        <f t="shared" si="17"/>
        <v>1288.26</v>
      </c>
      <c r="K67" s="108">
        <f t="shared" si="6"/>
        <v>216.06037735849057</v>
      </c>
      <c r="L67" s="194" t="s">
        <v>1984</v>
      </c>
      <c r="M67" s="304"/>
    </row>
    <row r="68" spans="1:13" ht="14.25" customHeight="1" x14ac:dyDescent="0.25">
      <c r="A68" s="49" t="s">
        <v>75</v>
      </c>
      <c r="B68" s="50" t="s">
        <v>2124</v>
      </c>
      <c r="C68" s="47">
        <v>6.45</v>
      </c>
      <c r="D68" s="52">
        <v>821.99</v>
      </c>
      <c r="E68" s="53">
        <f t="shared" ref="E68:E77" si="87">D68*50%</f>
        <v>410.995</v>
      </c>
      <c r="F68" s="41">
        <f t="shared" si="84"/>
        <v>1232.9850000000001</v>
      </c>
      <c r="G68" s="53">
        <f t="shared" ref="G68:G77" si="88">F68-(F68*25%)</f>
        <v>924.7387500000001</v>
      </c>
      <c r="H68" s="54">
        <f t="shared" si="85"/>
        <v>410.995</v>
      </c>
      <c r="I68" s="55">
        <f t="shared" si="86"/>
        <v>1643.98</v>
      </c>
      <c r="J68" s="56">
        <f t="shared" si="17"/>
        <v>1232.9850000000001</v>
      </c>
      <c r="K68" s="108">
        <f t="shared" ref="K68:K77" si="89">I68/C68</f>
        <v>254.88062015503874</v>
      </c>
      <c r="L68" s="194" t="s">
        <v>1984</v>
      </c>
      <c r="M68" s="304"/>
    </row>
    <row r="69" spans="1:13" ht="14.25" customHeight="1" x14ac:dyDescent="0.25">
      <c r="A69" s="49" t="s">
        <v>76</v>
      </c>
      <c r="B69" s="50" t="s">
        <v>2218</v>
      </c>
      <c r="C69" s="47">
        <v>7.74</v>
      </c>
      <c r="D69" s="52">
        <v>836.15499999999997</v>
      </c>
      <c r="E69" s="53">
        <f t="shared" si="87"/>
        <v>418.07749999999999</v>
      </c>
      <c r="F69" s="41">
        <f t="shared" si="84"/>
        <v>1254.2325000000001</v>
      </c>
      <c r="G69" s="53">
        <f t="shared" si="88"/>
        <v>940.67437500000005</v>
      </c>
      <c r="H69" s="54">
        <f t="shared" si="85"/>
        <v>418.07749999999999</v>
      </c>
      <c r="I69" s="55">
        <f t="shared" si="86"/>
        <v>1672.31</v>
      </c>
      <c r="J69" s="56">
        <f t="shared" si="17"/>
        <v>1254.2325000000001</v>
      </c>
      <c r="K69" s="108">
        <f t="shared" si="89"/>
        <v>216.06072351421187</v>
      </c>
      <c r="L69" s="194" t="s">
        <v>1978</v>
      </c>
      <c r="M69" s="304"/>
    </row>
    <row r="70" spans="1:13" ht="14.25" customHeight="1" x14ac:dyDescent="0.25">
      <c r="A70" s="49" t="s">
        <v>77</v>
      </c>
      <c r="B70" s="50" t="s">
        <v>2124</v>
      </c>
      <c r="C70" s="47">
        <v>6.45</v>
      </c>
      <c r="D70" s="47">
        <v>821.99</v>
      </c>
      <c r="E70" s="53">
        <f t="shared" si="87"/>
        <v>410.995</v>
      </c>
      <c r="F70" s="41">
        <f t="shared" si="84"/>
        <v>1232.9850000000001</v>
      </c>
      <c r="G70" s="53">
        <f t="shared" si="88"/>
        <v>924.7387500000001</v>
      </c>
      <c r="H70" s="54">
        <f t="shared" si="85"/>
        <v>410.995</v>
      </c>
      <c r="I70" s="55">
        <f t="shared" si="86"/>
        <v>1643.98</v>
      </c>
      <c r="J70" s="56">
        <f t="shared" si="17"/>
        <v>1232.9850000000001</v>
      </c>
      <c r="K70" s="108">
        <f t="shared" si="89"/>
        <v>254.88062015503874</v>
      </c>
      <c r="L70" s="194" t="s">
        <v>1988</v>
      </c>
      <c r="M70" s="304"/>
    </row>
    <row r="71" spans="1:13" ht="14.25" customHeight="1" x14ac:dyDescent="0.25">
      <c r="A71" s="49" t="s">
        <v>78</v>
      </c>
      <c r="B71" s="50" t="s">
        <v>1951</v>
      </c>
      <c r="C71" s="47">
        <v>5.8</v>
      </c>
      <c r="D71" s="52">
        <v>626.57000000000005</v>
      </c>
      <c r="E71" s="53">
        <f t="shared" si="87"/>
        <v>313.28500000000003</v>
      </c>
      <c r="F71" s="41">
        <f t="shared" si="84"/>
        <v>939.85500000000002</v>
      </c>
      <c r="G71" s="53">
        <f t="shared" si="88"/>
        <v>704.89125000000001</v>
      </c>
      <c r="H71" s="54">
        <f t="shared" si="85"/>
        <v>313.28500000000003</v>
      </c>
      <c r="I71" s="55">
        <f t="shared" si="86"/>
        <v>1253.1400000000001</v>
      </c>
      <c r="J71" s="56">
        <f t="shared" si="17"/>
        <v>939.85500000000002</v>
      </c>
      <c r="K71" s="108">
        <f t="shared" si="89"/>
        <v>216.05862068965519</v>
      </c>
      <c r="L71" s="194" t="s">
        <v>1988</v>
      </c>
      <c r="M71" s="304"/>
    </row>
    <row r="72" spans="1:13" ht="14.25" customHeight="1" x14ac:dyDescent="0.25">
      <c r="A72" s="49" t="s">
        <v>79</v>
      </c>
      <c r="B72" s="50" t="s">
        <v>1571</v>
      </c>
      <c r="C72" s="47">
        <v>5.7</v>
      </c>
      <c r="D72" s="52">
        <v>558.04</v>
      </c>
      <c r="E72" s="53">
        <f t="shared" si="87"/>
        <v>279.02</v>
      </c>
      <c r="F72" s="41">
        <f t="shared" ref="F72" si="90">D72+E72</f>
        <v>837.06</v>
      </c>
      <c r="G72" s="53">
        <f t="shared" si="88"/>
        <v>627.79499999999996</v>
      </c>
      <c r="H72" s="54">
        <f t="shared" ref="H72" si="91">D72*50%</f>
        <v>279.02</v>
      </c>
      <c r="I72" s="55">
        <f t="shared" ref="I72" si="92">D72+(H72*2)</f>
        <v>1116.08</v>
      </c>
      <c r="J72" s="56">
        <f t="shared" si="17"/>
        <v>837.06</v>
      </c>
      <c r="K72" s="108">
        <f t="shared" si="89"/>
        <v>195.80350877192981</v>
      </c>
      <c r="L72" s="194" t="s">
        <v>1984</v>
      </c>
      <c r="M72" s="304"/>
    </row>
    <row r="73" spans="1:13" ht="14.25" customHeight="1" x14ac:dyDescent="0.25">
      <c r="A73" s="49" t="s">
        <v>80</v>
      </c>
      <c r="B73" s="50" t="s">
        <v>1538</v>
      </c>
      <c r="C73" s="47">
        <v>5.8</v>
      </c>
      <c r="D73" s="47">
        <v>626.57500000000005</v>
      </c>
      <c r="E73" s="53">
        <f t="shared" si="87"/>
        <v>313.28750000000002</v>
      </c>
      <c r="F73" s="41">
        <f t="shared" ref="F73:F74" si="93">D73+E73</f>
        <v>939.86250000000007</v>
      </c>
      <c r="G73" s="53">
        <f t="shared" si="88"/>
        <v>704.89687500000002</v>
      </c>
      <c r="H73" s="54">
        <f t="shared" ref="H73:H74" si="94">D73*50%</f>
        <v>313.28750000000002</v>
      </c>
      <c r="I73" s="55">
        <f t="shared" ref="I73:I74" si="95">D73+(H73*2)</f>
        <v>1253.1500000000001</v>
      </c>
      <c r="J73" s="56">
        <f t="shared" si="17"/>
        <v>939.86250000000007</v>
      </c>
      <c r="K73" s="108">
        <f t="shared" si="89"/>
        <v>216.06034482758622</v>
      </c>
      <c r="L73" s="194" t="s">
        <v>1983</v>
      </c>
      <c r="M73" s="304"/>
    </row>
    <row r="74" spans="1:13" ht="14.25" customHeight="1" x14ac:dyDescent="0.25">
      <c r="A74" s="49" t="s">
        <v>81</v>
      </c>
      <c r="B74" s="50" t="s">
        <v>1570</v>
      </c>
      <c r="C74" s="47">
        <v>5.7</v>
      </c>
      <c r="D74" s="52">
        <v>558.04</v>
      </c>
      <c r="E74" s="53">
        <f t="shared" si="87"/>
        <v>279.02</v>
      </c>
      <c r="F74" s="41">
        <f t="shared" si="93"/>
        <v>837.06</v>
      </c>
      <c r="G74" s="53">
        <f t="shared" si="88"/>
        <v>627.79499999999996</v>
      </c>
      <c r="H74" s="54">
        <f t="shared" si="94"/>
        <v>279.02</v>
      </c>
      <c r="I74" s="55">
        <f t="shared" si="95"/>
        <v>1116.08</v>
      </c>
      <c r="J74" s="56">
        <f t="shared" si="17"/>
        <v>837.06</v>
      </c>
      <c r="K74" s="108">
        <f t="shared" si="89"/>
        <v>195.80350877192981</v>
      </c>
      <c r="L74" s="194" t="s">
        <v>1984</v>
      </c>
      <c r="M74" s="304"/>
    </row>
    <row r="75" spans="1:13" ht="14.25" customHeight="1" x14ac:dyDescent="0.25">
      <c r="A75" s="49" t="s">
        <v>82</v>
      </c>
      <c r="B75" s="50" t="s">
        <v>1538</v>
      </c>
      <c r="C75" s="47">
        <v>5.8</v>
      </c>
      <c r="D75" s="47">
        <v>626.57500000000005</v>
      </c>
      <c r="E75" s="53">
        <f t="shared" si="87"/>
        <v>313.28750000000002</v>
      </c>
      <c r="F75" s="41">
        <f t="shared" ref="F75" si="96">D75+E75</f>
        <v>939.86250000000007</v>
      </c>
      <c r="G75" s="53">
        <f t="shared" si="88"/>
        <v>704.89687500000002</v>
      </c>
      <c r="H75" s="54">
        <f t="shared" ref="H75" si="97">D75*50%</f>
        <v>313.28750000000002</v>
      </c>
      <c r="I75" s="55">
        <f t="shared" ref="I75" si="98">D75+(H75*2)</f>
        <v>1253.1500000000001</v>
      </c>
      <c r="J75" s="56">
        <f t="shared" si="17"/>
        <v>939.86250000000007</v>
      </c>
      <c r="K75" s="108">
        <f t="shared" si="89"/>
        <v>216.06034482758622</v>
      </c>
      <c r="L75" s="194" t="s">
        <v>1983</v>
      </c>
      <c r="M75" s="304"/>
    </row>
    <row r="76" spans="1:13" ht="14.25" customHeight="1" x14ac:dyDescent="0.25">
      <c r="A76" s="49" t="s">
        <v>83</v>
      </c>
      <c r="B76" s="50" t="s">
        <v>84</v>
      </c>
      <c r="C76" s="47">
        <v>10.47</v>
      </c>
      <c r="D76" s="52">
        <v>1644.1</v>
      </c>
      <c r="E76" s="53">
        <f t="shared" si="87"/>
        <v>822.05</v>
      </c>
      <c r="F76" s="41">
        <f t="shared" ref="F76:F77" si="99">D76+E76</f>
        <v>2466.1499999999996</v>
      </c>
      <c r="G76" s="53">
        <f t="shared" si="88"/>
        <v>1849.6124999999997</v>
      </c>
      <c r="H76" s="54">
        <f t="shared" ref="H76:H77" si="100">D76*50%</f>
        <v>822.05</v>
      </c>
      <c r="I76" s="55">
        <f t="shared" ref="I76:I77" si="101">D76+(H76*2)</f>
        <v>3288.2</v>
      </c>
      <c r="J76" s="56">
        <f t="shared" si="17"/>
        <v>2466.1499999999996</v>
      </c>
      <c r="K76" s="108">
        <f t="shared" si="89"/>
        <v>314.0592168099331</v>
      </c>
      <c r="L76" s="194" t="s">
        <v>1991</v>
      </c>
      <c r="M76" s="304" t="s">
        <v>2305</v>
      </c>
    </row>
    <row r="77" spans="1:13" ht="14.25" customHeight="1" x14ac:dyDescent="0.25">
      <c r="A77" s="49" t="s">
        <v>85</v>
      </c>
      <c r="B77" s="50" t="s">
        <v>86</v>
      </c>
      <c r="C77" s="47">
        <v>10.68</v>
      </c>
      <c r="D77" s="52">
        <v>1697.48</v>
      </c>
      <c r="E77" s="53">
        <f t="shared" si="87"/>
        <v>848.74</v>
      </c>
      <c r="F77" s="41">
        <f t="shared" si="99"/>
        <v>2546.2200000000003</v>
      </c>
      <c r="G77" s="53">
        <f t="shared" si="88"/>
        <v>1909.6650000000002</v>
      </c>
      <c r="H77" s="54">
        <f t="shared" si="100"/>
        <v>848.74</v>
      </c>
      <c r="I77" s="55">
        <f t="shared" si="101"/>
        <v>3394.96</v>
      </c>
      <c r="J77" s="56">
        <f t="shared" si="17"/>
        <v>2546.2200000000003</v>
      </c>
      <c r="K77" s="108">
        <f t="shared" si="89"/>
        <v>317.88014981273409</v>
      </c>
      <c r="L77" s="194" t="s">
        <v>1998</v>
      </c>
      <c r="M77" s="304" t="s">
        <v>2305</v>
      </c>
    </row>
    <row r="78" spans="1:13" ht="18" customHeight="1" x14ac:dyDescent="0.25">
      <c r="A78" s="65"/>
      <c r="B78" s="65"/>
      <c r="C78" s="57"/>
      <c r="D78" s="57"/>
      <c r="E78" s="57"/>
      <c r="F78" s="47"/>
      <c r="G78" s="57"/>
      <c r="H78" s="58"/>
      <c r="I78" s="199"/>
      <c r="J78" s="59"/>
      <c r="K78" s="108"/>
      <c r="L78" s="194"/>
      <c r="M78" s="304"/>
    </row>
    <row r="79" spans="1:13" ht="15.75" customHeight="1" x14ac:dyDescent="0.25">
      <c r="A79" s="49" t="s">
        <v>87</v>
      </c>
      <c r="B79" s="50" t="s">
        <v>2191</v>
      </c>
      <c r="C79" s="47">
        <v>11.44</v>
      </c>
      <c r="D79" s="174">
        <v>3330.41</v>
      </c>
      <c r="E79" s="53">
        <f t="shared" ref="E79:E134" si="102">D79*50%</f>
        <v>1665.2049999999999</v>
      </c>
      <c r="F79" s="41">
        <f t="shared" ref="F79" si="103">D79+E79</f>
        <v>4995.6149999999998</v>
      </c>
      <c r="G79" s="53">
        <f t="shared" ref="G79:G134" si="104">F79-(F79*25%)</f>
        <v>3746.7112499999998</v>
      </c>
      <c r="H79" s="54">
        <f t="shared" ref="H79" si="105">D79*50%</f>
        <v>1665.2049999999999</v>
      </c>
      <c r="I79" s="55">
        <f t="shared" ref="I79" si="106">D79+(H79*2)</f>
        <v>6660.82</v>
      </c>
      <c r="J79" s="56">
        <f t="shared" ref="J79:J134" si="107">I79-(I79*25%)</f>
        <v>4995.6149999999998</v>
      </c>
      <c r="K79" s="108">
        <f t="shared" ref="K79:K89" si="108">I79/C79</f>
        <v>582.23951048951051</v>
      </c>
      <c r="L79" s="194" t="s">
        <v>1992</v>
      </c>
      <c r="M79" s="304"/>
    </row>
    <row r="80" spans="1:13" ht="15.75" customHeight="1" x14ac:dyDescent="0.25">
      <c r="A80" s="49" t="s">
        <v>88</v>
      </c>
      <c r="B80" s="50" t="s">
        <v>89</v>
      </c>
      <c r="C80" s="47">
        <v>18.68</v>
      </c>
      <c r="D80" s="174">
        <v>4942.21</v>
      </c>
      <c r="E80" s="53">
        <f t="shared" si="102"/>
        <v>2471.105</v>
      </c>
      <c r="F80" s="41">
        <f t="shared" ref="F80" si="109">D80+E80</f>
        <v>7413.3150000000005</v>
      </c>
      <c r="G80" s="53">
        <f t="shared" si="104"/>
        <v>5559.9862499999999</v>
      </c>
      <c r="H80" s="54">
        <f t="shared" ref="H80" si="110">D80*50%</f>
        <v>2471.105</v>
      </c>
      <c r="I80" s="55">
        <f t="shared" ref="I80" si="111">D80+(H80*2)</f>
        <v>9884.42</v>
      </c>
      <c r="J80" s="56">
        <f t="shared" si="107"/>
        <v>7413.3150000000005</v>
      </c>
      <c r="K80" s="108">
        <f t="shared" si="108"/>
        <v>529.14453961456104</v>
      </c>
      <c r="L80" s="194" t="s">
        <v>1989</v>
      </c>
      <c r="M80" s="304"/>
    </row>
    <row r="81" spans="1:13" ht="15.75" customHeight="1" x14ac:dyDescent="0.25">
      <c r="A81" s="49" t="s">
        <v>90</v>
      </c>
      <c r="B81" s="50" t="s">
        <v>1728</v>
      </c>
      <c r="C81" s="47">
        <v>14.28</v>
      </c>
      <c r="D81" s="174">
        <v>3205</v>
      </c>
      <c r="E81" s="53">
        <f t="shared" si="102"/>
        <v>1602.5</v>
      </c>
      <c r="F81" s="41">
        <f t="shared" ref="F81" si="112">D81+E81</f>
        <v>4807.5</v>
      </c>
      <c r="G81" s="53">
        <f t="shared" si="104"/>
        <v>3605.625</v>
      </c>
      <c r="H81" s="54">
        <f t="shared" ref="H81" si="113">D81*50%</f>
        <v>1602.5</v>
      </c>
      <c r="I81" s="55">
        <f t="shared" ref="I81" si="114">D81+(H81*2)</f>
        <v>6410</v>
      </c>
      <c r="J81" s="56">
        <f t="shared" si="107"/>
        <v>4807.5</v>
      </c>
      <c r="K81" s="108">
        <f t="shared" si="108"/>
        <v>448.8795518207283</v>
      </c>
      <c r="L81" s="194" t="s">
        <v>1992</v>
      </c>
      <c r="M81" s="304" t="s">
        <v>2305</v>
      </c>
    </row>
    <row r="82" spans="1:13" ht="15.75" customHeight="1" x14ac:dyDescent="0.25">
      <c r="A82" s="49" t="s">
        <v>91</v>
      </c>
      <c r="B82" s="50" t="s">
        <v>92</v>
      </c>
      <c r="C82" s="47">
        <v>18.68</v>
      </c>
      <c r="D82" s="224">
        <v>4942.21</v>
      </c>
      <c r="E82" s="53">
        <f t="shared" ref="E82" si="115">D82*50%</f>
        <v>2471.105</v>
      </c>
      <c r="F82" s="41">
        <f t="shared" ref="F82:F89" si="116">D82+E82</f>
        <v>7413.3150000000005</v>
      </c>
      <c r="G82" s="53">
        <f t="shared" ref="G82" si="117">F82-(F82*25%)</f>
        <v>5559.9862499999999</v>
      </c>
      <c r="H82" s="54">
        <f t="shared" ref="H82:H89" si="118">D82*50%</f>
        <v>2471.105</v>
      </c>
      <c r="I82" s="55">
        <f t="shared" ref="I82:I89" si="119">D82+(H82*2)</f>
        <v>9884.42</v>
      </c>
      <c r="J82" s="56">
        <f t="shared" ref="J82" si="120">I82-(I82*25%)</f>
        <v>7413.3150000000005</v>
      </c>
      <c r="K82" s="108">
        <f t="shared" si="108"/>
        <v>529.14453961456104</v>
      </c>
      <c r="L82" s="194" t="s">
        <v>1989</v>
      </c>
      <c r="M82" s="304"/>
    </row>
    <row r="83" spans="1:13" ht="15.75" customHeight="1" x14ac:dyDescent="0.25">
      <c r="A83" s="49" t="s">
        <v>93</v>
      </c>
      <c r="B83" s="50" t="s">
        <v>1728</v>
      </c>
      <c r="C83" s="47">
        <v>14.28</v>
      </c>
      <c r="D83" s="224">
        <v>3205.0050000000001</v>
      </c>
      <c r="E83" s="53">
        <f t="shared" si="102"/>
        <v>1602.5025000000001</v>
      </c>
      <c r="F83" s="41">
        <f t="shared" si="116"/>
        <v>4807.5074999999997</v>
      </c>
      <c r="G83" s="53">
        <f t="shared" si="104"/>
        <v>3605.6306249999998</v>
      </c>
      <c r="H83" s="54">
        <f t="shared" si="118"/>
        <v>1602.5025000000001</v>
      </c>
      <c r="I83" s="55">
        <f t="shared" si="119"/>
        <v>6410.01</v>
      </c>
      <c r="J83" s="56">
        <f t="shared" si="107"/>
        <v>4807.5074999999997</v>
      </c>
      <c r="K83" s="108">
        <f t="shared" si="108"/>
        <v>448.88025210084038</v>
      </c>
      <c r="L83" s="194" t="s">
        <v>1992</v>
      </c>
      <c r="M83" s="304" t="s">
        <v>2305</v>
      </c>
    </row>
    <row r="84" spans="1:13" ht="15.75" customHeight="1" x14ac:dyDescent="0.25">
      <c r="A84" s="49" t="s">
        <v>94</v>
      </c>
      <c r="B84" s="50" t="s">
        <v>2022</v>
      </c>
      <c r="C84" s="47">
        <v>11.75</v>
      </c>
      <c r="D84" s="174">
        <v>1497.42</v>
      </c>
      <c r="E84" s="53">
        <f t="shared" si="102"/>
        <v>748.71</v>
      </c>
      <c r="F84" s="41">
        <f t="shared" si="116"/>
        <v>2246.13</v>
      </c>
      <c r="G84" s="53">
        <f t="shared" si="104"/>
        <v>1684.5975000000001</v>
      </c>
      <c r="H84" s="54">
        <f t="shared" si="118"/>
        <v>748.71</v>
      </c>
      <c r="I84" s="55">
        <f t="shared" si="119"/>
        <v>2994.84</v>
      </c>
      <c r="J84" s="56">
        <f t="shared" si="107"/>
        <v>2246.13</v>
      </c>
      <c r="K84" s="108">
        <f t="shared" si="108"/>
        <v>254.88000000000002</v>
      </c>
      <c r="L84" s="194" t="s">
        <v>1988</v>
      </c>
      <c r="M84" s="304"/>
    </row>
    <row r="85" spans="1:13" ht="15.75" customHeight="1" x14ac:dyDescent="0.25">
      <c r="A85" s="49" t="s">
        <v>95</v>
      </c>
      <c r="B85" s="50" t="s">
        <v>1727</v>
      </c>
      <c r="C85" s="47">
        <v>14.28</v>
      </c>
      <c r="D85" s="224">
        <v>3205.0050000000001</v>
      </c>
      <c r="E85" s="53">
        <f t="shared" si="102"/>
        <v>1602.5025000000001</v>
      </c>
      <c r="F85" s="41">
        <f t="shared" si="116"/>
        <v>4807.5074999999997</v>
      </c>
      <c r="G85" s="53">
        <f t="shared" si="104"/>
        <v>3605.6306249999998</v>
      </c>
      <c r="H85" s="54">
        <f t="shared" si="118"/>
        <v>1602.5025000000001</v>
      </c>
      <c r="I85" s="55">
        <f t="shared" si="119"/>
        <v>6410.01</v>
      </c>
      <c r="J85" s="56">
        <f t="shared" si="107"/>
        <v>4807.5074999999997</v>
      </c>
      <c r="K85" s="108">
        <f t="shared" si="108"/>
        <v>448.88025210084038</v>
      </c>
      <c r="L85" s="194" t="s">
        <v>1992</v>
      </c>
      <c r="M85" s="304" t="s">
        <v>2305</v>
      </c>
    </row>
    <row r="86" spans="1:13" ht="15.75" customHeight="1" x14ac:dyDescent="0.25">
      <c r="A86" s="49" t="s">
        <v>96</v>
      </c>
      <c r="B86" s="50" t="s">
        <v>1821</v>
      </c>
      <c r="C86" s="47">
        <v>11.25</v>
      </c>
      <c r="D86" s="174">
        <v>1122.19</v>
      </c>
      <c r="E86" s="53">
        <f t="shared" si="102"/>
        <v>561.09500000000003</v>
      </c>
      <c r="F86" s="41">
        <f t="shared" si="116"/>
        <v>1683.2850000000001</v>
      </c>
      <c r="G86" s="53">
        <f t="shared" si="104"/>
        <v>1262.4637500000001</v>
      </c>
      <c r="H86" s="54">
        <f t="shared" si="118"/>
        <v>561.09500000000003</v>
      </c>
      <c r="I86" s="55">
        <f t="shared" si="119"/>
        <v>2244.38</v>
      </c>
      <c r="J86" s="56">
        <f t="shared" si="107"/>
        <v>1683.2850000000001</v>
      </c>
      <c r="K86" s="108">
        <f t="shared" si="108"/>
        <v>199.50044444444444</v>
      </c>
      <c r="L86" s="194" t="s">
        <v>1988</v>
      </c>
      <c r="M86" s="304"/>
    </row>
    <row r="87" spans="1:13" ht="15.75" customHeight="1" x14ac:dyDescent="0.25">
      <c r="A87" s="49" t="s">
        <v>97</v>
      </c>
      <c r="B87" s="50" t="s">
        <v>1886</v>
      </c>
      <c r="C87" s="47">
        <v>15</v>
      </c>
      <c r="D87" s="174">
        <v>1122.1849999999999</v>
      </c>
      <c r="E87" s="53">
        <f t="shared" si="102"/>
        <v>561.09249999999997</v>
      </c>
      <c r="F87" s="41">
        <f t="shared" si="116"/>
        <v>1683.2774999999999</v>
      </c>
      <c r="G87" s="53">
        <f t="shared" si="104"/>
        <v>1262.4581249999999</v>
      </c>
      <c r="H87" s="54">
        <f t="shared" si="118"/>
        <v>561.09249999999997</v>
      </c>
      <c r="I87" s="55">
        <f t="shared" si="119"/>
        <v>2244.37</v>
      </c>
      <c r="J87" s="56">
        <f t="shared" si="107"/>
        <v>1683.2774999999999</v>
      </c>
      <c r="K87" s="108">
        <f t="shared" si="108"/>
        <v>149.62466666666666</v>
      </c>
      <c r="L87" s="194" t="s">
        <v>1988</v>
      </c>
      <c r="M87" s="304"/>
    </row>
    <row r="88" spans="1:13" ht="15.75" customHeight="1" x14ac:dyDescent="0.25">
      <c r="A88" s="49" t="s">
        <v>98</v>
      </c>
      <c r="B88" s="50" t="s">
        <v>99</v>
      </c>
      <c r="C88" s="47">
        <v>11.75</v>
      </c>
      <c r="D88" s="174">
        <v>1172.06</v>
      </c>
      <c r="E88" s="53">
        <f t="shared" si="102"/>
        <v>586.03</v>
      </c>
      <c r="F88" s="41">
        <f t="shared" si="116"/>
        <v>1758.09</v>
      </c>
      <c r="G88" s="53">
        <f t="shared" si="104"/>
        <v>1318.5674999999999</v>
      </c>
      <c r="H88" s="54">
        <f t="shared" si="118"/>
        <v>586.03</v>
      </c>
      <c r="I88" s="55">
        <f t="shared" si="119"/>
        <v>2344.12</v>
      </c>
      <c r="J88" s="56">
        <f t="shared" si="107"/>
        <v>1758.09</v>
      </c>
      <c r="K88" s="108">
        <f t="shared" si="108"/>
        <v>199.49957446808509</v>
      </c>
      <c r="L88" s="194" t="s">
        <v>1978</v>
      </c>
      <c r="M88" s="304"/>
    </row>
    <row r="89" spans="1:13" ht="15.75" customHeight="1" x14ac:dyDescent="0.25">
      <c r="A89" s="49" t="s">
        <v>100</v>
      </c>
      <c r="B89" s="50" t="s">
        <v>1886</v>
      </c>
      <c r="C89" s="47">
        <v>15</v>
      </c>
      <c r="D89" s="174">
        <v>1122.19</v>
      </c>
      <c r="E89" s="53">
        <f t="shared" si="102"/>
        <v>561.09500000000003</v>
      </c>
      <c r="F89" s="41">
        <f t="shared" si="116"/>
        <v>1683.2850000000001</v>
      </c>
      <c r="G89" s="53">
        <f t="shared" si="104"/>
        <v>1262.4637500000001</v>
      </c>
      <c r="H89" s="54">
        <f t="shared" si="118"/>
        <v>561.09500000000003</v>
      </c>
      <c r="I89" s="55">
        <f t="shared" si="119"/>
        <v>2244.38</v>
      </c>
      <c r="J89" s="56">
        <f t="shared" si="107"/>
        <v>1683.2850000000001</v>
      </c>
      <c r="K89" s="108">
        <f t="shared" si="108"/>
        <v>149.62533333333334</v>
      </c>
      <c r="L89" s="194" t="s">
        <v>1988</v>
      </c>
      <c r="M89" s="304"/>
    </row>
    <row r="90" spans="1:13" ht="18" customHeight="1" x14ac:dyDescent="0.25">
      <c r="A90" s="65"/>
      <c r="B90" s="65"/>
      <c r="C90" s="57"/>
      <c r="D90" s="57"/>
      <c r="E90" s="57"/>
      <c r="F90" s="47"/>
      <c r="G90" s="57"/>
      <c r="H90" s="58"/>
      <c r="I90" s="199"/>
      <c r="J90" s="59"/>
      <c r="K90" s="108"/>
      <c r="L90" s="194"/>
      <c r="M90" s="304"/>
    </row>
    <row r="91" spans="1:13" ht="16.5" customHeight="1" x14ac:dyDescent="0.25">
      <c r="A91" s="49" t="s">
        <v>101</v>
      </c>
      <c r="B91" s="50" t="s">
        <v>2081</v>
      </c>
      <c r="C91" s="52">
        <v>15.64</v>
      </c>
      <c r="D91" s="52">
        <v>1406.19</v>
      </c>
      <c r="E91" s="53">
        <f t="shared" si="102"/>
        <v>703.09500000000003</v>
      </c>
      <c r="F91" s="41">
        <f t="shared" ref="F91:F98" si="121">D91+E91</f>
        <v>2109.2849999999999</v>
      </c>
      <c r="G91" s="53">
        <f t="shared" si="104"/>
        <v>1581.9637499999999</v>
      </c>
      <c r="H91" s="54">
        <f t="shared" ref="H91:H98" si="122">D91*50%</f>
        <v>703.09500000000003</v>
      </c>
      <c r="I91" s="55">
        <f t="shared" ref="I91:I98" si="123">D91+(H91*2)</f>
        <v>2812.38</v>
      </c>
      <c r="J91" s="56">
        <f t="shared" si="107"/>
        <v>2109.2849999999999</v>
      </c>
      <c r="K91" s="108">
        <f t="shared" ref="K91:K98" si="124">I91/C91</f>
        <v>179.81969309462914</v>
      </c>
      <c r="L91" s="194" t="s">
        <v>1989</v>
      </c>
      <c r="M91" s="304"/>
    </row>
    <row r="92" spans="1:13" ht="16.5" customHeight="1" x14ac:dyDescent="0.25">
      <c r="A92" s="49" t="s">
        <v>102</v>
      </c>
      <c r="B92" s="50" t="s">
        <v>103</v>
      </c>
      <c r="C92" s="52">
        <v>11.58</v>
      </c>
      <c r="D92" s="52">
        <v>1068.76</v>
      </c>
      <c r="E92" s="53">
        <f t="shared" si="102"/>
        <v>534.38</v>
      </c>
      <c r="F92" s="41">
        <f t="shared" si="121"/>
        <v>1603.1399999999999</v>
      </c>
      <c r="G92" s="53">
        <f t="shared" si="104"/>
        <v>1202.355</v>
      </c>
      <c r="H92" s="54">
        <f t="shared" si="122"/>
        <v>534.38</v>
      </c>
      <c r="I92" s="55">
        <f t="shared" si="123"/>
        <v>2137.52</v>
      </c>
      <c r="J92" s="56">
        <f t="shared" si="107"/>
        <v>1603.1399999999999</v>
      </c>
      <c r="K92" s="108">
        <f t="shared" si="124"/>
        <v>184.58721934369603</v>
      </c>
      <c r="L92" s="194" t="s">
        <v>1989</v>
      </c>
      <c r="M92" s="304"/>
    </row>
    <row r="93" spans="1:13" ht="16.5" customHeight="1" x14ac:dyDescent="0.25">
      <c r="A93" s="49" t="s">
        <v>104</v>
      </c>
      <c r="B93" s="50" t="s">
        <v>103</v>
      </c>
      <c r="C93" s="52">
        <v>11.58</v>
      </c>
      <c r="D93" s="52">
        <v>1068.76</v>
      </c>
      <c r="E93" s="53">
        <f t="shared" si="102"/>
        <v>534.38</v>
      </c>
      <c r="F93" s="41">
        <f t="shared" si="121"/>
        <v>1603.1399999999999</v>
      </c>
      <c r="G93" s="53">
        <f t="shared" si="104"/>
        <v>1202.355</v>
      </c>
      <c r="H93" s="54">
        <f t="shared" si="122"/>
        <v>534.38</v>
      </c>
      <c r="I93" s="55">
        <f t="shared" si="123"/>
        <v>2137.52</v>
      </c>
      <c r="J93" s="56">
        <f t="shared" si="107"/>
        <v>1603.1399999999999</v>
      </c>
      <c r="K93" s="108">
        <f t="shared" si="124"/>
        <v>184.58721934369603</v>
      </c>
      <c r="L93" s="194" t="s">
        <v>1989</v>
      </c>
      <c r="M93" s="304"/>
    </row>
    <row r="94" spans="1:13" ht="16.5" customHeight="1" x14ac:dyDescent="0.25">
      <c r="A94" s="49" t="s">
        <v>105</v>
      </c>
      <c r="B94" s="50" t="s">
        <v>106</v>
      </c>
      <c r="C94" s="52">
        <v>16.190000000000001</v>
      </c>
      <c r="D94" s="52">
        <v>1118.56</v>
      </c>
      <c r="E94" s="53">
        <f t="shared" si="102"/>
        <v>559.28</v>
      </c>
      <c r="F94" s="41">
        <f t="shared" si="121"/>
        <v>1677.84</v>
      </c>
      <c r="G94" s="53">
        <f t="shared" si="104"/>
        <v>1258.3799999999999</v>
      </c>
      <c r="H94" s="54">
        <f t="shared" si="122"/>
        <v>559.28</v>
      </c>
      <c r="I94" s="55">
        <f t="shared" si="123"/>
        <v>2237.12</v>
      </c>
      <c r="J94" s="56">
        <f t="shared" si="107"/>
        <v>1677.84</v>
      </c>
      <c r="K94" s="108">
        <f t="shared" si="124"/>
        <v>138.17912291537985</v>
      </c>
      <c r="L94" s="194" t="s">
        <v>1984</v>
      </c>
      <c r="M94" s="304"/>
    </row>
    <row r="95" spans="1:13" ht="16.5" customHeight="1" x14ac:dyDescent="0.25">
      <c r="A95" s="49" t="s">
        <v>107</v>
      </c>
      <c r="B95" s="50" t="s">
        <v>2028</v>
      </c>
      <c r="C95" s="52">
        <v>20.074999999999999</v>
      </c>
      <c r="D95" s="52">
        <v>1387.33</v>
      </c>
      <c r="E95" s="53">
        <f t="shared" si="102"/>
        <v>693.66499999999996</v>
      </c>
      <c r="F95" s="41">
        <f t="shared" si="121"/>
        <v>2080.9949999999999</v>
      </c>
      <c r="G95" s="53">
        <f t="shared" si="104"/>
        <v>1560.7462499999999</v>
      </c>
      <c r="H95" s="54">
        <f t="shared" si="122"/>
        <v>693.66499999999996</v>
      </c>
      <c r="I95" s="55">
        <f t="shared" si="123"/>
        <v>2774.66</v>
      </c>
      <c r="J95" s="56">
        <f t="shared" si="107"/>
        <v>2080.9949999999999</v>
      </c>
      <c r="K95" s="108">
        <f t="shared" si="124"/>
        <v>138.21469489414696</v>
      </c>
      <c r="L95" s="194" t="s">
        <v>1983</v>
      </c>
      <c r="M95" s="304"/>
    </row>
    <row r="96" spans="1:13" ht="16.5" customHeight="1" x14ac:dyDescent="0.25">
      <c r="A96" s="49" t="s">
        <v>108</v>
      </c>
      <c r="B96" s="50" t="s">
        <v>109</v>
      </c>
      <c r="C96" s="47">
        <v>10.105</v>
      </c>
      <c r="D96" s="52">
        <v>979.47500000000002</v>
      </c>
      <c r="E96" s="53">
        <f t="shared" si="102"/>
        <v>489.73750000000001</v>
      </c>
      <c r="F96" s="41">
        <f t="shared" si="121"/>
        <v>1469.2125000000001</v>
      </c>
      <c r="G96" s="53">
        <f t="shared" si="104"/>
        <v>1101.9093750000002</v>
      </c>
      <c r="H96" s="54">
        <f t="shared" si="122"/>
        <v>489.73750000000001</v>
      </c>
      <c r="I96" s="55">
        <f t="shared" si="123"/>
        <v>1958.95</v>
      </c>
      <c r="J96" s="56">
        <f t="shared" si="107"/>
        <v>1469.2125000000001</v>
      </c>
      <c r="K96" s="108">
        <f t="shared" si="124"/>
        <v>193.85947550717466</v>
      </c>
      <c r="L96" s="194" t="s">
        <v>1978</v>
      </c>
      <c r="M96" s="304"/>
    </row>
    <row r="97" spans="1:13" ht="16.5" customHeight="1" x14ac:dyDescent="0.25">
      <c r="A97" s="49" t="s">
        <v>110</v>
      </c>
      <c r="B97" s="50" t="s">
        <v>111</v>
      </c>
      <c r="C97" s="47">
        <v>8.89</v>
      </c>
      <c r="D97" s="52">
        <v>1133.55</v>
      </c>
      <c r="E97" s="53">
        <f t="shared" si="102"/>
        <v>566.77499999999998</v>
      </c>
      <c r="F97" s="41">
        <f t="shared" si="121"/>
        <v>1700.3249999999998</v>
      </c>
      <c r="G97" s="53">
        <f t="shared" si="104"/>
        <v>1275.2437499999999</v>
      </c>
      <c r="H97" s="54">
        <f t="shared" si="122"/>
        <v>566.77499999999998</v>
      </c>
      <c r="I97" s="55">
        <f t="shared" si="123"/>
        <v>2267.1</v>
      </c>
      <c r="J97" s="56">
        <f t="shared" si="107"/>
        <v>1700.3249999999998</v>
      </c>
      <c r="K97" s="108">
        <f t="shared" si="124"/>
        <v>255.01687289088861</v>
      </c>
      <c r="L97" s="194" t="s">
        <v>1990</v>
      </c>
      <c r="M97" s="304"/>
    </row>
    <row r="98" spans="1:13" ht="16.5" customHeight="1" x14ac:dyDescent="0.25">
      <c r="A98" s="49" t="s">
        <v>112</v>
      </c>
      <c r="B98" s="50" t="s">
        <v>113</v>
      </c>
      <c r="C98" s="47">
        <v>8.89</v>
      </c>
      <c r="D98" s="52">
        <v>1133.58</v>
      </c>
      <c r="E98" s="53">
        <f t="shared" si="102"/>
        <v>566.79</v>
      </c>
      <c r="F98" s="41">
        <f t="shared" si="121"/>
        <v>1700.37</v>
      </c>
      <c r="G98" s="53">
        <f t="shared" si="104"/>
        <v>1275.2774999999999</v>
      </c>
      <c r="H98" s="54">
        <f t="shared" si="122"/>
        <v>566.79</v>
      </c>
      <c r="I98" s="55">
        <f t="shared" si="123"/>
        <v>2267.16</v>
      </c>
      <c r="J98" s="56">
        <f t="shared" si="107"/>
        <v>1700.37</v>
      </c>
      <c r="K98" s="108">
        <f t="shared" si="124"/>
        <v>255.02362204724406</v>
      </c>
      <c r="L98" s="194" t="s">
        <v>1990</v>
      </c>
      <c r="M98" s="304"/>
    </row>
    <row r="99" spans="1:13" ht="18" customHeight="1" x14ac:dyDescent="0.25">
      <c r="A99" s="65"/>
      <c r="B99" s="65"/>
      <c r="C99" s="57"/>
      <c r="D99" s="57"/>
      <c r="E99" s="57"/>
      <c r="F99" s="47"/>
      <c r="G99" s="57"/>
      <c r="H99" s="58"/>
      <c r="I99" s="199"/>
      <c r="J99" s="59"/>
      <c r="K99" s="108"/>
      <c r="L99" s="194"/>
      <c r="M99" s="304"/>
    </row>
    <row r="100" spans="1:13" ht="16.5" customHeight="1" x14ac:dyDescent="0.25">
      <c r="A100" s="49" t="s">
        <v>114</v>
      </c>
      <c r="B100" s="50" t="s">
        <v>115</v>
      </c>
      <c r="C100" s="52">
        <v>14.79</v>
      </c>
      <c r="D100" s="52">
        <v>1395.44</v>
      </c>
      <c r="E100" s="53">
        <f t="shared" si="102"/>
        <v>697.72</v>
      </c>
      <c r="F100" s="41">
        <f t="shared" ref="F100:F115" si="125">D100+E100</f>
        <v>2093.16</v>
      </c>
      <c r="G100" s="53">
        <f t="shared" si="104"/>
        <v>1569.87</v>
      </c>
      <c r="H100" s="54">
        <f t="shared" ref="H100:H115" si="126">D100*50%</f>
        <v>697.72</v>
      </c>
      <c r="I100" s="55">
        <f t="shared" ref="I100:I115" si="127">D100+(H100*2)</f>
        <v>2790.88</v>
      </c>
      <c r="J100" s="56">
        <f t="shared" si="107"/>
        <v>2093.16</v>
      </c>
      <c r="K100" s="108">
        <f t="shared" ref="K100:K115" si="128">I100/C100</f>
        <v>188.70047329276539</v>
      </c>
      <c r="L100" s="194" t="s">
        <v>1990</v>
      </c>
      <c r="M100" s="304"/>
    </row>
    <row r="101" spans="1:13" ht="16.5" customHeight="1" x14ac:dyDescent="0.25">
      <c r="A101" s="49" t="s">
        <v>116</v>
      </c>
      <c r="B101" s="50" t="s">
        <v>2078</v>
      </c>
      <c r="C101" s="52">
        <v>10.3</v>
      </c>
      <c r="D101" s="52">
        <v>926.07500000000005</v>
      </c>
      <c r="E101" s="53">
        <f t="shared" si="102"/>
        <v>463.03750000000002</v>
      </c>
      <c r="F101" s="41">
        <f t="shared" si="125"/>
        <v>1389.1125000000002</v>
      </c>
      <c r="G101" s="53">
        <f t="shared" si="104"/>
        <v>1041.8343750000001</v>
      </c>
      <c r="H101" s="54">
        <f t="shared" si="126"/>
        <v>463.03750000000002</v>
      </c>
      <c r="I101" s="55">
        <f t="shared" si="127"/>
        <v>1852.15</v>
      </c>
      <c r="J101" s="56">
        <f t="shared" si="107"/>
        <v>1389.1125000000002</v>
      </c>
      <c r="K101" s="108">
        <f t="shared" si="128"/>
        <v>179.82038834951456</v>
      </c>
      <c r="L101" s="194" t="s">
        <v>1984</v>
      </c>
      <c r="M101" s="304"/>
    </row>
    <row r="102" spans="1:13" ht="16.5" customHeight="1" x14ac:dyDescent="0.25">
      <c r="A102" s="49" t="s">
        <v>117</v>
      </c>
      <c r="B102" s="50" t="s">
        <v>2078</v>
      </c>
      <c r="C102" s="52">
        <v>10.3</v>
      </c>
      <c r="D102" s="52">
        <v>926.07500000000005</v>
      </c>
      <c r="E102" s="53">
        <f t="shared" si="102"/>
        <v>463.03750000000002</v>
      </c>
      <c r="F102" s="41">
        <f t="shared" si="125"/>
        <v>1389.1125000000002</v>
      </c>
      <c r="G102" s="53">
        <f t="shared" si="104"/>
        <v>1041.8343750000001</v>
      </c>
      <c r="H102" s="54">
        <f t="shared" si="126"/>
        <v>463.03750000000002</v>
      </c>
      <c r="I102" s="55">
        <f t="shared" si="127"/>
        <v>1852.15</v>
      </c>
      <c r="J102" s="56">
        <f t="shared" si="107"/>
        <v>1389.1125000000002</v>
      </c>
      <c r="K102" s="108">
        <f t="shared" si="128"/>
        <v>179.82038834951456</v>
      </c>
      <c r="L102" s="194" t="s">
        <v>1984</v>
      </c>
      <c r="M102" s="304"/>
    </row>
    <row r="103" spans="1:13" ht="16.5" customHeight="1" x14ac:dyDescent="0.25">
      <c r="A103" s="49" t="s">
        <v>118</v>
      </c>
      <c r="B103" s="50" t="s">
        <v>1558</v>
      </c>
      <c r="C103" s="52">
        <v>10.71</v>
      </c>
      <c r="D103" s="52">
        <v>962.86500000000001</v>
      </c>
      <c r="E103" s="53">
        <f t="shared" si="102"/>
        <v>481.4325</v>
      </c>
      <c r="F103" s="41">
        <f t="shared" si="125"/>
        <v>1444.2975000000001</v>
      </c>
      <c r="G103" s="53">
        <f t="shared" si="104"/>
        <v>1083.223125</v>
      </c>
      <c r="H103" s="54">
        <f t="shared" si="126"/>
        <v>481.4325</v>
      </c>
      <c r="I103" s="55">
        <f t="shared" si="127"/>
        <v>1925.73</v>
      </c>
      <c r="J103" s="56">
        <f t="shared" si="107"/>
        <v>1444.2975000000001</v>
      </c>
      <c r="K103" s="108">
        <f t="shared" si="128"/>
        <v>179.80672268907563</v>
      </c>
      <c r="L103" s="194" t="s">
        <v>1984</v>
      </c>
      <c r="M103" s="304"/>
    </row>
    <row r="104" spans="1:13" ht="16.5" customHeight="1" x14ac:dyDescent="0.25">
      <c r="A104" s="49" t="s">
        <v>119</v>
      </c>
      <c r="B104" s="50" t="s">
        <v>2029</v>
      </c>
      <c r="C104" s="52">
        <v>10.61</v>
      </c>
      <c r="D104" s="52">
        <v>769.33</v>
      </c>
      <c r="E104" s="53">
        <f t="shared" si="102"/>
        <v>384.66500000000002</v>
      </c>
      <c r="F104" s="41">
        <f t="shared" si="125"/>
        <v>1153.9950000000001</v>
      </c>
      <c r="G104" s="53">
        <f t="shared" si="104"/>
        <v>865.49625000000015</v>
      </c>
      <c r="H104" s="54">
        <f t="shared" si="126"/>
        <v>384.66500000000002</v>
      </c>
      <c r="I104" s="55">
        <f t="shared" si="127"/>
        <v>1538.66</v>
      </c>
      <c r="J104" s="56">
        <f t="shared" si="107"/>
        <v>1153.9950000000001</v>
      </c>
      <c r="K104" s="108">
        <f t="shared" si="128"/>
        <v>145.01979264844488</v>
      </c>
      <c r="L104" s="194" t="s">
        <v>1993</v>
      </c>
      <c r="M104" s="304"/>
    </row>
    <row r="105" spans="1:13" ht="16.5" customHeight="1" x14ac:dyDescent="0.25">
      <c r="A105" s="49" t="s">
        <v>120</v>
      </c>
      <c r="B105" s="50" t="s">
        <v>121</v>
      </c>
      <c r="C105" s="52">
        <v>10.51</v>
      </c>
      <c r="D105" s="52">
        <v>944.95</v>
      </c>
      <c r="E105" s="53">
        <f t="shared" si="102"/>
        <v>472.47500000000002</v>
      </c>
      <c r="F105" s="41">
        <f t="shared" si="125"/>
        <v>1417.4250000000002</v>
      </c>
      <c r="G105" s="53">
        <f t="shared" si="104"/>
        <v>1063.0687500000001</v>
      </c>
      <c r="H105" s="54">
        <f t="shared" si="126"/>
        <v>472.47500000000002</v>
      </c>
      <c r="I105" s="55">
        <f t="shared" si="127"/>
        <v>1889.9</v>
      </c>
      <c r="J105" s="56">
        <f t="shared" si="107"/>
        <v>1417.4250000000002</v>
      </c>
      <c r="K105" s="108">
        <f t="shared" si="128"/>
        <v>179.81921979067556</v>
      </c>
      <c r="L105" s="194" t="s">
        <v>1984</v>
      </c>
      <c r="M105" s="304"/>
    </row>
    <row r="106" spans="1:13" ht="16.5" customHeight="1" x14ac:dyDescent="0.25">
      <c r="A106" s="49" t="s">
        <v>122</v>
      </c>
      <c r="B106" s="50" t="s">
        <v>123</v>
      </c>
      <c r="C106" s="52">
        <v>32.174999999999997</v>
      </c>
      <c r="D106" s="52">
        <v>2223.3200000000002</v>
      </c>
      <c r="E106" s="53">
        <f t="shared" si="102"/>
        <v>1111.6600000000001</v>
      </c>
      <c r="F106" s="41">
        <f t="shared" si="125"/>
        <v>3334.9800000000005</v>
      </c>
      <c r="G106" s="53">
        <f t="shared" si="104"/>
        <v>2501.2350000000006</v>
      </c>
      <c r="H106" s="54">
        <f t="shared" si="126"/>
        <v>1111.6600000000001</v>
      </c>
      <c r="I106" s="55">
        <f t="shared" si="127"/>
        <v>4446.6400000000003</v>
      </c>
      <c r="J106" s="56">
        <f t="shared" si="107"/>
        <v>3334.9800000000005</v>
      </c>
      <c r="K106" s="108">
        <f t="shared" si="128"/>
        <v>138.20170940170942</v>
      </c>
      <c r="L106" s="194" t="s">
        <v>1994</v>
      </c>
      <c r="M106" s="304"/>
    </row>
    <row r="107" spans="1:13" ht="16.5" customHeight="1" x14ac:dyDescent="0.25">
      <c r="A107" s="49" t="s">
        <v>124</v>
      </c>
      <c r="B107" s="50" t="s">
        <v>125</v>
      </c>
      <c r="C107" s="52">
        <v>20.88</v>
      </c>
      <c r="D107" s="52">
        <v>1970.02</v>
      </c>
      <c r="E107" s="53">
        <f t="shared" si="102"/>
        <v>985.01</v>
      </c>
      <c r="F107" s="41">
        <f t="shared" si="125"/>
        <v>2955.0299999999997</v>
      </c>
      <c r="G107" s="53">
        <f t="shared" si="104"/>
        <v>2216.2725</v>
      </c>
      <c r="H107" s="54">
        <f t="shared" si="126"/>
        <v>985.01</v>
      </c>
      <c r="I107" s="55">
        <f t="shared" si="127"/>
        <v>3940.04</v>
      </c>
      <c r="J107" s="56">
        <f t="shared" si="107"/>
        <v>2955.0299999999997</v>
      </c>
      <c r="K107" s="108">
        <f t="shared" si="128"/>
        <v>188.69923371647511</v>
      </c>
      <c r="L107" s="194" t="s">
        <v>1984</v>
      </c>
      <c r="M107" s="304"/>
    </row>
    <row r="108" spans="1:13" ht="16.5" customHeight="1" x14ac:dyDescent="0.25">
      <c r="A108" s="49" t="s">
        <v>126</v>
      </c>
      <c r="B108" s="50" t="s">
        <v>127</v>
      </c>
      <c r="C108" s="52">
        <v>20.88</v>
      </c>
      <c r="D108" s="52">
        <v>1877.32</v>
      </c>
      <c r="E108" s="53">
        <f t="shared" si="102"/>
        <v>938.66</v>
      </c>
      <c r="F108" s="41">
        <f t="shared" si="125"/>
        <v>2815.98</v>
      </c>
      <c r="G108" s="53">
        <f t="shared" si="104"/>
        <v>2111.9850000000001</v>
      </c>
      <c r="H108" s="54">
        <f t="shared" si="126"/>
        <v>938.66</v>
      </c>
      <c r="I108" s="55">
        <f t="shared" si="127"/>
        <v>3754.64</v>
      </c>
      <c r="J108" s="56">
        <f t="shared" si="107"/>
        <v>2815.98</v>
      </c>
      <c r="K108" s="108">
        <f t="shared" si="128"/>
        <v>179.81992337164752</v>
      </c>
      <c r="L108" s="194" t="s">
        <v>1984</v>
      </c>
      <c r="M108" s="304"/>
    </row>
    <row r="109" spans="1:13" ht="16.5" customHeight="1" x14ac:dyDescent="0.25">
      <c r="A109" s="49" t="s">
        <v>128</v>
      </c>
      <c r="B109" s="50" t="s">
        <v>129</v>
      </c>
      <c r="C109" s="47">
        <v>8.6</v>
      </c>
      <c r="D109" s="52">
        <v>1095.9849999999999</v>
      </c>
      <c r="E109" s="53">
        <f t="shared" si="102"/>
        <v>547.99249999999995</v>
      </c>
      <c r="F109" s="41">
        <f t="shared" si="125"/>
        <v>1643.9775</v>
      </c>
      <c r="G109" s="53">
        <f t="shared" si="104"/>
        <v>1232.983125</v>
      </c>
      <c r="H109" s="54">
        <f t="shared" si="126"/>
        <v>547.99249999999995</v>
      </c>
      <c r="I109" s="55">
        <f t="shared" si="127"/>
        <v>2191.9699999999998</v>
      </c>
      <c r="J109" s="56">
        <f t="shared" si="107"/>
        <v>1643.9775</v>
      </c>
      <c r="K109" s="108">
        <f t="shared" si="128"/>
        <v>254.88023255813951</v>
      </c>
      <c r="L109" s="194" t="s">
        <v>1984</v>
      </c>
      <c r="M109" s="304"/>
    </row>
    <row r="110" spans="1:13" ht="16.5" customHeight="1" x14ac:dyDescent="0.25">
      <c r="A110" s="49" t="s">
        <v>130</v>
      </c>
      <c r="B110" s="50" t="s">
        <v>131</v>
      </c>
      <c r="C110" s="47">
        <v>8.6</v>
      </c>
      <c r="D110" s="52">
        <v>1095.9849999999999</v>
      </c>
      <c r="E110" s="53">
        <f t="shared" si="102"/>
        <v>547.99249999999995</v>
      </c>
      <c r="F110" s="41">
        <f t="shared" si="125"/>
        <v>1643.9775</v>
      </c>
      <c r="G110" s="53">
        <f t="shared" si="104"/>
        <v>1232.983125</v>
      </c>
      <c r="H110" s="54">
        <f t="shared" si="126"/>
        <v>547.99249999999995</v>
      </c>
      <c r="I110" s="55">
        <f t="shared" si="127"/>
        <v>2191.9699999999998</v>
      </c>
      <c r="J110" s="56">
        <f t="shared" si="107"/>
        <v>1643.9775</v>
      </c>
      <c r="K110" s="108">
        <f t="shared" si="128"/>
        <v>254.88023255813951</v>
      </c>
      <c r="L110" s="194" t="s">
        <v>1984</v>
      </c>
      <c r="M110" s="304"/>
    </row>
    <row r="111" spans="1:13" ht="16.5" customHeight="1" x14ac:dyDescent="0.25">
      <c r="A111" s="49" t="s">
        <v>132</v>
      </c>
      <c r="B111" s="50" t="s">
        <v>1580</v>
      </c>
      <c r="C111" s="47">
        <v>8.51</v>
      </c>
      <c r="D111" s="52">
        <v>823.375</v>
      </c>
      <c r="E111" s="53">
        <f t="shared" si="102"/>
        <v>411.6875</v>
      </c>
      <c r="F111" s="41">
        <f t="shared" si="125"/>
        <v>1235.0625</v>
      </c>
      <c r="G111" s="53">
        <f t="shared" si="104"/>
        <v>926.296875</v>
      </c>
      <c r="H111" s="54">
        <f t="shared" si="126"/>
        <v>411.6875</v>
      </c>
      <c r="I111" s="55">
        <f t="shared" si="127"/>
        <v>1646.75</v>
      </c>
      <c r="J111" s="56">
        <f t="shared" si="107"/>
        <v>1235.0625</v>
      </c>
      <c r="K111" s="108">
        <f t="shared" si="128"/>
        <v>193.50763807285546</v>
      </c>
      <c r="L111" s="194" t="s">
        <v>1990</v>
      </c>
      <c r="M111" s="304"/>
    </row>
    <row r="112" spans="1:13" ht="16.5" customHeight="1" x14ac:dyDescent="0.25">
      <c r="A112" s="49" t="s">
        <v>133</v>
      </c>
      <c r="B112" s="50" t="s">
        <v>1579</v>
      </c>
      <c r="C112" s="47">
        <v>8.51</v>
      </c>
      <c r="D112" s="52">
        <v>823.38</v>
      </c>
      <c r="E112" s="53">
        <f t="shared" si="102"/>
        <v>411.69</v>
      </c>
      <c r="F112" s="41">
        <f t="shared" si="125"/>
        <v>1235.07</v>
      </c>
      <c r="G112" s="53">
        <f t="shared" si="104"/>
        <v>926.30250000000001</v>
      </c>
      <c r="H112" s="54">
        <f t="shared" si="126"/>
        <v>411.69</v>
      </c>
      <c r="I112" s="55">
        <f t="shared" si="127"/>
        <v>1646.76</v>
      </c>
      <c r="J112" s="56">
        <f t="shared" si="107"/>
        <v>1235.07</v>
      </c>
      <c r="K112" s="108">
        <f t="shared" si="128"/>
        <v>193.50881316098707</v>
      </c>
      <c r="L112" s="194" t="s">
        <v>1990</v>
      </c>
      <c r="M112" s="304"/>
    </row>
    <row r="113" spans="1:13" ht="16.5" customHeight="1" x14ac:dyDescent="0.25">
      <c r="A113" s="49" t="s">
        <v>134</v>
      </c>
      <c r="B113" s="50" t="s">
        <v>1703</v>
      </c>
      <c r="C113" s="47">
        <v>8.6</v>
      </c>
      <c r="D113" s="52">
        <v>1095.98</v>
      </c>
      <c r="E113" s="53">
        <f t="shared" si="102"/>
        <v>547.99</v>
      </c>
      <c r="F113" s="41">
        <f t="shared" si="125"/>
        <v>1643.97</v>
      </c>
      <c r="G113" s="53">
        <f t="shared" si="104"/>
        <v>1232.9775</v>
      </c>
      <c r="H113" s="54">
        <f t="shared" si="126"/>
        <v>547.99</v>
      </c>
      <c r="I113" s="55">
        <f t="shared" si="127"/>
        <v>2191.96</v>
      </c>
      <c r="J113" s="56">
        <f t="shared" si="107"/>
        <v>1643.97</v>
      </c>
      <c r="K113" s="108">
        <f t="shared" si="128"/>
        <v>254.87906976744188</v>
      </c>
      <c r="L113" s="194" t="s">
        <v>1984</v>
      </c>
      <c r="M113" s="304"/>
    </row>
    <row r="114" spans="1:13" ht="16.5" customHeight="1" x14ac:dyDescent="0.25">
      <c r="A114" s="49" t="s">
        <v>135</v>
      </c>
      <c r="B114" s="50" t="s">
        <v>136</v>
      </c>
      <c r="C114" s="47">
        <v>8.6</v>
      </c>
      <c r="D114" s="52">
        <v>833.6</v>
      </c>
      <c r="E114" s="53">
        <f t="shared" si="102"/>
        <v>416.8</v>
      </c>
      <c r="F114" s="41">
        <f t="shared" si="125"/>
        <v>1250.4000000000001</v>
      </c>
      <c r="G114" s="53">
        <f t="shared" si="104"/>
        <v>937.80000000000007</v>
      </c>
      <c r="H114" s="54">
        <f t="shared" si="126"/>
        <v>416.8</v>
      </c>
      <c r="I114" s="55">
        <f t="shared" si="127"/>
        <v>1667.2</v>
      </c>
      <c r="J114" s="56">
        <f t="shared" si="107"/>
        <v>1250.4000000000001</v>
      </c>
      <c r="K114" s="108">
        <f t="shared" si="128"/>
        <v>193.86046511627907</v>
      </c>
      <c r="L114" s="194" t="s">
        <v>1994</v>
      </c>
      <c r="M114" s="304"/>
    </row>
    <row r="115" spans="1:13" ht="16.5" customHeight="1" x14ac:dyDescent="0.25">
      <c r="A115" s="49" t="s">
        <v>137</v>
      </c>
      <c r="B115" s="50" t="s">
        <v>113</v>
      </c>
      <c r="C115" s="47">
        <v>8.6</v>
      </c>
      <c r="D115" s="52">
        <v>1766.32</v>
      </c>
      <c r="E115" s="53">
        <f t="shared" si="102"/>
        <v>883.16</v>
      </c>
      <c r="F115" s="41">
        <f t="shared" si="125"/>
        <v>2649.48</v>
      </c>
      <c r="G115" s="53">
        <f t="shared" si="104"/>
        <v>1987.1100000000001</v>
      </c>
      <c r="H115" s="54">
        <f t="shared" si="126"/>
        <v>883.16</v>
      </c>
      <c r="I115" s="55">
        <f t="shared" si="127"/>
        <v>3532.64</v>
      </c>
      <c r="J115" s="56">
        <f t="shared" si="107"/>
        <v>2649.48</v>
      </c>
      <c r="K115" s="108">
        <f t="shared" si="128"/>
        <v>410.77209302325582</v>
      </c>
      <c r="L115" s="194" t="s">
        <v>1984</v>
      </c>
      <c r="M115" s="304"/>
    </row>
    <row r="116" spans="1:13" ht="18" customHeight="1" x14ac:dyDescent="0.25">
      <c r="A116" s="65"/>
      <c r="B116" s="65"/>
      <c r="C116" s="57"/>
      <c r="D116" s="57"/>
      <c r="E116" s="57"/>
      <c r="F116" s="47"/>
      <c r="G116" s="57"/>
      <c r="H116" s="58"/>
      <c r="I116" s="199"/>
      <c r="J116" s="59"/>
      <c r="K116" s="108"/>
      <c r="L116" s="194"/>
      <c r="M116" s="304"/>
    </row>
    <row r="117" spans="1:13" ht="17.25" customHeight="1" x14ac:dyDescent="0.25">
      <c r="A117" s="49" t="s">
        <v>138</v>
      </c>
      <c r="B117" s="50" t="s">
        <v>1734</v>
      </c>
      <c r="C117" s="47">
        <v>13.44</v>
      </c>
      <c r="D117" s="52">
        <v>2136.15</v>
      </c>
      <c r="E117" s="53">
        <f t="shared" si="102"/>
        <v>1068.075</v>
      </c>
      <c r="F117" s="41">
        <f t="shared" ref="F117:F125" si="129">D117+E117</f>
        <v>3204.2250000000004</v>
      </c>
      <c r="G117" s="53">
        <f t="shared" si="104"/>
        <v>2403.1687500000003</v>
      </c>
      <c r="H117" s="54">
        <f t="shared" ref="H117:H125" si="130">D117*50%</f>
        <v>1068.075</v>
      </c>
      <c r="I117" s="55">
        <f t="shared" ref="I117:I125" si="131">D117+(H117*2)</f>
        <v>4272.3</v>
      </c>
      <c r="J117" s="56">
        <f t="shared" si="107"/>
        <v>3204.2250000000004</v>
      </c>
      <c r="K117" s="108">
        <f t="shared" ref="K117:K125" si="132">I117/C117</f>
        <v>317.87946428571433</v>
      </c>
      <c r="L117" s="194" t="s">
        <v>1991</v>
      </c>
      <c r="M117" s="304" t="s">
        <v>2305</v>
      </c>
    </row>
    <row r="118" spans="1:13" ht="17.25" customHeight="1" x14ac:dyDescent="0.25">
      <c r="A118" s="49" t="s">
        <v>139</v>
      </c>
      <c r="B118" s="50" t="s">
        <v>1545</v>
      </c>
      <c r="C118" s="47">
        <v>11.95</v>
      </c>
      <c r="D118" s="52">
        <v>1899.335</v>
      </c>
      <c r="E118" s="53">
        <f t="shared" si="102"/>
        <v>949.66750000000002</v>
      </c>
      <c r="F118" s="41">
        <f t="shared" si="129"/>
        <v>2849.0025000000001</v>
      </c>
      <c r="G118" s="53">
        <f t="shared" si="104"/>
        <v>2136.7518749999999</v>
      </c>
      <c r="H118" s="54">
        <f t="shared" si="130"/>
        <v>949.66750000000002</v>
      </c>
      <c r="I118" s="55">
        <f t="shared" si="131"/>
        <v>3798.67</v>
      </c>
      <c r="J118" s="56">
        <f t="shared" si="107"/>
        <v>2849.0025000000001</v>
      </c>
      <c r="K118" s="108">
        <f t="shared" si="132"/>
        <v>317.88033472803352</v>
      </c>
      <c r="L118" s="194" t="s">
        <v>1978</v>
      </c>
      <c r="M118" s="304" t="s">
        <v>2305</v>
      </c>
    </row>
    <row r="119" spans="1:13" ht="17.25" customHeight="1" x14ac:dyDescent="0.25">
      <c r="A119" s="49" t="s">
        <v>140</v>
      </c>
      <c r="B119" s="50" t="s">
        <v>1377</v>
      </c>
      <c r="C119" s="47">
        <v>11.8</v>
      </c>
      <c r="D119" s="47">
        <v>1875.49</v>
      </c>
      <c r="E119" s="53">
        <f t="shared" si="102"/>
        <v>937.745</v>
      </c>
      <c r="F119" s="41">
        <f t="shared" si="129"/>
        <v>2813.2350000000001</v>
      </c>
      <c r="G119" s="53">
        <f t="shared" si="104"/>
        <v>2109.92625</v>
      </c>
      <c r="H119" s="54">
        <f t="shared" si="130"/>
        <v>937.745</v>
      </c>
      <c r="I119" s="55">
        <f t="shared" si="131"/>
        <v>3750.98</v>
      </c>
      <c r="J119" s="56">
        <f t="shared" si="107"/>
        <v>2813.2350000000001</v>
      </c>
      <c r="K119" s="108">
        <f t="shared" si="132"/>
        <v>317.87966101694911</v>
      </c>
      <c r="L119" s="194" t="s">
        <v>1991</v>
      </c>
      <c r="M119" s="304" t="s">
        <v>2305</v>
      </c>
    </row>
    <row r="120" spans="1:13" ht="17.25" customHeight="1" x14ac:dyDescent="0.25">
      <c r="A120" s="49" t="s">
        <v>141</v>
      </c>
      <c r="B120" s="50" t="s">
        <v>142</v>
      </c>
      <c r="C120" s="47">
        <v>12.18</v>
      </c>
      <c r="D120" s="52">
        <v>1935.89</v>
      </c>
      <c r="E120" s="53">
        <f t="shared" si="102"/>
        <v>967.94500000000005</v>
      </c>
      <c r="F120" s="41">
        <f t="shared" si="129"/>
        <v>2903.835</v>
      </c>
      <c r="G120" s="53">
        <f t="shared" si="104"/>
        <v>2177.8762500000003</v>
      </c>
      <c r="H120" s="54">
        <f t="shared" si="130"/>
        <v>967.94500000000005</v>
      </c>
      <c r="I120" s="55">
        <f t="shared" si="131"/>
        <v>3871.78</v>
      </c>
      <c r="J120" s="56">
        <f t="shared" si="107"/>
        <v>2903.835</v>
      </c>
      <c r="K120" s="108">
        <f t="shared" si="132"/>
        <v>317.88013136288998</v>
      </c>
      <c r="L120" s="194" t="s">
        <v>1991</v>
      </c>
      <c r="M120" s="304" t="s">
        <v>2305</v>
      </c>
    </row>
    <row r="121" spans="1:13" ht="17.25" customHeight="1" x14ac:dyDescent="0.25">
      <c r="A121" s="49" t="s">
        <v>143</v>
      </c>
      <c r="B121" s="50" t="s">
        <v>1844</v>
      </c>
      <c r="C121" s="47">
        <v>11.6</v>
      </c>
      <c r="D121" s="52">
        <v>1843.7</v>
      </c>
      <c r="E121" s="53">
        <f t="shared" si="102"/>
        <v>921.85</v>
      </c>
      <c r="F121" s="41">
        <f t="shared" si="129"/>
        <v>2765.55</v>
      </c>
      <c r="G121" s="53">
        <f t="shared" si="104"/>
        <v>2074.1625000000004</v>
      </c>
      <c r="H121" s="54">
        <f t="shared" si="130"/>
        <v>921.85</v>
      </c>
      <c r="I121" s="55">
        <f t="shared" si="131"/>
        <v>3687.4</v>
      </c>
      <c r="J121" s="56">
        <f t="shared" si="107"/>
        <v>2765.55</v>
      </c>
      <c r="K121" s="108">
        <f t="shared" si="132"/>
        <v>317.87931034482762</v>
      </c>
      <c r="L121" s="194" t="s">
        <v>1981</v>
      </c>
      <c r="M121" s="304" t="s">
        <v>2305</v>
      </c>
    </row>
    <row r="122" spans="1:13" ht="17.25" customHeight="1" x14ac:dyDescent="0.25">
      <c r="A122" s="49" t="s">
        <v>144</v>
      </c>
      <c r="B122" s="50" t="s">
        <v>1360</v>
      </c>
      <c r="C122" s="47">
        <v>11.6</v>
      </c>
      <c r="D122" s="52">
        <v>1843.7</v>
      </c>
      <c r="E122" s="53">
        <f t="shared" si="102"/>
        <v>921.85</v>
      </c>
      <c r="F122" s="41">
        <f t="shared" si="129"/>
        <v>2765.55</v>
      </c>
      <c r="G122" s="53">
        <f t="shared" si="104"/>
        <v>2074.1625000000004</v>
      </c>
      <c r="H122" s="54">
        <f t="shared" si="130"/>
        <v>921.85</v>
      </c>
      <c r="I122" s="55">
        <f t="shared" si="131"/>
        <v>3687.4</v>
      </c>
      <c r="J122" s="56">
        <f t="shared" si="107"/>
        <v>2765.55</v>
      </c>
      <c r="K122" s="108">
        <f t="shared" si="132"/>
        <v>317.87931034482762</v>
      </c>
      <c r="L122" s="194" t="s">
        <v>1995</v>
      </c>
      <c r="M122" s="304" t="s">
        <v>2305</v>
      </c>
    </row>
    <row r="123" spans="1:13" ht="17.25" customHeight="1" x14ac:dyDescent="0.25">
      <c r="A123" s="49" t="s">
        <v>145</v>
      </c>
      <c r="B123" s="50" t="s">
        <v>146</v>
      </c>
      <c r="C123" s="47">
        <v>7.8</v>
      </c>
      <c r="D123" s="52">
        <v>756.05</v>
      </c>
      <c r="E123" s="53">
        <f t="shared" si="102"/>
        <v>378.02499999999998</v>
      </c>
      <c r="F123" s="41">
        <f t="shared" si="129"/>
        <v>1134.0749999999998</v>
      </c>
      <c r="G123" s="53">
        <f t="shared" si="104"/>
        <v>850.55624999999986</v>
      </c>
      <c r="H123" s="54">
        <f t="shared" si="130"/>
        <v>378.02499999999998</v>
      </c>
      <c r="I123" s="55">
        <f t="shared" si="131"/>
        <v>1512.1</v>
      </c>
      <c r="J123" s="56">
        <f t="shared" si="107"/>
        <v>1134.0749999999998</v>
      </c>
      <c r="K123" s="108">
        <f t="shared" si="132"/>
        <v>193.85897435897436</v>
      </c>
      <c r="L123" s="194" t="s">
        <v>1978</v>
      </c>
      <c r="M123" s="304" t="s">
        <v>2305</v>
      </c>
    </row>
    <row r="124" spans="1:13" ht="17.25" customHeight="1" x14ac:dyDescent="0.25">
      <c r="A124" s="49" t="s">
        <v>147</v>
      </c>
      <c r="B124" s="50" t="s">
        <v>148</v>
      </c>
      <c r="C124" s="47">
        <v>7.8</v>
      </c>
      <c r="D124" s="52">
        <v>756.05</v>
      </c>
      <c r="E124" s="53">
        <f t="shared" si="102"/>
        <v>378.02499999999998</v>
      </c>
      <c r="F124" s="41">
        <f t="shared" si="129"/>
        <v>1134.0749999999998</v>
      </c>
      <c r="G124" s="53">
        <f t="shared" si="104"/>
        <v>850.55624999999986</v>
      </c>
      <c r="H124" s="54">
        <f t="shared" si="130"/>
        <v>378.02499999999998</v>
      </c>
      <c r="I124" s="55">
        <f t="shared" si="131"/>
        <v>1512.1</v>
      </c>
      <c r="J124" s="56">
        <f t="shared" si="107"/>
        <v>1134.0749999999998</v>
      </c>
      <c r="K124" s="108">
        <f t="shared" si="132"/>
        <v>193.85897435897436</v>
      </c>
      <c r="L124" s="194" t="s">
        <v>1978</v>
      </c>
      <c r="M124" s="304" t="s">
        <v>2305</v>
      </c>
    </row>
    <row r="125" spans="1:13" ht="17.25" customHeight="1" x14ac:dyDescent="0.25">
      <c r="A125" s="49" t="s">
        <v>149</v>
      </c>
      <c r="B125" s="50" t="s">
        <v>150</v>
      </c>
      <c r="C125" s="47">
        <v>7.8</v>
      </c>
      <c r="D125" s="52">
        <v>1239.7449999999999</v>
      </c>
      <c r="E125" s="53">
        <f t="shared" si="102"/>
        <v>619.87249999999995</v>
      </c>
      <c r="F125" s="41">
        <f t="shared" si="129"/>
        <v>1859.6174999999998</v>
      </c>
      <c r="G125" s="53">
        <f t="shared" si="104"/>
        <v>1394.7131249999998</v>
      </c>
      <c r="H125" s="54">
        <f t="shared" si="130"/>
        <v>619.87249999999995</v>
      </c>
      <c r="I125" s="55">
        <f t="shared" si="131"/>
        <v>2479.4899999999998</v>
      </c>
      <c r="J125" s="56">
        <f t="shared" si="107"/>
        <v>1859.6174999999998</v>
      </c>
      <c r="K125" s="108">
        <f t="shared" si="132"/>
        <v>317.88333333333333</v>
      </c>
      <c r="L125" s="194" t="s">
        <v>1978</v>
      </c>
      <c r="M125" s="304" t="s">
        <v>2305</v>
      </c>
    </row>
    <row r="126" spans="1:13" ht="18" customHeight="1" x14ac:dyDescent="0.25">
      <c r="A126" s="49"/>
      <c r="B126" s="50"/>
      <c r="C126" s="47"/>
      <c r="D126" s="52"/>
      <c r="E126" s="57"/>
      <c r="F126" s="47"/>
      <c r="G126" s="57"/>
      <c r="H126" s="58"/>
      <c r="I126" s="199"/>
      <c r="J126" s="59"/>
      <c r="K126" s="108"/>
      <c r="L126" s="194"/>
      <c r="M126" s="304"/>
    </row>
    <row r="127" spans="1:13" ht="15.75" customHeight="1" x14ac:dyDescent="0.25">
      <c r="A127" s="49" t="s">
        <v>151</v>
      </c>
      <c r="B127" s="50" t="s">
        <v>1887</v>
      </c>
      <c r="C127" s="47">
        <v>23.1</v>
      </c>
      <c r="D127" s="52">
        <v>4484.3</v>
      </c>
      <c r="E127" s="53">
        <f t="shared" si="102"/>
        <v>2242.15</v>
      </c>
      <c r="F127" s="41">
        <f t="shared" ref="F127:F134" si="133">D127+E127</f>
        <v>6726.4500000000007</v>
      </c>
      <c r="G127" s="53">
        <f t="shared" si="104"/>
        <v>5044.8375000000005</v>
      </c>
      <c r="H127" s="54">
        <f t="shared" ref="H127:H134" si="134">D127*50%</f>
        <v>2242.15</v>
      </c>
      <c r="I127" s="55">
        <f t="shared" ref="I127:I134" si="135">D127+(H127*2)</f>
        <v>8968.6</v>
      </c>
      <c r="J127" s="56">
        <f t="shared" si="107"/>
        <v>6726.4500000000007</v>
      </c>
      <c r="K127" s="108">
        <f t="shared" ref="K127:K134" si="136">I127/C127</f>
        <v>388.25108225108227</v>
      </c>
      <c r="L127" s="194" t="s">
        <v>1996</v>
      </c>
      <c r="M127" s="304"/>
    </row>
    <row r="128" spans="1:13" ht="15.75" customHeight="1" x14ac:dyDescent="0.25">
      <c r="A128" s="49" t="s">
        <v>152</v>
      </c>
      <c r="B128" s="50" t="s">
        <v>2030</v>
      </c>
      <c r="C128" s="47">
        <v>23.1</v>
      </c>
      <c r="D128" s="52">
        <v>6724.87</v>
      </c>
      <c r="E128" s="53">
        <f t="shared" si="102"/>
        <v>3362.4349999999999</v>
      </c>
      <c r="F128" s="41">
        <f t="shared" si="133"/>
        <v>10087.305</v>
      </c>
      <c r="G128" s="53">
        <f t="shared" si="104"/>
        <v>7565.4787500000002</v>
      </c>
      <c r="H128" s="54">
        <f t="shared" si="134"/>
        <v>3362.4349999999999</v>
      </c>
      <c r="I128" s="55">
        <f t="shared" si="135"/>
        <v>13449.74</v>
      </c>
      <c r="J128" s="56">
        <f t="shared" si="107"/>
        <v>10087.305</v>
      </c>
      <c r="K128" s="108">
        <f t="shared" si="136"/>
        <v>582.23982683982683</v>
      </c>
      <c r="L128" s="194" t="s">
        <v>1992</v>
      </c>
      <c r="M128" s="304"/>
    </row>
    <row r="129" spans="1:13" ht="15.75" customHeight="1" x14ac:dyDescent="0.25">
      <c r="A129" s="49" t="s">
        <v>153</v>
      </c>
      <c r="B129" s="50" t="s">
        <v>154</v>
      </c>
      <c r="C129" s="47">
        <v>9.8800000000000008</v>
      </c>
      <c r="D129" s="52">
        <v>976.245</v>
      </c>
      <c r="E129" s="53">
        <f t="shared" si="102"/>
        <v>488.1225</v>
      </c>
      <c r="F129" s="41">
        <f t="shared" si="133"/>
        <v>1464.3675000000001</v>
      </c>
      <c r="G129" s="53">
        <f t="shared" si="104"/>
        <v>1098.275625</v>
      </c>
      <c r="H129" s="54">
        <f t="shared" si="134"/>
        <v>488.1225</v>
      </c>
      <c r="I129" s="55">
        <f t="shared" si="135"/>
        <v>1952.49</v>
      </c>
      <c r="J129" s="56">
        <f t="shared" si="107"/>
        <v>1464.3675000000001</v>
      </c>
      <c r="K129" s="108">
        <f t="shared" si="136"/>
        <v>197.62044534412954</v>
      </c>
      <c r="L129" s="194" t="s">
        <v>1988</v>
      </c>
      <c r="M129" s="304"/>
    </row>
    <row r="130" spans="1:13" ht="15.75" customHeight="1" x14ac:dyDescent="0.25">
      <c r="A130" s="49" t="s">
        <v>155</v>
      </c>
      <c r="B130" s="50" t="s">
        <v>1378</v>
      </c>
      <c r="C130" s="47">
        <v>9.68</v>
      </c>
      <c r="D130" s="56">
        <v>956.81</v>
      </c>
      <c r="E130" s="53">
        <f t="shared" si="102"/>
        <v>478.40499999999997</v>
      </c>
      <c r="F130" s="41">
        <f t="shared" si="133"/>
        <v>1435.2149999999999</v>
      </c>
      <c r="G130" s="53">
        <f t="shared" si="104"/>
        <v>1076.4112499999999</v>
      </c>
      <c r="H130" s="54">
        <f t="shared" si="134"/>
        <v>478.40499999999997</v>
      </c>
      <c r="I130" s="55">
        <f t="shared" si="135"/>
        <v>1913.62</v>
      </c>
      <c r="J130" s="56">
        <f t="shared" si="107"/>
        <v>1435.2149999999999</v>
      </c>
      <c r="K130" s="108">
        <f t="shared" si="136"/>
        <v>197.6880165289256</v>
      </c>
      <c r="L130" s="194" t="s">
        <v>1984</v>
      </c>
      <c r="M130" s="304"/>
    </row>
    <row r="131" spans="1:13" ht="15.75" customHeight="1" x14ac:dyDescent="0.25">
      <c r="A131" s="49" t="s">
        <v>156</v>
      </c>
      <c r="B131" s="50" t="s">
        <v>157</v>
      </c>
      <c r="C131" s="47">
        <v>9.8800000000000008</v>
      </c>
      <c r="D131" s="52">
        <v>976.245</v>
      </c>
      <c r="E131" s="53">
        <f t="shared" si="102"/>
        <v>488.1225</v>
      </c>
      <c r="F131" s="41">
        <f t="shared" si="133"/>
        <v>1464.3675000000001</v>
      </c>
      <c r="G131" s="53">
        <f t="shared" si="104"/>
        <v>1098.275625</v>
      </c>
      <c r="H131" s="54">
        <f t="shared" si="134"/>
        <v>488.1225</v>
      </c>
      <c r="I131" s="55">
        <f t="shared" si="135"/>
        <v>1952.49</v>
      </c>
      <c r="J131" s="56">
        <f t="shared" si="107"/>
        <v>1464.3675000000001</v>
      </c>
      <c r="K131" s="108">
        <f t="shared" si="136"/>
        <v>197.62044534412954</v>
      </c>
      <c r="L131" s="194" t="s">
        <v>1988</v>
      </c>
      <c r="M131" s="304"/>
    </row>
    <row r="132" spans="1:13" ht="15.75" customHeight="1" x14ac:dyDescent="0.25">
      <c r="A132" s="49" t="s">
        <v>158</v>
      </c>
      <c r="B132" s="50" t="s">
        <v>159</v>
      </c>
      <c r="C132" s="47">
        <v>9.68</v>
      </c>
      <c r="D132" s="52">
        <v>956.81</v>
      </c>
      <c r="E132" s="53">
        <f t="shared" si="102"/>
        <v>478.40499999999997</v>
      </c>
      <c r="F132" s="41">
        <f t="shared" si="133"/>
        <v>1435.2149999999999</v>
      </c>
      <c r="G132" s="53">
        <f t="shared" si="104"/>
        <v>1076.4112499999999</v>
      </c>
      <c r="H132" s="54">
        <f t="shared" si="134"/>
        <v>478.40499999999997</v>
      </c>
      <c r="I132" s="55">
        <f t="shared" si="135"/>
        <v>1913.62</v>
      </c>
      <c r="J132" s="56">
        <f t="shared" si="107"/>
        <v>1435.2149999999999</v>
      </c>
      <c r="K132" s="108">
        <f t="shared" si="136"/>
        <v>197.6880165289256</v>
      </c>
      <c r="L132" s="194" t="s">
        <v>1984</v>
      </c>
      <c r="M132" s="304"/>
    </row>
    <row r="133" spans="1:13" ht="15.75" customHeight="1" x14ac:dyDescent="0.25">
      <c r="A133" s="49" t="s">
        <v>160</v>
      </c>
      <c r="B133" s="50" t="s">
        <v>157</v>
      </c>
      <c r="C133" s="47">
        <v>9.8800000000000008</v>
      </c>
      <c r="D133" s="52">
        <v>976.245</v>
      </c>
      <c r="E133" s="53">
        <f t="shared" si="102"/>
        <v>488.1225</v>
      </c>
      <c r="F133" s="41">
        <f t="shared" si="133"/>
        <v>1464.3675000000001</v>
      </c>
      <c r="G133" s="53">
        <f t="shared" si="104"/>
        <v>1098.275625</v>
      </c>
      <c r="H133" s="54">
        <f t="shared" si="134"/>
        <v>488.1225</v>
      </c>
      <c r="I133" s="55">
        <f t="shared" si="135"/>
        <v>1952.49</v>
      </c>
      <c r="J133" s="56">
        <f t="shared" si="107"/>
        <v>1464.3675000000001</v>
      </c>
      <c r="K133" s="108">
        <f t="shared" si="136"/>
        <v>197.62044534412954</v>
      </c>
      <c r="L133" s="194" t="s">
        <v>1988</v>
      </c>
      <c r="M133" s="304"/>
    </row>
    <row r="134" spans="1:13" ht="15.75" customHeight="1" x14ac:dyDescent="0.25">
      <c r="A134" s="49" t="s">
        <v>161</v>
      </c>
      <c r="B134" s="50" t="s">
        <v>159</v>
      </c>
      <c r="C134" s="47">
        <v>9.68</v>
      </c>
      <c r="D134" s="52">
        <v>956.81</v>
      </c>
      <c r="E134" s="53">
        <f t="shared" si="102"/>
        <v>478.40499999999997</v>
      </c>
      <c r="F134" s="41">
        <f t="shared" si="133"/>
        <v>1435.2149999999999</v>
      </c>
      <c r="G134" s="53">
        <f t="shared" si="104"/>
        <v>1076.4112499999999</v>
      </c>
      <c r="H134" s="54">
        <f t="shared" si="134"/>
        <v>478.40499999999997</v>
      </c>
      <c r="I134" s="55">
        <f t="shared" si="135"/>
        <v>1913.62</v>
      </c>
      <c r="J134" s="56">
        <f t="shared" si="107"/>
        <v>1435.2149999999999</v>
      </c>
      <c r="K134" s="108">
        <f t="shared" si="136"/>
        <v>197.6880165289256</v>
      </c>
      <c r="L134" s="194" t="s">
        <v>1984</v>
      </c>
      <c r="M134" s="304"/>
    </row>
    <row r="135" spans="1:13" ht="18" customHeight="1" x14ac:dyDescent="0.25">
      <c r="A135" s="65"/>
      <c r="B135" s="65"/>
      <c r="C135" s="57"/>
      <c r="D135" s="57"/>
      <c r="E135" s="57"/>
      <c r="F135" s="47"/>
      <c r="G135" s="57"/>
      <c r="H135" s="58"/>
      <c r="I135" s="199"/>
      <c r="J135" s="59"/>
      <c r="K135" s="108"/>
      <c r="L135" s="194"/>
      <c r="M135" s="304"/>
    </row>
    <row r="136" spans="1:13" ht="18" customHeight="1" x14ac:dyDescent="0.25">
      <c r="A136" s="49" t="s">
        <v>162</v>
      </c>
      <c r="B136" s="50" t="s">
        <v>157</v>
      </c>
      <c r="C136" s="52">
        <v>5.29</v>
      </c>
      <c r="D136" s="52">
        <v>542.59</v>
      </c>
      <c r="E136" s="53">
        <f t="shared" ref="E136" si="137">D136*50%</f>
        <v>271.29500000000002</v>
      </c>
      <c r="F136" s="41">
        <f t="shared" ref="F136" si="138">D136+E136</f>
        <v>813.88499999999999</v>
      </c>
      <c r="G136" s="53">
        <f t="shared" ref="G136" si="139">F136-(F136*25%)</f>
        <v>610.41374999999994</v>
      </c>
      <c r="H136" s="54">
        <f t="shared" ref="H136" si="140">D136*50%</f>
        <v>271.29500000000002</v>
      </c>
      <c r="I136" s="55">
        <f t="shared" ref="I136" si="141">D136+(H136*2)</f>
        <v>1085.18</v>
      </c>
      <c r="J136" s="56">
        <f t="shared" ref="J136" si="142">I136-(I136*25%)</f>
        <v>813.88499999999999</v>
      </c>
      <c r="K136" s="108">
        <f t="shared" ref="K136:K141" si="143">I136/C136</f>
        <v>205.13799621928166</v>
      </c>
      <c r="L136" s="194" t="s">
        <v>1988</v>
      </c>
      <c r="M136" s="304"/>
    </row>
    <row r="137" spans="1:13" ht="18" customHeight="1" x14ac:dyDescent="0.25">
      <c r="A137" s="49" t="s">
        <v>163</v>
      </c>
      <c r="B137" s="50" t="s">
        <v>2276</v>
      </c>
      <c r="C137" s="52">
        <v>5.29</v>
      </c>
      <c r="D137" s="52">
        <v>512.76</v>
      </c>
      <c r="E137" s="53">
        <f t="shared" ref="E137:E138" si="144">D137*50%</f>
        <v>256.38</v>
      </c>
      <c r="F137" s="41">
        <f t="shared" ref="F137:F138" si="145">D137+E137</f>
        <v>769.14</v>
      </c>
      <c r="G137" s="53">
        <f t="shared" ref="G137:G138" si="146">F137-(F137*25%)</f>
        <v>576.85500000000002</v>
      </c>
      <c r="H137" s="54">
        <f t="shared" ref="H137:H138" si="147">D137*50%</f>
        <v>256.38</v>
      </c>
      <c r="I137" s="55">
        <f t="shared" ref="I137:I138" si="148">D137+(H137*2)</f>
        <v>1025.52</v>
      </c>
      <c r="J137" s="56">
        <f t="shared" ref="J137:J138" si="149">I137-(I137*25%)</f>
        <v>769.14</v>
      </c>
      <c r="K137" s="108">
        <f t="shared" si="143"/>
        <v>193.8601134215501</v>
      </c>
      <c r="L137" s="194" t="s">
        <v>1990</v>
      </c>
      <c r="M137" s="304"/>
    </row>
    <row r="138" spans="1:13" ht="18" customHeight="1" x14ac:dyDescent="0.25">
      <c r="A138" s="49" t="s">
        <v>164</v>
      </c>
      <c r="B138" s="50" t="s">
        <v>2276</v>
      </c>
      <c r="C138" s="52">
        <v>5.29</v>
      </c>
      <c r="D138" s="52">
        <v>512.76</v>
      </c>
      <c r="E138" s="53">
        <f t="shared" si="144"/>
        <v>256.38</v>
      </c>
      <c r="F138" s="41">
        <f t="shared" si="145"/>
        <v>769.14</v>
      </c>
      <c r="G138" s="53">
        <f t="shared" si="146"/>
        <v>576.85500000000002</v>
      </c>
      <c r="H138" s="54">
        <f t="shared" si="147"/>
        <v>256.38</v>
      </c>
      <c r="I138" s="55">
        <f t="shared" si="148"/>
        <v>1025.52</v>
      </c>
      <c r="J138" s="56">
        <f t="shared" si="149"/>
        <v>769.14</v>
      </c>
      <c r="K138" s="108">
        <f t="shared" si="143"/>
        <v>193.8601134215501</v>
      </c>
      <c r="L138" s="194" t="s">
        <v>1990</v>
      </c>
      <c r="M138" s="304"/>
    </row>
    <row r="139" spans="1:13" ht="18" customHeight="1" x14ac:dyDescent="0.25">
      <c r="A139" s="49" t="s">
        <v>165</v>
      </c>
      <c r="B139" s="50" t="s">
        <v>1819</v>
      </c>
      <c r="C139" s="52">
        <v>5.29</v>
      </c>
      <c r="D139" s="52">
        <v>534.60500000000002</v>
      </c>
      <c r="E139" s="53">
        <f t="shared" ref="E139:E141" si="150">D139*50%</f>
        <v>267.30250000000001</v>
      </c>
      <c r="F139" s="41">
        <f t="shared" ref="F139:F141" si="151">D139+E139</f>
        <v>801.90750000000003</v>
      </c>
      <c r="G139" s="53">
        <f t="shared" ref="G139:G141" si="152">F139-(F139*25%)</f>
        <v>601.43062499999996</v>
      </c>
      <c r="H139" s="54">
        <f t="shared" ref="H139:H141" si="153">D139*50%</f>
        <v>267.30250000000001</v>
      </c>
      <c r="I139" s="55">
        <f t="shared" ref="I139:I141" si="154">D139+(H139*2)</f>
        <v>1069.21</v>
      </c>
      <c r="J139" s="56">
        <f t="shared" ref="J139:J141" si="155">I139-(I139*25%)</f>
        <v>801.90750000000003</v>
      </c>
      <c r="K139" s="108">
        <f t="shared" si="143"/>
        <v>202.11909262759926</v>
      </c>
      <c r="L139" s="194" t="s">
        <v>1989</v>
      </c>
      <c r="M139" s="304"/>
    </row>
    <row r="140" spans="1:13" ht="18" customHeight="1" x14ac:dyDescent="0.25">
      <c r="A140" s="49" t="s">
        <v>166</v>
      </c>
      <c r="B140" s="50" t="s">
        <v>109</v>
      </c>
      <c r="C140" s="52">
        <v>5.52</v>
      </c>
      <c r="D140" s="52">
        <v>535.07000000000005</v>
      </c>
      <c r="E140" s="53">
        <f t="shared" si="150"/>
        <v>267.53500000000003</v>
      </c>
      <c r="F140" s="41">
        <f t="shared" si="151"/>
        <v>802.60500000000002</v>
      </c>
      <c r="G140" s="53">
        <f t="shared" si="152"/>
        <v>601.95375000000001</v>
      </c>
      <c r="H140" s="54">
        <f t="shared" si="153"/>
        <v>267.53500000000003</v>
      </c>
      <c r="I140" s="55">
        <f t="shared" si="154"/>
        <v>1070.1400000000001</v>
      </c>
      <c r="J140" s="56">
        <f t="shared" si="155"/>
        <v>802.60500000000002</v>
      </c>
      <c r="K140" s="108">
        <f t="shared" si="143"/>
        <v>193.86594202898553</v>
      </c>
      <c r="L140" s="194" t="s">
        <v>1997</v>
      </c>
      <c r="M140" s="304"/>
    </row>
    <row r="141" spans="1:13" ht="18" customHeight="1" x14ac:dyDescent="0.25">
      <c r="A141" s="49" t="s">
        <v>167</v>
      </c>
      <c r="B141" s="50" t="s">
        <v>168</v>
      </c>
      <c r="C141" s="52">
        <v>15.72</v>
      </c>
      <c r="D141" s="52">
        <v>1776.415</v>
      </c>
      <c r="E141" s="53">
        <f t="shared" si="150"/>
        <v>888.20749999999998</v>
      </c>
      <c r="F141" s="41">
        <f t="shared" si="151"/>
        <v>2664.6224999999999</v>
      </c>
      <c r="G141" s="53">
        <f t="shared" si="152"/>
        <v>1998.4668750000001</v>
      </c>
      <c r="H141" s="54">
        <f t="shared" si="153"/>
        <v>888.20749999999998</v>
      </c>
      <c r="I141" s="55">
        <f t="shared" si="154"/>
        <v>3552.83</v>
      </c>
      <c r="J141" s="56">
        <f t="shared" si="155"/>
        <v>2664.6224999999999</v>
      </c>
      <c r="K141" s="108">
        <f t="shared" si="143"/>
        <v>226.00699745547072</v>
      </c>
      <c r="L141" s="194" t="s">
        <v>1994</v>
      </c>
      <c r="M141" s="304"/>
    </row>
    <row r="142" spans="1:13" ht="18" customHeight="1" x14ac:dyDescent="0.25">
      <c r="A142" s="49"/>
      <c r="B142" s="50"/>
      <c r="C142" s="47"/>
      <c r="D142" s="52"/>
      <c r="E142" s="57"/>
      <c r="F142" s="47"/>
      <c r="G142" s="57"/>
      <c r="H142" s="58"/>
      <c r="I142" s="199"/>
      <c r="J142" s="59"/>
      <c r="K142" s="108"/>
      <c r="L142" s="194"/>
      <c r="M142" s="304"/>
    </row>
    <row r="143" spans="1:13" ht="18" customHeight="1" x14ac:dyDescent="0.25">
      <c r="A143" s="49" t="s">
        <v>169</v>
      </c>
      <c r="B143" s="50" t="s">
        <v>2152</v>
      </c>
      <c r="C143" s="52">
        <v>7.36</v>
      </c>
      <c r="D143" s="52">
        <v>794</v>
      </c>
      <c r="E143" s="53">
        <f t="shared" ref="E143:E145" si="156">D143*50%</f>
        <v>397</v>
      </c>
      <c r="F143" s="41">
        <f t="shared" ref="F143:F146" si="157">D143+E143</f>
        <v>1191</v>
      </c>
      <c r="G143" s="53">
        <f t="shared" ref="G143:G146" si="158">F143-(F143*25%)</f>
        <v>893.25</v>
      </c>
      <c r="H143" s="54">
        <f t="shared" ref="H143:H146" si="159">D143*50%</f>
        <v>397</v>
      </c>
      <c r="I143" s="55">
        <f t="shared" ref="I143:I146" si="160">D143+(H143*2)</f>
        <v>1588</v>
      </c>
      <c r="J143" s="56">
        <f t="shared" ref="J143:J146" si="161">I143-(I143*25%)</f>
        <v>1191</v>
      </c>
      <c r="K143" s="108">
        <f t="shared" ref="K143:K146" si="162">I143/C143</f>
        <v>215.76086956521738</v>
      </c>
      <c r="L143" s="194" t="s">
        <v>1994</v>
      </c>
      <c r="M143" s="304"/>
    </row>
    <row r="144" spans="1:13" ht="18" customHeight="1" x14ac:dyDescent="0.25">
      <c r="A144" s="49" t="s">
        <v>170</v>
      </c>
      <c r="B144" s="50" t="s">
        <v>2151</v>
      </c>
      <c r="C144" s="52">
        <v>7.36</v>
      </c>
      <c r="D144" s="52">
        <v>794</v>
      </c>
      <c r="E144" s="53">
        <f t="shared" si="156"/>
        <v>397</v>
      </c>
      <c r="F144" s="41">
        <f t="shared" si="157"/>
        <v>1191</v>
      </c>
      <c r="G144" s="53">
        <f t="shared" si="158"/>
        <v>893.25</v>
      </c>
      <c r="H144" s="54">
        <f t="shared" si="159"/>
        <v>397</v>
      </c>
      <c r="I144" s="55">
        <f t="shared" si="160"/>
        <v>1588</v>
      </c>
      <c r="J144" s="56">
        <f t="shared" si="161"/>
        <v>1191</v>
      </c>
      <c r="K144" s="108">
        <f t="shared" si="162"/>
        <v>215.76086956521738</v>
      </c>
      <c r="L144" s="194" t="s">
        <v>1994</v>
      </c>
      <c r="M144" s="304"/>
    </row>
    <row r="145" spans="1:13" ht="18" customHeight="1" x14ac:dyDescent="0.25">
      <c r="A145" s="49" t="s">
        <v>171</v>
      </c>
      <c r="B145" s="50" t="s">
        <v>1952</v>
      </c>
      <c r="C145" s="52">
        <v>7.36</v>
      </c>
      <c r="D145" s="52">
        <v>1342.6849999999999</v>
      </c>
      <c r="E145" s="53">
        <f t="shared" si="156"/>
        <v>671.34249999999997</v>
      </c>
      <c r="F145" s="41">
        <f t="shared" si="157"/>
        <v>2014.0274999999999</v>
      </c>
      <c r="G145" s="53">
        <f t="shared" si="158"/>
        <v>1510.5206249999999</v>
      </c>
      <c r="H145" s="54">
        <f t="shared" si="159"/>
        <v>671.34249999999997</v>
      </c>
      <c r="I145" s="55">
        <f t="shared" si="160"/>
        <v>2685.37</v>
      </c>
      <c r="J145" s="56">
        <f t="shared" si="161"/>
        <v>2014.0274999999999</v>
      </c>
      <c r="K145" s="108">
        <f t="shared" si="162"/>
        <v>364.86005434782606</v>
      </c>
      <c r="L145" s="194" t="s">
        <v>1994</v>
      </c>
      <c r="M145" s="304"/>
    </row>
    <row r="146" spans="1:13" ht="18" customHeight="1" x14ac:dyDescent="0.25">
      <c r="A146" s="49" t="s">
        <v>172</v>
      </c>
      <c r="B146" s="50" t="s">
        <v>1952</v>
      </c>
      <c r="C146" s="52">
        <v>7.36</v>
      </c>
      <c r="D146" s="52">
        <v>1342.6849999999999</v>
      </c>
      <c r="E146" s="53">
        <f>D146*50%</f>
        <v>671.34249999999997</v>
      </c>
      <c r="F146" s="41">
        <f t="shared" si="157"/>
        <v>2014.0274999999999</v>
      </c>
      <c r="G146" s="53">
        <f t="shared" si="158"/>
        <v>1510.5206249999999</v>
      </c>
      <c r="H146" s="54">
        <f t="shared" si="159"/>
        <v>671.34249999999997</v>
      </c>
      <c r="I146" s="55">
        <f t="shared" si="160"/>
        <v>2685.37</v>
      </c>
      <c r="J146" s="56">
        <f t="shared" si="161"/>
        <v>2014.0274999999999</v>
      </c>
      <c r="K146" s="108">
        <f t="shared" si="162"/>
        <v>364.86005434782606</v>
      </c>
      <c r="L146" s="194" t="s">
        <v>1994</v>
      </c>
      <c r="M146" s="304"/>
    </row>
    <row r="147" spans="1:13" ht="18" customHeight="1" x14ac:dyDescent="0.25">
      <c r="A147" s="65"/>
      <c r="B147" s="65"/>
      <c r="C147" s="57"/>
      <c r="D147" s="57"/>
      <c r="E147" s="57"/>
      <c r="F147" s="47"/>
      <c r="G147" s="57"/>
      <c r="H147" s="58"/>
      <c r="I147" s="199"/>
      <c r="J147" s="59"/>
      <c r="K147" s="108"/>
      <c r="L147" s="194"/>
      <c r="M147" s="304"/>
    </row>
    <row r="148" spans="1:13" ht="18" customHeight="1" x14ac:dyDescent="0.25">
      <c r="A148" s="49" t="s">
        <v>173</v>
      </c>
      <c r="B148" s="50" t="s">
        <v>1431</v>
      </c>
      <c r="C148" s="52">
        <v>6</v>
      </c>
      <c r="D148" s="52">
        <v>1094.58</v>
      </c>
      <c r="E148" s="53">
        <f>D148*50%</f>
        <v>547.29</v>
      </c>
      <c r="F148" s="41">
        <f t="shared" ref="F148" si="163">D148+E148</f>
        <v>1641.87</v>
      </c>
      <c r="G148" s="53">
        <f t="shared" ref="G148" si="164">F148-(F148*25%)</f>
        <v>1231.4024999999999</v>
      </c>
      <c r="H148" s="54">
        <f t="shared" ref="H148" si="165">D148*50%</f>
        <v>547.29</v>
      </c>
      <c r="I148" s="55">
        <f t="shared" ref="I148" si="166">D148+(H148*2)</f>
        <v>2189.16</v>
      </c>
      <c r="J148" s="56">
        <f t="shared" ref="J148" si="167">I148-(I148*25%)</f>
        <v>1641.87</v>
      </c>
      <c r="K148" s="108">
        <f t="shared" ref="K148:K153" si="168">I148/C148</f>
        <v>364.85999999999996</v>
      </c>
      <c r="L148" s="194" t="s">
        <v>1984</v>
      </c>
      <c r="M148" s="304"/>
    </row>
    <row r="149" spans="1:13" ht="18" customHeight="1" x14ac:dyDescent="0.25">
      <c r="A149" s="49" t="s">
        <v>174</v>
      </c>
      <c r="B149" s="50" t="s">
        <v>175</v>
      </c>
      <c r="C149" s="52">
        <v>7.8</v>
      </c>
      <c r="D149" s="52">
        <v>756.05499999999995</v>
      </c>
      <c r="E149" s="53">
        <f>D149*50%</f>
        <v>378.02749999999997</v>
      </c>
      <c r="F149" s="41">
        <f t="shared" ref="F149" si="169">D149+E149</f>
        <v>1134.0825</v>
      </c>
      <c r="G149" s="53">
        <f t="shared" ref="G149" si="170">F149-(F149*25%)</f>
        <v>850.56187499999999</v>
      </c>
      <c r="H149" s="54">
        <f t="shared" ref="H149" si="171">D149*50%</f>
        <v>378.02749999999997</v>
      </c>
      <c r="I149" s="55">
        <f t="shared" ref="I149" si="172">D149+(H149*2)</f>
        <v>1512.11</v>
      </c>
      <c r="J149" s="56">
        <f t="shared" ref="J149" si="173">I149-(I149*25%)</f>
        <v>1134.0825</v>
      </c>
      <c r="K149" s="108">
        <f t="shared" si="168"/>
        <v>193.8602564102564</v>
      </c>
      <c r="L149" s="194" t="s">
        <v>1998</v>
      </c>
      <c r="M149" s="304"/>
    </row>
    <row r="150" spans="1:13" ht="15.75" customHeight="1" x14ac:dyDescent="0.25">
      <c r="A150" s="49" t="s">
        <v>176</v>
      </c>
      <c r="B150" s="50" t="s">
        <v>1614</v>
      </c>
      <c r="C150" s="52">
        <v>5.5</v>
      </c>
      <c r="D150" s="52">
        <v>1003.365</v>
      </c>
      <c r="E150" s="53">
        <f t="shared" ref="E150:E153" si="174">D150*50%</f>
        <v>501.6825</v>
      </c>
      <c r="F150" s="41">
        <f t="shared" ref="F150:F151" si="175">D150+E150</f>
        <v>1505.0475000000001</v>
      </c>
      <c r="G150" s="53">
        <f t="shared" ref="G150:G151" si="176">F150-(F150*25%)</f>
        <v>1128.785625</v>
      </c>
      <c r="H150" s="54">
        <f t="shared" ref="H150:H151" si="177">D150*50%</f>
        <v>501.6825</v>
      </c>
      <c r="I150" s="55">
        <f t="shared" ref="I150:I151" si="178">D150+(H150*2)</f>
        <v>2006.73</v>
      </c>
      <c r="J150" s="56">
        <f t="shared" ref="J150:J151" si="179">I150-(I150*25%)</f>
        <v>1505.0475000000001</v>
      </c>
      <c r="K150" s="108">
        <f t="shared" si="168"/>
        <v>364.86</v>
      </c>
      <c r="L150" s="194" t="s">
        <v>1984</v>
      </c>
      <c r="M150" s="304"/>
    </row>
    <row r="151" spans="1:13" ht="15.75" customHeight="1" x14ac:dyDescent="0.25">
      <c r="A151" s="49" t="s">
        <v>177</v>
      </c>
      <c r="B151" s="50" t="s">
        <v>1614</v>
      </c>
      <c r="C151" s="52">
        <v>5.5</v>
      </c>
      <c r="D151" s="52">
        <v>1003.365</v>
      </c>
      <c r="E151" s="53">
        <f t="shared" si="174"/>
        <v>501.6825</v>
      </c>
      <c r="F151" s="41">
        <f t="shared" si="175"/>
        <v>1505.0475000000001</v>
      </c>
      <c r="G151" s="53">
        <f t="shared" si="176"/>
        <v>1128.785625</v>
      </c>
      <c r="H151" s="54">
        <f t="shared" si="177"/>
        <v>501.6825</v>
      </c>
      <c r="I151" s="55">
        <f t="shared" si="178"/>
        <v>2006.73</v>
      </c>
      <c r="J151" s="56">
        <f t="shared" si="179"/>
        <v>1505.0475000000001</v>
      </c>
      <c r="K151" s="108">
        <f t="shared" si="168"/>
        <v>364.86</v>
      </c>
      <c r="L151" s="194" t="s">
        <v>1984</v>
      </c>
      <c r="M151" s="304"/>
    </row>
    <row r="152" spans="1:13" ht="15.75" customHeight="1" x14ac:dyDescent="0.25">
      <c r="A152" s="49" t="s">
        <v>178</v>
      </c>
      <c r="B152" s="50" t="s">
        <v>2240</v>
      </c>
      <c r="C152" s="52">
        <v>5.5</v>
      </c>
      <c r="D152" s="52">
        <v>1003.365</v>
      </c>
      <c r="E152" s="53">
        <f t="shared" si="174"/>
        <v>501.6825</v>
      </c>
      <c r="F152" s="41">
        <f t="shared" ref="F152:F153" si="180">D152+E152</f>
        <v>1505.0475000000001</v>
      </c>
      <c r="G152" s="53">
        <f t="shared" ref="G152:G153" si="181">F152-(F152*25%)</f>
        <v>1128.785625</v>
      </c>
      <c r="H152" s="54">
        <f t="shared" ref="H152:H153" si="182">D152*50%</f>
        <v>501.6825</v>
      </c>
      <c r="I152" s="55">
        <f t="shared" ref="I152:I153" si="183">D152+(H152*2)</f>
        <v>2006.73</v>
      </c>
      <c r="J152" s="56">
        <f t="shared" ref="J152:J153" si="184">I152-(I152*25%)</f>
        <v>1505.0475000000001</v>
      </c>
      <c r="K152" s="108">
        <f t="shared" si="168"/>
        <v>364.86</v>
      </c>
      <c r="L152" s="194" t="s">
        <v>1984</v>
      </c>
      <c r="M152" s="304"/>
    </row>
    <row r="153" spans="1:13" ht="15.75" customHeight="1" x14ac:dyDescent="0.25">
      <c r="A153" s="49" t="s">
        <v>179</v>
      </c>
      <c r="B153" s="50" t="s">
        <v>2240</v>
      </c>
      <c r="C153" s="47">
        <v>5.5</v>
      </c>
      <c r="D153" s="52">
        <v>1003.365</v>
      </c>
      <c r="E153" s="53">
        <f t="shared" si="174"/>
        <v>501.6825</v>
      </c>
      <c r="F153" s="41">
        <f t="shared" si="180"/>
        <v>1505.0475000000001</v>
      </c>
      <c r="G153" s="53">
        <f t="shared" si="181"/>
        <v>1128.785625</v>
      </c>
      <c r="H153" s="54">
        <f t="shared" si="182"/>
        <v>501.6825</v>
      </c>
      <c r="I153" s="55">
        <f t="shared" si="183"/>
        <v>2006.73</v>
      </c>
      <c r="J153" s="56">
        <f t="shared" si="184"/>
        <v>1505.0475000000001</v>
      </c>
      <c r="K153" s="108">
        <f t="shared" si="168"/>
        <v>364.86</v>
      </c>
      <c r="L153" s="194" t="s">
        <v>1984</v>
      </c>
      <c r="M153" s="304"/>
    </row>
    <row r="154" spans="1:13" ht="15.75" customHeight="1" x14ac:dyDescent="0.25">
      <c r="A154" s="49"/>
      <c r="B154" s="50"/>
      <c r="C154" s="47"/>
      <c r="D154" s="52"/>
      <c r="E154" s="57"/>
      <c r="F154" s="47"/>
      <c r="G154" s="57"/>
      <c r="H154" s="58"/>
      <c r="I154" s="199"/>
      <c r="J154" s="59"/>
      <c r="K154" s="108"/>
      <c r="L154" s="194"/>
      <c r="M154" s="304"/>
    </row>
    <row r="155" spans="1:13" ht="15.75" customHeight="1" x14ac:dyDescent="0.25">
      <c r="A155" s="49" t="s">
        <v>180</v>
      </c>
      <c r="B155" s="50" t="s">
        <v>1615</v>
      </c>
      <c r="C155" s="47">
        <v>23.6</v>
      </c>
      <c r="D155" s="52">
        <v>4581.47</v>
      </c>
      <c r="E155" s="53">
        <f t="shared" ref="E155:E157" si="185">D155*50%</f>
        <v>2290.7350000000001</v>
      </c>
      <c r="F155" s="41">
        <f t="shared" ref="F155:F157" si="186">D155+E155</f>
        <v>6872.2049999999999</v>
      </c>
      <c r="G155" s="53">
        <f t="shared" ref="G155:G157" si="187">F155-(F155*25%)</f>
        <v>5154.1537499999995</v>
      </c>
      <c r="H155" s="54">
        <f t="shared" ref="H155:H157" si="188">D155*50%</f>
        <v>2290.7350000000001</v>
      </c>
      <c r="I155" s="55">
        <f t="shared" ref="I155:I157" si="189">D155+(H155*2)</f>
        <v>9162.94</v>
      </c>
      <c r="J155" s="56">
        <f t="shared" ref="J155:J157" si="190">I155-(I155*25%)</f>
        <v>6872.2049999999999</v>
      </c>
      <c r="K155" s="108">
        <f t="shared" ref="K155:K162" si="191">I155/C155</f>
        <v>388.2601694915254</v>
      </c>
      <c r="L155" s="194" t="s">
        <v>1999</v>
      </c>
      <c r="M155" s="304"/>
    </row>
    <row r="156" spans="1:13" ht="15.75" customHeight="1" x14ac:dyDescent="0.25">
      <c r="A156" s="49" t="s">
        <v>181</v>
      </c>
      <c r="B156" s="50" t="s">
        <v>1616</v>
      </c>
      <c r="C156" s="47">
        <v>23.6</v>
      </c>
      <c r="D156" s="52">
        <v>4581.47</v>
      </c>
      <c r="E156" s="53">
        <f t="shared" si="185"/>
        <v>2290.7350000000001</v>
      </c>
      <c r="F156" s="41">
        <f t="shared" si="186"/>
        <v>6872.2049999999999</v>
      </c>
      <c r="G156" s="53">
        <f t="shared" si="187"/>
        <v>5154.1537499999995</v>
      </c>
      <c r="H156" s="54">
        <f t="shared" si="188"/>
        <v>2290.7350000000001</v>
      </c>
      <c r="I156" s="55">
        <f t="shared" si="189"/>
        <v>9162.94</v>
      </c>
      <c r="J156" s="56">
        <f t="shared" si="190"/>
        <v>6872.2049999999999</v>
      </c>
      <c r="K156" s="108">
        <f t="shared" si="191"/>
        <v>388.2601694915254</v>
      </c>
      <c r="L156" s="194" t="s">
        <v>2000</v>
      </c>
      <c r="M156" s="304"/>
    </row>
    <row r="157" spans="1:13" ht="15.75" customHeight="1" x14ac:dyDescent="0.25">
      <c r="A157" s="49" t="s">
        <v>182</v>
      </c>
      <c r="B157" s="50" t="s">
        <v>1379</v>
      </c>
      <c r="C157" s="47">
        <v>9.84</v>
      </c>
      <c r="D157" s="47">
        <v>1241.6099999999999</v>
      </c>
      <c r="E157" s="53">
        <f t="shared" si="185"/>
        <v>620.80499999999995</v>
      </c>
      <c r="F157" s="41">
        <f t="shared" si="186"/>
        <v>1862.415</v>
      </c>
      <c r="G157" s="53">
        <f t="shared" si="187"/>
        <v>1396.81125</v>
      </c>
      <c r="H157" s="54">
        <f t="shared" si="188"/>
        <v>620.80499999999995</v>
      </c>
      <c r="I157" s="55">
        <f t="shared" si="189"/>
        <v>2483.2199999999998</v>
      </c>
      <c r="J157" s="56">
        <f t="shared" si="190"/>
        <v>1862.415</v>
      </c>
      <c r="K157" s="108">
        <f t="shared" si="191"/>
        <v>252.35975609756096</v>
      </c>
      <c r="L157" s="194" t="s">
        <v>1989</v>
      </c>
      <c r="M157" s="304"/>
    </row>
    <row r="158" spans="1:13" ht="15.75" customHeight="1" x14ac:dyDescent="0.25">
      <c r="A158" s="49" t="s">
        <v>183</v>
      </c>
      <c r="B158" s="50" t="s">
        <v>184</v>
      </c>
      <c r="C158" s="47">
        <v>10.1</v>
      </c>
      <c r="D158" s="47">
        <v>1274.4000000000001</v>
      </c>
      <c r="E158" s="53">
        <f t="shared" ref="E158" si="192">D158*50%</f>
        <v>637.20000000000005</v>
      </c>
      <c r="F158" s="41">
        <f t="shared" ref="F158" si="193">D158+E158</f>
        <v>1911.6000000000001</v>
      </c>
      <c r="G158" s="53">
        <f t="shared" ref="G158" si="194">F158-(F158*25%)</f>
        <v>1433.7</v>
      </c>
      <c r="H158" s="54">
        <f t="shared" ref="H158" si="195">D158*50%</f>
        <v>637.20000000000005</v>
      </c>
      <c r="I158" s="55">
        <f t="shared" ref="I158" si="196">D158+(H158*2)</f>
        <v>2548.8000000000002</v>
      </c>
      <c r="J158" s="56">
        <f t="shared" ref="J158" si="197">I158-(I158*25%)</f>
        <v>1911.6000000000001</v>
      </c>
      <c r="K158" s="108">
        <f t="shared" si="191"/>
        <v>252.3564356435644</v>
      </c>
      <c r="L158" s="194" t="s">
        <v>1984</v>
      </c>
      <c r="M158" s="304"/>
    </row>
    <row r="159" spans="1:13" ht="15.75" customHeight="1" x14ac:dyDescent="0.25">
      <c r="A159" s="49" t="s">
        <v>185</v>
      </c>
      <c r="B159" s="50" t="s">
        <v>159</v>
      </c>
      <c r="C159" s="47">
        <v>9.84</v>
      </c>
      <c r="D159" s="47">
        <v>1241.6099999999999</v>
      </c>
      <c r="E159" s="53">
        <f t="shared" ref="E159" si="198">D159*50%</f>
        <v>620.80499999999995</v>
      </c>
      <c r="F159" s="41">
        <f t="shared" ref="F159" si="199">D159+E159</f>
        <v>1862.415</v>
      </c>
      <c r="G159" s="53">
        <f t="shared" ref="G159" si="200">F159-(F159*25%)</f>
        <v>1396.81125</v>
      </c>
      <c r="H159" s="54">
        <f t="shared" ref="H159" si="201">D159*50%</f>
        <v>620.80499999999995</v>
      </c>
      <c r="I159" s="55">
        <f t="shared" ref="I159" si="202">D159+(H159*2)</f>
        <v>2483.2199999999998</v>
      </c>
      <c r="J159" s="56">
        <f t="shared" ref="J159" si="203">I159-(I159*25%)</f>
        <v>1862.415</v>
      </c>
      <c r="K159" s="108">
        <f t="shared" si="191"/>
        <v>252.35975609756096</v>
      </c>
      <c r="L159" s="194" t="s">
        <v>1989</v>
      </c>
      <c r="M159" s="304"/>
    </row>
    <row r="160" spans="1:13" ht="15.75" customHeight="1" x14ac:dyDescent="0.25">
      <c r="A160" s="49" t="s">
        <v>186</v>
      </c>
      <c r="B160" s="50" t="s">
        <v>187</v>
      </c>
      <c r="C160" s="47">
        <v>10.1</v>
      </c>
      <c r="D160" s="47">
        <v>1274.4000000000001</v>
      </c>
      <c r="E160" s="53">
        <f t="shared" ref="E160" si="204">D160*50%</f>
        <v>637.20000000000005</v>
      </c>
      <c r="F160" s="41">
        <f t="shared" ref="F160" si="205">D160+E160</f>
        <v>1911.6000000000001</v>
      </c>
      <c r="G160" s="53">
        <f t="shared" ref="G160" si="206">F160-(F160*25%)</f>
        <v>1433.7</v>
      </c>
      <c r="H160" s="54">
        <f t="shared" ref="H160" si="207">D160*50%</f>
        <v>637.20000000000005</v>
      </c>
      <c r="I160" s="55">
        <f t="shared" ref="I160" si="208">D160+(H160*2)</f>
        <v>2548.8000000000002</v>
      </c>
      <c r="J160" s="56">
        <f t="shared" ref="J160" si="209">I160-(I160*25%)</f>
        <v>1911.6000000000001</v>
      </c>
      <c r="K160" s="108">
        <f t="shared" si="191"/>
        <v>252.3564356435644</v>
      </c>
      <c r="L160" s="194" t="s">
        <v>1984</v>
      </c>
      <c r="M160" s="304"/>
    </row>
    <row r="161" spans="1:13" ht="15.75" customHeight="1" x14ac:dyDescent="0.25">
      <c r="A161" s="49" t="s">
        <v>188</v>
      </c>
      <c r="B161" s="50" t="s">
        <v>187</v>
      </c>
      <c r="C161" s="47">
        <v>10.1</v>
      </c>
      <c r="D161" s="47">
        <v>1274.4000000000001</v>
      </c>
      <c r="E161" s="53">
        <f t="shared" ref="E161:E162" si="210">D161*50%</f>
        <v>637.20000000000005</v>
      </c>
      <c r="F161" s="41">
        <f t="shared" ref="F161:F162" si="211">D161+E161</f>
        <v>1911.6000000000001</v>
      </c>
      <c r="G161" s="53">
        <f t="shared" ref="G161:G162" si="212">F161-(F161*25%)</f>
        <v>1433.7</v>
      </c>
      <c r="H161" s="54">
        <f t="shared" ref="H161:H162" si="213">D161*50%</f>
        <v>637.20000000000005</v>
      </c>
      <c r="I161" s="55">
        <f t="shared" ref="I161:I162" si="214">D161+(H161*2)</f>
        <v>2548.8000000000002</v>
      </c>
      <c r="J161" s="56">
        <f t="shared" ref="J161:J162" si="215">I161-(I161*25%)</f>
        <v>1911.6000000000001</v>
      </c>
      <c r="K161" s="108">
        <f t="shared" si="191"/>
        <v>252.3564356435644</v>
      </c>
      <c r="L161" s="194" t="s">
        <v>1984</v>
      </c>
      <c r="M161" s="304"/>
    </row>
    <row r="162" spans="1:13" ht="15.75" customHeight="1" x14ac:dyDescent="0.25">
      <c r="A162" s="49" t="s">
        <v>189</v>
      </c>
      <c r="B162" s="50" t="s">
        <v>187</v>
      </c>
      <c r="C162" s="47">
        <v>10.1</v>
      </c>
      <c r="D162" s="47">
        <v>1274.4000000000001</v>
      </c>
      <c r="E162" s="53">
        <f t="shared" si="210"/>
        <v>637.20000000000005</v>
      </c>
      <c r="F162" s="41">
        <f t="shared" si="211"/>
        <v>1911.6000000000001</v>
      </c>
      <c r="G162" s="53">
        <f t="shared" si="212"/>
        <v>1433.7</v>
      </c>
      <c r="H162" s="54">
        <f t="shared" si="213"/>
        <v>637.20000000000005</v>
      </c>
      <c r="I162" s="55">
        <f t="shared" si="214"/>
        <v>2548.8000000000002</v>
      </c>
      <c r="J162" s="56">
        <f t="shared" si="215"/>
        <v>1911.6000000000001</v>
      </c>
      <c r="K162" s="108">
        <f t="shared" si="191"/>
        <v>252.3564356435644</v>
      </c>
      <c r="L162" s="194" t="s">
        <v>1984</v>
      </c>
      <c r="M162" s="304"/>
    </row>
    <row r="163" spans="1:13" ht="15.75" customHeight="1" x14ac:dyDescent="0.25">
      <c r="A163" s="49"/>
      <c r="B163" s="50"/>
      <c r="C163" s="47"/>
      <c r="D163" s="47"/>
      <c r="E163" s="57"/>
      <c r="F163" s="47"/>
      <c r="G163" s="57"/>
      <c r="H163" s="58"/>
      <c r="I163" s="199"/>
      <c r="J163" s="59"/>
      <c r="K163" s="108"/>
      <c r="L163" s="194"/>
      <c r="M163" s="304"/>
    </row>
    <row r="164" spans="1:13" ht="15.75" customHeight="1" x14ac:dyDescent="0.25">
      <c r="A164" s="49" t="s">
        <v>190</v>
      </c>
      <c r="B164" s="50" t="s">
        <v>2259</v>
      </c>
      <c r="C164" s="47">
        <v>16</v>
      </c>
      <c r="D164" s="52">
        <v>2328.48</v>
      </c>
      <c r="E164" s="53">
        <f t="shared" ref="E164:E165" si="216">D164*50%</f>
        <v>1164.24</v>
      </c>
      <c r="F164" s="41">
        <f t="shared" ref="F164:F165" si="217">D164+E164</f>
        <v>3492.7200000000003</v>
      </c>
      <c r="G164" s="53">
        <f t="shared" ref="G164:G165" si="218">F164-(F164*25%)</f>
        <v>2619.54</v>
      </c>
      <c r="H164" s="54">
        <f t="shared" ref="H164:H165" si="219">D164*50%</f>
        <v>1164.24</v>
      </c>
      <c r="I164" s="55">
        <f t="shared" ref="I164:I165" si="220">D164+(H164*2)</f>
        <v>4656.96</v>
      </c>
      <c r="J164" s="56">
        <f t="shared" ref="J164:J165" si="221">I164-(I164*25%)</f>
        <v>3492.7200000000003</v>
      </c>
      <c r="K164" s="108">
        <f t="shared" ref="K164:K171" si="222">I164/C164</f>
        <v>291.06</v>
      </c>
      <c r="L164" s="194" t="s">
        <v>1988</v>
      </c>
      <c r="M164" s="304"/>
    </row>
    <row r="165" spans="1:13" ht="15.75" customHeight="1" x14ac:dyDescent="0.25">
      <c r="A165" s="49" t="s">
        <v>191</v>
      </c>
      <c r="B165" s="50" t="s">
        <v>1329</v>
      </c>
      <c r="C165" s="47">
        <v>16</v>
      </c>
      <c r="D165" s="52">
        <v>2328.48</v>
      </c>
      <c r="E165" s="53">
        <f t="shared" si="216"/>
        <v>1164.24</v>
      </c>
      <c r="F165" s="41">
        <f t="shared" si="217"/>
        <v>3492.7200000000003</v>
      </c>
      <c r="G165" s="53">
        <f t="shared" si="218"/>
        <v>2619.54</v>
      </c>
      <c r="H165" s="54">
        <f t="shared" si="219"/>
        <v>1164.24</v>
      </c>
      <c r="I165" s="55">
        <f t="shared" si="220"/>
        <v>4656.96</v>
      </c>
      <c r="J165" s="56">
        <f t="shared" si="221"/>
        <v>3492.7200000000003</v>
      </c>
      <c r="K165" s="108">
        <f t="shared" si="222"/>
        <v>291.06</v>
      </c>
      <c r="L165" s="194" t="s">
        <v>1988</v>
      </c>
      <c r="M165" s="304"/>
    </row>
    <row r="166" spans="1:13" ht="15.75" customHeight="1" x14ac:dyDescent="0.25">
      <c r="A166" s="49" t="s">
        <v>192</v>
      </c>
      <c r="B166" s="50" t="s">
        <v>2259</v>
      </c>
      <c r="C166" s="47">
        <v>16</v>
      </c>
      <c r="D166" s="47">
        <v>2328.48</v>
      </c>
      <c r="E166" s="53">
        <f t="shared" ref="E166" si="223">D166*50%</f>
        <v>1164.24</v>
      </c>
      <c r="F166" s="41">
        <f t="shared" ref="F166" si="224">D166+E166</f>
        <v>3492.7200000000003</v>
      </c>
      <c r="G166" s="53">
        <f t="shared" ref="G166" si="225">F166-(F166*25%)</f>
        <v>2619.54</v>
      </c>
      <c r="H166" s="54">
        <f t="shared" ref="H166" si="226">D166*50%</f>
        <v>1164.24</v>
      </c>
      <c r="I166" s="55">
        <f t="shared" ref="I166" si="227">D166+(H166*2)</f>
        <v>4656.96</v>
      </c>
      <c r="J166" s="56">
        <f t="shared" ref="J166" si="228">I166-(I166*25%)</f>
        <v>3492.7200000000003</v>
      </c>
      <c r="K166" s="108">
        <f t="shared" si="222"/>
        <v>291.06</v>
      </c>
      <c r="L166" s="194" t="s">
        <v>1988</v>
      </c>
      <c r="M166" s="304"/>
    </row>
    <row r="167" spans="1:13" ht="15.75" customHeight="1" x14ac:dyDescent="0.25">
      <c r="A167" s="49" t="s">
        <v>193</v>
      </c>
      <c r="B167" s="50" t="s">
        <v>1330</v>
      </c>
      <c r="C167" s="47">
        <v>16</v>
      </c>
      <c r="D167" s="47">
        <v>2328.48</v>
      </c>
      <c r="E167" s="53">
        <f t="shared" ref="E167" si="229">D167*50%</f>
        <v>1164.24</v>
      </c>
      <c r="F167" s="41">
        <f t="shared" ref="F167" si="230">D167+E167</f>
        <v>3492.7200000000003</v>
      </c>
      <c r="G167" s="53">
        <f t="shared" ref="G167" si="231">F167-(F167*25%)</f>
        <v>2619.54</v>
      </c>
      <c r="H167" s="54">
        <f t="shared" ref="H167" si="232">D167*50%</f>
        <v>1164.24</v>
      </c>
      <c r="I167" s="55">
        <f t="shared" ref="I167" si="233">D167+(H167*2)</f>
        <v>4656.96</v>
      </c>
      <c r="J167" s="56">
        <f t="shared" ref="J167" si="234">I167-(I167*25%)</f>
        <v>3492.7200000000003</v>
      </c>
      <c r="K167" s="108">
        <f t="shared" si="222"/>
        <v>291.06</v>
      </c>
      <c r="L167" s="194" t="s">
        <v>1988</v>
      </c>
      <c r="M167" s="304"/>
    </row>
    <row r="168" spans="1:13" ht="15.75" customHeight="1" x14ac:dyDescent="0.25">
      <c r="A168" s="49" t="s">
        <v>194</v>
      </c>
      <c r="B168" s="50" t="s">
        <v>1820</v>
      </c>
      <c r="C168" s="47">
        <v>9.8800000000000008</v>
      </c>
      <c r="D168" s="52">
        <v>1259.1099999999999</v>
      </c>
      <c r="E168" s="53">
        <f t="shared" ref="E168:E170" si="235">D168*50%</f>
        <v>629.55499999999995</v>
      </c>
      <c r="F168" s="41">
        <f t="shared" ref="F168:F170" si="236">D168+E168</f>
        <v>1888.665</v>
      </c>
      <c r="G168" s="53">
        <f t="shared" ref="G168:G170" si="237">F168-(F168*25%)</f>
        <v>1416.49875</v>
      </c>
      <c r="H168" s="54">
        <f t="shared" ref="H168:H170" si="238">D168*50%</f>
        <v>629.55499999999995</v>
      </c>
      <c r="I168" s="55">
        <f t="shared" ref="I168:I170" si="239">D168+(H168*2)</f>
        <v>2518.2199999999998</v>
      </c>
      <c r="J168" s="56">
        <f t="shared" ref="J168:J170" si="240">I168-(I168*25%)</f>
        <v>1888.665</v>
      </c>
      <c r="K168" s="108">
        <f t="shared" si="222"/>
        <v>254.88056680161938</v>
      </c>
      <c r="L168" s="194" t="s">
        <v>1984</v>
      </c>
      <c r="M168" s="304"/>
    </row>
    <row r="169" spans="1:13" ht="15.75" customHeight="1" x14ac:dyDescent="0.25">
      <c r="A169" s="49" t="s">
        <v>195</v>
      </c>
      <c r="B169" s="50" t="s">
        <v>2021</v>
      </c>
      <c r="C169" s="47">
        <v>10.34</v>
      </c>
      <c r="D169" s="47">
        <v>1010.13</v>
      </c>
      <c r="E169" s="53">
        <f t="shared" si="235"/>
        <v>505.065</v>
      </c>
      <c r="F169" s="41">
        <f t="shared" si="236"/>
        <v>1515.1949999999999</v>
      </c>
      <c r="G169" s="53">
        <f t="shared" si="237"/>
        <v>1136.39625</v>
      </c>
      <c r="H169" s="54">
        <f t="shared" si="238"/>
        <v>505.065</v>
      </c>
      <c r="I169" s="55">
        <f t="shared" si="239"/>
        <v>2020.26</v>
      </c>
      <c r="J169" s="56">
        <f t="shared" si="240"/>
        <v>1515.1949999999999</v>
      </c>
      <c r="K169" s="108">
        <f t="shared" si="222"/>
        <v>195.38297872340425</v>
      </c>
      <c r="L169" s="194" t="s">
        <v>1984</v>
      </c>
      <c r="M169" s="304"/>
    </row>
    <row r="170" spans="1:13" ht="15.75" customHeight="1" x14ac:dyDescent="0.25">
      <c r="A170" s="49" t="s">
        <v>196</v>
      </c>
      <c r="B170" s="50" t="s">
        <v>2021</v>
      </c>
      <c r="C170" s="47">
        <v>10.34</v>
      </c>
      <c r="D170" s="47">
        <v>1010.13</v>
      </c>
      <c r="E170" s="53">
        <f t="shared" si="235"/>
        <v>505.065</v>
      </c>
      <c r="F170" s="41">
        <f t="shared" si="236"/>
        <v>1515.1949999999999</v>
      </c>
      <c r="G170" s="53">
        <f t="shared" si="237"/>
        <v>1136.39625</v>
      </c>
      <c r="H170" s="54">
        <f t="shared" si="238"/>
        <v>505.065</v>
      </c>
      <c r="I170" s="55">
        <f t="shared" si="239"/>
        <v>2020.26</v>
      </c>
      <c r="J170" s="56">
        <f t="shared" si="240"/>
        <v>1515.1949999999999</v>
      </c>
      <c r="K170" s="108">
        <f t="shared" si="222"/>
        <v>195.38297872340425</v>
      </c>
      <c r="L170" s="194" t="s">
        <v>1984</v>
      </c>
      <c r="M170" s="304"/>
    </row>
    <row r="171" spans="1:13" ht="15.75" customHeight="1" x14ac:dyDescent="0.25">
      <c r="A171" s="49" t="s">
        <v>197</v>
      </c>
      <c r="B171" s="50" t="s">
        <v>2154</v>
      </c>
      <c r="C171" s="47">
        <v>10.34</v>
      </c>
      <c r="D171" s="47">
        <v>1010.13</v>
      </c>
      <c r="E171" s="53">
        <f t="shared" ref="E171" si="241">D171*50%</f>
        <v>505.065</v>
      </c>
      <c r="F171" s="41">
        <f t="shared" ref="F171" si="242">D171+E171</f>
        <v>1515.1949999999999</v>
      </c>
      <c r="G171" s="53">
        <f t="shared" ref="G171" si="243">F171-(F171*25%)</f>
        <v>1136.39625</v>
      </c>
      <c r="H171" s="54">
        <f t="shared" ref="H171" si="244">D171*50%</f>
        <v>505.065</v>
      </c>
      <c r="I171" s="55">
        <f t="shared" ref="I171" si="245">D171+(H171*2)</f>
        <v>2020.26</v>
      </c>
      <c r="J171" s="56">
        <f t="shared" ref="J171" si="246">I171-(I171*25%)</f>
        <v>1515.1949999999999</v>
      </c>
      <c r="K171" s="108">
        <f t="shared" si="222"/>
        <v>195.38297872340425</v>
      </c>
      <c r="L171" s="194" t="s">
        <v>1984</v>
      </c>
      <c r="M171" s="304"/>
    </row>
    <row r="172" spans="1:13" ht="15.75" customHeight="1" x14ac:dyDescent="0.25">
      <c r="A172" s="65"/>
      <c r="B172" s="65"/>
      <c r="C172" s="57"/>
      <c r="D172" s="57"/>
      <c r="E172" s="57"/>
      <c r="F172" s="47"/>
      <c r="G172" s="57"/>
      <c r="H172" s="58"/>
      <c r="I172" s="199"/>
      <c r="J172" s="59"/>
      <c r="K172" s="108"/>
      <c r="L172" s="194"/>
      <c r="M172" s="304"/>
    </row>
    <row r="173" spans="1:13" ht="15.75" customHeight="1" x14ac:dyDescent="0.25">
      <c r="A173" s="49" t="s">
        <v>198</v>
      </c>
      <c r="B173" s="50" t="s">
        <v>1832</v>
      </c>
      <c r="C173" s="47">
        <v>11.66</v>
      </c>
      <c r="D173" s="52">
        <v>2263.56</v>
      </c>
      <c r="E173" s="53">
        <f t="shared" ref="E173:E175" si="247">D173*50%</f>
        <v>1131.78</v>
      </c>
      <c r="F173" s="41">
        <f t="shared" ref="F173:F175" si="248">D173+E173</f>
        <v>3395.34</v>
      </c>
      <c r="G173" s="53">
        <f t="shared" ref="G173:G175" si="249">F173-(F173*25%)</f>
        <v>2546.5050000000001</v>
      </c>
      <c r="H173" s="54">
        <f t="shared" ref="H173:H175" si="250">D173*50%</f>
        <v>1131.78</v>
      </c>
      <c r="I173" s="55">
        <f t="shared" ref="I173:I175" si="251">D173+(H173*2)</f>
        <v>4527.12</v>
      </c>
      <c r="J173" s="56">
        <f t="shared" ref="J173:J175" si="252">I173-(I173*25%)</f>
        <v>3395.34</v>
      </c>
      <c r="K173" s="108">
        <f t="shared" ref="K173:K181" si="253">I173/C173</f>
        <v>388.26072041166378</v>
      </c>
      <c r="L173" s="194" t="s">
        <v>1978</v>
      </c>
      <c r="M173" s="304"/>
    </row>
    <row r="174" spans="1:13" ht="15.75" customHeight="1" x14ac:dyDescent="0.25">
      <c r="A174" s="49" t="s">
        <v>199</v>
      </c>
      <c r="B174" s="50" t="s">
        <v>2020</v>
      </c>
      <c r="C174" s="47">
        <v>21.6</v>
      </c>
      <c r="D174" s="52">
        <v>3433.1</v>
      </c>
      <c r="E174" s="53">
        <f t="shared" si="247"/>
        <v>1716.55</v>
      </c>
      <c r="F174" s="41">
        <f t="shared" si="248"/>
        <v>5149.6499999999996</v>
      </c>
      <c r="G174" s="53">
        <f t="shared" si="249"/>
        <v>3862.2374999999997</v>
      </c>
      <c r="H174" s="54">
        <f t="shared" si="250"/>
        <v>1716.55</v>
      </c>
      <c r="I174" s="55">
        <f t="shared" si="251"/>
        <v>6866.2</v>
      </c>
      <c r="J174" s="56">
        <f t="shared" si="252"/>
        <v>5149.6499999999996</v>
      </c>
      <c r="K174" s="108">
        <f t="shared" si="253"/>
        <v>317.87962962962962</v>
      </c>
      <c r="L174" s="194" t="s">
        <v>1978</v>
      </c>
      <c r="M174" s="304"/>
    </row>
    <row r="175" spans="1:13" ht="15.75" customHeight="1" x14ac:dyDescent="0.25">
      <c r="A175" s="49" t="s">
        <v>200</v>
      </c>
      <c r="B175" s="50" t="s">
        <v>201</v>
      </c>
      <c r="C175" s="47">
        <v>21.6</v>
      </c>
      <c r="D175" s="52">
        <v>4121.3500000000004</v>
      </c>
      <c r="E175" s="53">
        <f t="shared" si="247"/>
        <v>2060.6750000000002</v>
      </c>
      <c r="F175" s="41">
        <f t="shared" si="248"/>
        <v>6182.0250000000005</v>
      </c>
      <c r="G175" s="53">
        <f t="shared" si="249"/>
        <v>4636.5187500000002</v>
      </c>
      <c r="H175" s="54">
        <f t="shared" si="250"/>
        <v>2060.6750000000002</v>
      </c>
      <c r="I175" s="55">
        <f t="shared" si="251"/>
        <v>8242.7000000000007</v>
      </c>
      <c r="J175" s="56">
        <f t="shared" si="252"/>
        <v>6182.0250000000005</v>
      </c>
      <c r="K175" s="108">
        <f t="shared" si="253"/>
        <v>381.60648148148147</v>
      </c>
      <c r="L175" s="194" t="s">
        <v>2001</v>
      </c>
      <c r="M175" s="304"/>
    </row>
    <row r="176" spans="1:13" ht="15.75" customHeight="1" x14ac:dyDescent="0.25">
      <c r="A176" s="49" t="s">
        <v>202</v>
      </c>
      <c r="B176" s="50" t="s">
        <v>203</v>
      </c>
      <c r="C176" s="47">
        <v>13.57</v>
      </c>
      <c r="D176" s="47">
        <v>1352.68</v>
      </c>
      <c r="E176" s="53">
        <f t="shared" ref="E176" si="254">D176*50%</f>
        <v>676.34</v>
      </c>
      <c r="F176" s="41">
        <f t="shared" ref="F176" si="255">D176+E176</f>
        <v>2029.02</v>
      </c>
      <c r="G176" s="53">
        <f t="shared" ref="G176" si="256">F176-(F176*25%)</f>
        <v>1521.7649999999999</v>
      </c>
      <c r="H176" s="54">
        <f t="shared" ref="H176" si="257">D176*50%</f>
        <v>676.34</v>
      </c>
      <c r="I176" s="55">
        <f t="shared" ref="I176" si="258">D176+(H176*2)</f>
        <v>2705.36</v>
      </c>
      <c r="J176" s="56">
        <f t="shared" ref="J176" si="259">I176-(I176*25%)</f>
        <v>2029.02</v>
      </c>
      <c r="K176" s="108">
        <f t="shared" si="253"/>
        <v>199.36330140014738</v>
      </c>
      <c r="L176" s="194" t="s">
        <v>1988</v>
      </c>
      <c r="M176" s="304"/>
    </row>
    <row r="177" spans="1:13" ht="15.75" customHeight="1" x14ac:dyDescent="0.25">
      <c r="A177" s="49" t="s">
        <v>204</v>
      </c>
      <c r="B177" s="50" t="s">
        <v>1815</v>
      </c>
      <c r="C177" s="47">
        <v>9.8800000000000008</v>
      </c>
      <c r="D177" s="52">
        <v>944.1</v>
      </c>
      <c r="E177" s="53">
        <f t="shared" ref="E177" si="260">D177*50%</f>
        <v>472.05</v>
      </c>
      <c r="F177" s="41">
        <f t="shared" ref="F177" si="261">D177+E177</f>
        <v>1416.15</v>
      </c>
      <c r="G177" s="53">
        <f t="shared" ref="G177" si="262">F177-(F177*25%)</f>
        <v>1062.1125000000002</v>
      </c>
      <c r="H177" s="54">
        <f t="shared" ref="H177" si="263">D177*50%</f>
        <v>472.05</v>
      </c>
      <c r="I177" s="55">
        <f t="shared" ref="I177" si="264">D177+(H177*2)</f>
        <v>1888.2</v>
      </c>
      <c r="J177" s="56">
        <f t="shared" ref="J177" si="265">I177-(I177*25%)</f>
        <v>1416.15</v>
      </c>
      <c r="K177" s="108">
        <f t="shared" si="253"/>
        <v>191.11336032388664</v>
      </c>
      <c r="L177" s="194" t="s">
        <v>1978</v>
      </c>
      <c r="M177" s="304"/>
    </row>
    <row r="178" spans="1:13" ht="15.75" customHeight="1" x14ac:dyDescent="0.25">
      <c r="A178" s="49" t="s">
        <v>205</v>
      </c>
      <c r="B178" s="50" t="s">
        <v>187</v>
      </c>
      <c r="C178" s="47">
        <v>13.56</v>
      </c>
      <c r="D178" s="47">
        <v>1352.68</v>
      </c>
      <c r="E178" s="53">
        <f t="shared" ref="E178:E179" si="266">D178*50%</f>
        <v>676.34</v>
      </c>
      <c r="F178" s="41">
        <f t="shared" ref="F178:F179" si="267">D178+E178</f>
        <v>2029.02</v>
      </c>
      <c r="G178" s="53">
        <f t="shared" ref="G178:G179" si="268">F178-(F178*25%)</f>
        <v>1521.7649999999999</v>
      </c>
      <c r="H178" s="54">
        <f t="shared" ref="H178:H179" si="269">D178*50%</f>
        <v>676.34</v>
      </c>
      <c r="I178" s="55">
        <f t="shared" ref="I178:I179" si="270">D178+(H178*2)</f>
        <v>2705.36</v>
      </c>
      <c r="J178" s="56">
        <f t="shared" ref="J178:J179" si="271">I178-(I178*25%)</f>
        <v>2029.02</v>
      </c>
      <c r="K178" s="108">
        <f t="shared" si="253"/>
        <v>199.5103244837758</v>
      </c>
      <c r="L178" s="194" t="s">
        <v>1988</v>
      </c>
      <c r="M178" s="304"/>
    </row>
    <row r="179" spans="1:13" ht="15.75" customHeight="1" x14ac:dyDescent="0.25">
      <c r="A179" s="49" t="s">
        <v>206</v>
      </c>
      <c r="B179" s="50" t="s">
        <v>1815</v>
      </c>
      <c r="C179" s="47">
        <v>9.6</v>
      </c>
      <c r="D179" s="52">
        <v>944.1</v>
      </c>
      <c r="E179" s="53">
        <f t="shared" si="266"/>
        <v>472.05</v>
      </c>
      <c r="F179" s="41">
        <f t="shared" si="267"/>
        <v>1416.15</v>
      </c>
      <c r="G179" s="53">
        <f t="shared" si="268"/>
        <v>1062.1125000000002</v>
      </c>
      <c r="H179" s="54">
        <f t="shared" si="269"/>
        <v>472.05</v>
      </c>
      <c r="I179" s="55">
        <f t="shared" si="270"/>
        <v>1888.2</v>
      </c>
      <c r="J179" s="56">
        <f t="shared" si="271"/>
        <v>1416.15</v>
      </c>
      <c r="K179" s="108">
        <f t="shared" si="253"/>
        <v>196.6875</v>
      </c>
      <c r="L179" s="194" t="s">
        <v>1978</v>
      </c>
      <c r="M179" s="304"/>
    </row>
    <row r="180" spans="1:13" ht="15.75" customHeight="1" x14ac:dyDescent="0.25">
      <c r="A180" s="49" t="s">
        <v>207</v>
      </c>
      <c r="B180" s="50" t="s">
        <v>187</v>
      </c>
      <c r="C180" s="47">
        <v>13.56</v>
      </c>
      <c r="D180" s="47">
        <v>1352.6849999999999</v>
      </c>
      <c r="E180" s="53">
        <f t="shared" ref="E180:E181" si="272">D180*50%</f>
        <v>676.34249999999997</v>
      </c>
      <c r="F180" s="41">
        <f t="shared" ref="F180:F181" si="273">D180+E180</f>
        <v>2029.0274999999999</v>
      </c>
      <c r="G180" s="53">
        <f t="shared" ref="G180:G181" si="274">F180-(F180*25%)</f>
        <v>1521.7706249999999</v>
      </c>
      <c r="H180" s="54">
        <f t="shared" ref="H180:H181" si="275">D180*50%</f>
        <v>676.34249999999997</v>
      </c>
      <c r="I180" s="55">
        <f t="shared" ref="I180:I181" si="276">D180+(H180*2)</f>
        <v>2705.37</v>
      </c>
      <c r="J180" s="56">
        <f t="shared" ref="J180:J181" si="277">I180-(I180*25%)</f>
        <v>2029.0274999999999</v>
      </c>
      <c r="K180" s="108">
        <f t="shared" si="253"/>
        <v>199.51106194690263</v>
      </c>
      <c r="L180" s="194" t="s">
        <v>1988</v>
      </c>
      <c r="M180" s="304"/>
    </row>
    <row r="181" spans="1:13" ht="15.75" customHeight="1" x14ac:dyDescent="0.25">
      <c r="A181" s="49" t="s">
        <v>208</v>
      </c>
      <c r="B181" s="50" t="s">
        <v>187</v>
      </c>
      <c r="C181" s="47">
        <v>13.56</v>
      </c>
      <c r="D181" s="47">
        <v>1352.6849999999999</v>
      </c>
      <c r="E181" s="53">
        <f t="shared" si="272"/>
        <v>676.34249999999997</v>
      </c>
      <c r="F181" s="41">
        <f t="shared" si="273"/>
        <v>2029.0274999999999</v>
      </c>
      <c r="G181" s="53">
        <f t="shared" si="274"/>
        <v>1521.7706249999999</v>
      </c>
      <c r="H181" s="54">
        <f t="shared" si="275"/>
        <v>676.34249999999997</v>
      </c>
      <c r="I181" s="55">
        <f t="shared" si="276"/>
        <v>2705.37</v>
      </c>
      <c r="J181" s="56">
        <f t="shared" si="277"/>
        <v>2029.0274999999999</v>
      </c>
      <c r="K181" s="108">
        <f t="shared" si="253"/>
        <v>199.51106194690263</v>
      </c>
      <c r="L181" s="194" t="s">
        <v>1988</v>
      </c>
      <c r="M181" s="304"/>
    </row>
    <row r="182" spans="1:13" ht="15.75" customHeight="1" x14ac:dyDescent="0.25">
      <c r="A182" s="49"/>
      <c r="B182" s="50"/>
      <c r="C182" s="47"/>
      <c r="D182" s="47"/>
      <c r="E182" s="57"/>
      <c r="F182" s="47"/>
      <c r="G182" s="57"/>
      <c r="H182" s="58"/>
      <c r="I182" s="199"/>
      <c r="J182" s="59"/>
      <c r="K182" s="108"/>
      <c r="L182" s="194"/>
      <c r="M182" s="304"/>
    </row>
    <row r="183" spans="1:13" ht="15.75" customHeight="1" x14ac:dyDescent="0.25">
      <c r="A183" s="49" t="s">
        <v>209</v>
      </c>
      <c r="B183" s="50" t="s">
        <v>210</v>
      </c>
      <c r="C183" s="47">
        <v>11.6</v>
      </c>
      <c r="D183" s="52">
        <v>1843.7</v>
      </c>
      <c r="E183" s="53">
        <f t="shared" ref="E183:E187" si="278">D183*50%</f>
        <v>921.85</v>
      </c>
      <c r="F183" s="41">
        <f t="shared" ref="F183:F187" si="279">D183+E183</f>
        <v>2765.55</v>
      </c>
      <c r="G183" s="53">
        <f t="shared" ref="G183:G187" si="280">F183-(F183*25%)</f>
        <v>2074.1625000000004</v>
      </c>
      <c r="H183" s="54">
        <f t="shared" ref="H183:H187" si="281">D183*50%</f>
        <v>921.85</v>
      </c>
      <c r="I183" s="55">
        <f t="shared" ref="I183:I187" si="282">D183+(H183*2)</f>
        <v>3687.4</v>
      </c>
      <c r="J183" s="56">
        <f t="shared" ref="J183:J187" si="283">I183-(I183*25%)</f>
        <v>2765.55</v>
      </c>
      <c r="K183" s="108">
        <f t="shared" ref="K183:K200" si="284">I183/C183</f>
        <v>317.87931034482762</v>
      </c>
      <c r="L183" s="194" t="s">
        <v>1978</v>
      </c>
      <c r="M183" s="304" t="s">
        <v>2305</v>
      </c>
    </row>
    <row r="184" spans="1:13" ht="15.75" customHeight="1" x14ac:dyDescent="0.25">
      <c r="A184" s="49" t="s">
        <v>211</v>
      </c>
      <c r="B184" s="50" t="s">
        <v>1888</v>
      </c>
      <c r="C184" s="47">
        <v>11.6</v>
      </c>
      <c r="D184" s="52">
        <v>1763.32</v>
      </c>
      <c r="E184" s="53">
        <f t="shared" si="278"/>
        <v>881.66</v>
      </c>
      <c r="F184" s="41">
        <f t="shared" si="279"/>
        <v>2644.98</v>
      </c>
      <c r="G184" s="53">
        <f t="shared" si="280"/>
        <v>1983.7350000000001</v>
      </c>
      <c r="H184" s="54">
        <f t="shared" si="281"/>
        <v>881.66</v>
      </c>
      <c r="I184" s="55">
        <f t="shared" si="282"/>
        <v>3526.64</v>
      </c>
      <c r="J184" s="56">
        <f t="shared" si="283"/>
        <v>2644.98</v>
      </c>
      <c r="K184" s="108">
        <f t="shared" si="284"/>
        <v>304.02068965517242</v>
      </c>
      <c r="L184" s="194" t="s">
        <v>1978</v>
      </c>
      <c r="M184" s="304" t="s">
        <v>2305</v>
      </c>
    </row>
    <row r="185" spans="1:13" ht="15.75" customHeight="1" x14ac:dyDescent="0.25">
      <c r="A185" s="49" t="s">
        <v>212</v>
      </c>
      <c r="B185" s="50" t="s">
        <v>2080</v>
      </c>
      <c r="C185" s="47">
        <v>11.6</v>
      </c>
      <c r="D185" s="52">
        <v>1763.32</v>
      </c>
      <c r="E185" s="53">
        <f t="shared" si="278"/>
        <v>881.66</v>
      </c>
      <c r="F185" s="41">
        <f t="shared" si="279"/>
        <v>2644.98</v>
      </c>
      <c r="G185" s="53">
        <f t="shared" si="280"/>
        <v>1983.7350000000001</v>
      </c>
      <c r="H185" s="54">
        <f t="shared" si="281"/>
        <v>881.66</v>
      </c>
      <c r="I185" s="55">
        <f t="shared" si="282"/>
        <v>3526.64</v>
      </c>
      <c r="J185" s="56">
        <f t="shared" si="283"/>
        <v>2644.98</v>
      </c>
      <c r="K185" s="108">
        <f t="shared" si="284"/>
        <v>304.02068965517242</v>
      </c>
      <c r="L185" s="194" t="s">
        <v>1995</v>
      </c>
      <c r="M185" s="304" t="s">
        <v>2305</v>
      </c>
    </row>
    <row r="186" spans="1:13" ht="15.75" customHeight="1" x14ac:dyDescent="0.25">
      <c r="A186" s="49" t="s">
        <v>213</v>
      </c>
      <c r="B186" s="50" t="s">
        <v>2311</v>
      </c>
      <c r="C186" s="47">
        <v>11.6</v>
      </c>
      <c r="D186" s="52">
        <v>1763.32</v>
      </c>
      <c r="E186" s="53">
        <f t="shared" si="278"/>
        <v>881.66</v>
      </c>
      <c r="F186" s="41">
        <f t="shared" si="279"/>
        <v>2644.98</v>
      </c>
      <c r="G186" s="53">
        <f t="shared" si="280"/>
        <v>1983.7350000000001</v>
      </c>
      <c r="H186" s="54">
        <f t="shared" si="281"/>
        <v>881.66</v>
      </c>
      <c r="I186" s="55">
        <f t="shared" si="282"/>
        <v>3526.64</v>
      </c>
      <c r="J186" s="56">
        <f t="shared" si="283"/>
        <v>2644.98</v>
      </c>
      <c r="K186" s="108">
        <f t="shared" si="284"/>
        <v>304.02068965517242</v>
      </c>
      <c r="L186" s="194" t="s">
        <v>1978</v>
      </c>
      <c r="M186" s="304" t="s">
        <v>2305</v>
      </c>
    </row>
    <row r="187" spans="1:13" ht="15.75" customHeight="1" x14ac:dyDescent="0.25">
      <c r="A187" s="49" t="s">
        <v>214</v>
      </c>
      <c r="B187" s="50" t="s">
        <v>1543</v>
      </c>
      <c r="C187" s="47">
        <v>11.6</v>
      </c>
      <c r="D187" s="52">
        <v>1763.32</v>
      </c>
      <c r="E187" s="53">
        <f t="shared" si="278"/>
        <v>881.66</v>
      </c>
      <c r="F187" s="41">
        <f t="shared" si="279"/>
        <v>2644.98</v>
      </c>
      <c r="G187" s="53">
        <f t="shared" si="280"/>
        <v>1983.7350000000001</v>
      </c>
      <c r="H187" s="54">
        <f t="shared" si="281"/>
        <v>881.66</v>
      </c>
      <c r="I187" s="55">
        <f t="shared" si="282"/>
        <v>3526.64</v>
      </c>
      <c r="J187" s="56">
        <f t="shared" si="283"/>
        <v>2644.98</v>
      </c>
      <c r="K187" s="108">
        <f t="shared" si="284"/>
        <v>304.02068965517242</v>
      </c>
      <c r="L187" s="194" t="s">
        <v>1978</v>
      </c>
      <c r="M187" s="304"/>
    </row>
    <row r="188" spans="1:13" ht="15.75" customHeight="1" x14ac:dyDescent="0.25">
      <c r="A188" s="49" t="s">
        <v>215</v>
      </c>
      <c r="B188" s="50" t="s">
        <v>1332</v>
      </c>
      <c r="C188" s="47">
        <v>23.66</v>
      </c>
      <c r="D188" s="52">
        <v>3109.65</v>
      </c>
      <c r="E188" s="53">
        <f t="shared" ref="E188:E189" si="285">D188*50%</f>
        <v>1554.825</v>
      </c>
      <c r="F188" s="41">
        <f t="shared" ref="F188:F189" si="286">D188+E188</f>
        <v>4664.4750000000004</v>
      </c>
      <c r="G188" s="53">
        <f t="shared" ref="G188:G189" si="287">F188-(F188*25%)</f>
        <v>3498.3562500000003</v>
      </c>
      <c r="H188" s="54">
        <f t="shared" ref="H188:H189" si="288">D188*50%</f>
        <v>1554.825</v>
      </c>
      <c r="I188" s="55">
        <f t="shared" ref="I188:I189" si="289">D188+(H188*2)</f>
        <v>6219.3</v>
      </c>
      <c r="J188" s="56">
        <f t="shared" ref="J188:J189" si="290">I188-(I188*25%)</f>
        <v>4664.4750000000004</v>
      </c>
      <c r="K188" s="108">
        <f t="shared" si="284"/>
        <v>262.86136939983095</v>
      </c>
      <c r="L188" s="194" t="s">
        <v>1978</v>
      </c>
      <c r="M188" s="304" t="s">
        <v>2305</v>
      </c>
    </row>
    <row r="189" spans="1:13" ht="15.75" customHeight="1" x14ac:dyDescent="0.25">
      <c r="A189" s="49" t="s">
        <v>216</v>
      </c>
      <c r="B189" s="50" t="s">
        <v>1412</v>
      </c>
      <c r="C189" s="47">
        <v>7.93</v>
      </c>
      <c r="D189" s="52">
        <v>1204.68</v>
      </c>
      <c r="E189" s="53">
        <f t="shared" si="285"/>
        <v>602.34</v>
      </c>
      <c r="F189" s="41">
        <f t="shared" si="286"/>
        <v>1807.02</v>
      </c>
      <c r="G189" s="53">
        <f t="shared" si="287"/>
        <v>1355.2649999999999</v>
      </c>
      <c r="H189" s="54">
        <f t="shared" si="288"/>
        <v>602.34</v>
      </c>
      <c r="I189" s="55">
        <f t="shared" si="289"/>
        <v>2409.36</v>
      </c>
      <c r="J189" s="56">
        <f t="shared" si="290"/>
        <v>1807.02</v>
      </c>
      <c r="K189" s="108">
        <f t="shared" si="284"/>
        <v>303.82849936948298</v>
      </c>
      <c r="L189" s="194" t="s">
        <v>1978</v>
      </c>
      <c r="M189" s="304" t="s">
        <v>2305</v>
      </c>
    </row>
    <row r="190" spans="1:13" ht="15.75" customHeight="1" x14ac:dyDescent="0.25">
      <c r="A190" s="49" t="s">
        <v>217</v>
      </c>
      <c r="B190" s="50" t="s">
        <v>1412</v>
      </c>
      <c r="C190" s="47">
        <v>7.93</v>
      </c>
      <c r="D190" s="52">
        <v>1204.68</v>
      </c>
      <c r="E190" s="53">
        <f t="shared" ref="E190" si="291">D190*50%</f>
        <v>602.34</v>
      </c>
      <c r="F190" s="41">
        <f t="shared" ref="F190" si="292">D190+E190</f>
        <v>1807.02</v>
      </c>
      <c r="G190" s="53">
        <f t="shared" ref="G190" si="293">F190-(F190*25%)</f>
        <v>1355.2649999999999</v>
      </c>
      <c r="H190" s="54">
        <f t="shared" ref="H190" si="294">D190*50%</f>
        <v>602.34</v>
      </c>
      <c r="I190" s="55">
        <f t="shared" ref="I190" si="295">D190+(H190*2)</f>
        <v>2409.36</v>
      </c>
      <c r="J190" s="56">
        <f t="shared" ref="J190" si="296">I190-(I190*25%)</f>
        <v>1807.02</v>
      </c>
      <c r="K190" s="108">
        <f t="shared" si="284"/>
        <v>303.82849936948298</v>
      </c>
      <c r="L190" s="194" t="s">
        <v>1978</v>
      </c>
      <c r="M190" s="304" t="s">
        <v>2305</v>
      </c>
    </row>
    <row r="191" spans="1:13" ht="15.75" customHeight="1" x14ac:dyDescent="0.25">
      <c r="A191" s="49" t="s">
        <v>218</v>
      </c>
      <c r="B191" s="50" t="s">
        <v>2150</v>
      </c>
      <c r="C191" s="47">
        <v>15.73</v>
      </c>
      <c r="D191" s="52">
        <v>2391.12</v>
      </c>
      <c r="E191" s="53">
        <f t="shared" ref="E191:E192" si="297">D191*50%</f>
        <v>1195.56</v>
      </c>
      <c r="F191" s="41">
        <f t="shared" ref="F191:F192" si="298">D191+E191</f>
        <v>3586.68</v>
      </c>
      <c r="G191" s="53">
        <f t="shared" ref="G191:G192" si="299">F191-(F191*25%)</f>
        <v>2690.0099999999998</v>
      </c>
      <c r="H191" s="54">
        <f t="shared" ref="H191:H192" si="300">D191*50%</f>
        <v>1195.56</v>
      </c>
      <c r="I191" s="55">
        <f t="shared" ref="I191:I192" si="301">D191+(H191*2)</f>
        <v>4782.24</v>
      </c>
      <c r="J191" s="56">
        <f t="shared" ref="J191:J192" si="302">I191-(I191*25%)</f>
        <v>3586.68</v>
      </c>
      <c r="K191" s="108">
        <f t="shared" si="284"/>
        <v>304.02034329307054</v>
      </c>
      <c r="L191" s="194" t="s">
        <v>2002</v>
      </c>
      <c r="M191" s="304" t="s">
        <v>2305</v>
      </c>
    </row>
    <row r="192" spans="1:13" ht="15.75" customHeight="1" x14ac:dyDescent="0.25">
      <c r="A192" s="49" t="s">
        <v>219</v>
      </c>
      <c r="B192" s="50" t="s">
        <v>220</v>
      </c>
      <c r="C192" s="47">
        <v>11.6</v>
      </c>
      <c r="D192" s="47">
        <v>1763.2149999999999</v>
      </c>
      <c r="E192" s="53">
        <f t="shared" si="297"/>
        <v>881.60749999999996</v>
      </c>
      <c r="F192" s="41">
        <f t="shared" si="298"/>
        <v>2644.8224999999998</v>
      </c>
      <c r="G192" s="53">
        <f t="shared" si="299"/>
        <v>1983.6168749999997</v>
      </c>
      <c r="H192" s="54">
        <f t="shared" si="300"/>
        <v>881.60749999999996</v>
      </c>
      <c r="I192" s="55">
        <f t="shared" si="301"/>
        <v>3526.43</v>
      </c>
      <c r="J192" s="56">
        <f t="shared" si="302"/>
        <v>2644.8224999999998</v>
      </c>
      <c r="K192" s="108">
        <f t="shared" si="284"/>
        <v>304.00258620689652</v>
      </c>
      <c r="L192" s="194" t="s">
        <v>1978</v>
      </c>
      <c r="M192" s="304" t="s">
        <v>2305</v>
      </c>
    </row>
    <row r="193" spans="1:13" ht="15.75" customHeight="1" x14ac:dyDescent="0.25">
      <c r="A193" s="49" t="s">
        <v>221</v>
      </c>
      <c r="B193" s="50" t="s">
        <v>222</v>
      </c>
      <c r="C193" s="47">
        <v>11.6</v>
      </c>
      <c r="D193" s="47">
        <v>1763.2149999999999</v>
      </c>
      <c r="E193" s="53">
        <f t="shared" ref="E193" si="303">D193*50%</f>
        <v>881.60749999999996</v>
      </c>
      <c r="F193" s="41">
        <f t="shared" ref="F193" si="304">D193+E193</f>
        <v>2644.8224999999998</v>
      </c>
      <c r="G193" s="53">
        <f t="shared" ref="G193" si="305">F193-(F193*25%)</f>
        <v>1983.6168749999997</v>
      </c>
      <c r="H193" s="54">
        <f t="shared" ref="H193" si="306">D193*50%</f>
        <v>881.60749999999996</v>
      </c>
      <c r="I193" s="55">
        <f t="shared" ref="I193" si="307">D193+(H193*2)</f>
        <v>3526.43</v>
      </c>
      <c r="J193" s="56">
        <f t="shared" ref="J193" si="308">I193-(I193*25%)</f>
        <v>2644.8224999999998</v>
      </c>
      <c r="K193" s="108">
        <f t="shared" si="284"/>
        <v>304.00258620689652</v>
      </c>
      <c r="L193" s="194" t="s">
        <v>1978</v>
      </c>
      <c r="M193" s="304" t="s">
        <v>2305</v>
      </c>
    </row>
    <row r="194" spans="1:13" ht="15.75" customHeight="1" x14ac:dyDescent="0.25">
      <c r="A194" s="49" t="s">
        <v>223</v>
      </c>
      <c r="B194" s="50" t="s">
        <v>1506</v>
      </c>
      <c r="C194" s="47">
        <v>11.6</v>
      </c>
      <c r="D194" s="52">
        <v>1763.37</v>
      </c>
      <c r="E194" s="53">
        <f t="shared" ref="E194:E195" si="309">D194*50%</f>
        <v>881.68499999999995</v>
      </c>
      <c r="F194" s="41">
        <f t="shared" ref="F194:F195" si="310">D194+E194</f>
        <v>2645.0549999999998</v>
      </c>
      <c r="G194" s="53">
        <f t="shared" ref="G194:G195" si="311">F194-(F194*25%)</f>
        <v>1983.7912499999998</v>
      </c>
      <c r="H194" s="54">
        <f t="shared" ref="H194:H195" si="312">D194*50%</f>
        <v>881.68499999999995</v>
      </c>
      <c r="I194" s="55">
        <f t="shared" ref="I194:I195" si="313">D194+(H194*2)</f>
        <v>3526.74</v>
      </c>
      <c r="J194" s="56">
        <f t="shared" ref="J194:J195" si="314">I194-(I194*25%)</f>
        <v>2645.0549999999998</v>
      </c>
      <c r="K194" s="108">
        <f t="shared" si="284"/>
        <v>304.02931034482759</v>
      </c>
      <c r="L194" s="194" t="s">
        <v>1995</v>
      </c>
      <c r="M194" s="304" t="s">
        <v>2305</v>
      </c>
    </row>
    <row r="195" spans="1:13" ht="15.75" customHeight="1" x14ac:dyDescent="0.25">
      <c r="A195" s="49" t="s">
        <v>224</v>
      </c>
      <c r="B195" s="50" t="s">
        <v>1583</v>
      </c>
      <c r="C195" s="47">
        <v>11.8</v>
      </c>
      <c r="D195" s="47">
        <v>1793.72</v>
      </c>
      <c r="E195" s="53">
        <f t="shared" si="309"/>
        <v>896.86</v>
      </c>
      <c r="F195" s="41">
        <f t="shared" si="310"/>
        <v>2690.58</v>
      </c>
      <c r="G195" s="53">
        <f t="shared" si="311"/>
        <v>2017.9349999999999</v>
      </c>
      <c r="H195" s="54">
        <f t="shared" si="312"/>
        <v>896.86</v>
      </c>
      <c r="I195" s="55">
        <f t="shared" si="313"/>
        <v>3587.44</v>
      </c>
      <c r="J195" s="56">
        <f t="shared" si="314"/>
        <v>2690.58</v>
      </c>
      <c r="K195" s="108">
        <f t="shared" si="284"/>
        <v>304.02033898305081</v>
      </c>
      <c r="L195" s="194" t="s">
        <v>1995</v>
      </c>
      <c r="M195" s="304" t="s">
        <v>2305</v>
      </c>
    </row>
    <row r="196" spans="1:13" ht="15.75" customHeight="1" x14ac:dyDescent="0.25">
      <c r="A196" s="49" t="s">
        <v>225</v>
      </c>
      <c r="B196" s="50" t="s">
        <v>1583</v>
      </c>
      <c r="C196" s="47">
        <v>11.8</v>
      </c>
      <c r="D196" s="47">
        <v>1793.72</v>
      </c>
      <c r="E196" s="53">
        <f t="shared" ref="E196" si="315">D196*50%</f>
        <v>896.86</v>
      </c>
      <c r="F196" s="41">
        <f t="shared" ref="F196" si="316">D196+E196</f>
        <v>2690.58</v>
      </c>
      <c r="G196" s="53">
        <f t="shared" ref="G196" si="317">F196-(F196*25%)</f>
        <v>2017.9349999999999</v>
      </c>
      <c r="H196" s="54">
        <f t="shared" ref="H196" si="318">D196*50%</f>
        <v>896.86</v>
      </c>
      <c r="I196" s="55">
        <f t="shared" ref="I196" si="319">D196+(H196*2)</f>
        <v>3587.44</v>
      </c>
      <c r="J196" s="56">
        <f t="shared" ref="J196" si="320">I196-(I196*25%)</f>
        <v>2690.58</v>
      </c>
      <c r="K196" s="108">
        <f t="shared" si="284"/>
        <v>304.02033898305081</v>
      </c>
      <c r="L196" s="194" t="s">
        <v>1995</v>
      </c>
      <c r="M196" s="304" t="s">
        <v>2305</v>
      </c>
    </row>
    <row r="197" spans="1:13" ht="15.75" customHeight="1" x14ac:dyDescent="0.25">
      <c r="A197" s="49" t="s">
        <v>226</v>
      </c>
      <c r="B197" s="50" t="s">
        <v>1539</v>
      </c>
      <c r="C197" s="47">
        <v>11.6</v>
      </c>
      <c r="D197" s="52">
        <v>1763.3150000000001</v>
      </c>
      <c r="E197" s="53">
        <f t="shared" ref="E197:E198" si="321">D197*50%</f>
        <v>881.65750000000003</v>
      </c>
      <c r="F197" s="41">
        <f t="shared" ref="F197:F198" si="322">D197+E197</f>
        <v>2644.9724999999999</v>
      </c>
      <c r="G197" s="53">
        <f t="shared" ref="G197:G198" si="323">F197-(F197*25%)</f>
        <v>1983.7293749999999</v>
      </c>
      <c r="H197" s="54">
        <f t="shared" ref="H197:H198" si="324">D197*50%</f>
        <v>881.65750000000003</v>
      </c>
      <c r="I197" s="55">
        <f t="shared" ref="I197:I198" si="325">D197+(H197*2)</f>
        <v>3526.63</v>
      </c>
      <c r="J197" s="56">
        <f t="shared" ref="J197:J198" si="326">I197-(I197*25%)</f>
        <v>2644.9724999999999</v>
      </c>
      <c r="K197" s="108">
        <f t="shared" si="284"/>
        <v>304.01982758620693</v>
      </c>
      <c r="L197" s="194" t="s">
        <v>1978</v>
      </c>
      <c r="M197" s="304" t="s">
        <v>2305</v>
      </c>
    </row>
    <row r="198" spans="1:13" ht="15.75" customHeight="1" x14ac:dyDescent="0.25">
      <c r="A198" s="49" t="s">
        <v>227</v>
      </c>
      <c r="B198" s="50" t="s">
        <v>1540</v>
      </c>
      <c r="C198" s="47">
        <v>11.6</v>
      </c>
      <c r="D198" s="52">
        <v>1763.3150000000001</v>
      </c>
      <c r="E198" s="53">
        <f t="shared" si="321"/>
        <v>881.65750000000003</v>
      </c>
      <c r="F198" s="41">
        <f t="shared" si="322"/>
        <v>2644.9724999999999</v>
      </c>
      <c r="G198" s="53">
        <f t="shared" si="323"/>
        <v>1983.7293749999999</v>
      </c>
      <c r="H198" s="54">
        <f t="shared" si="324"/>
        <v>881.65750000000003</v>
      </c>
      <c r="I198" s="55">
        <f t="shared" si="325"/>
        <v>3526.63</v>
      </c>
      <c r="J198" s="56">
        <f t="shared" si="326"/>
        <v>2644.9724999999999</v>
      </c>
      <c r="K198" s="108">
        <f t="shared" si="284"/>
        <v>304.01982758620693</v>
      </c>
      <c r="L198" s="194" t="s">
        <v>1978</v>
      </c>
      <c r="M198" s="304" t="s">
        <v>2305</v>
      </c>
    </row>
    <row r="199" spans="1:13" ht="15.75" customHeight="1" x14ac:dyDescent="0.25">
      <c r="A199" s="49" t="s">
        <v>228</v>
      </c>
      <c r="B199" s="50" t="s">
        <v>229</v>
      </c>
      <c r="C199" s="47">
        <v>12.32</v>
      </c>
      <c r="D199" s="52">
        <v>1958.14</v>
      </c>
      <c r="E199" s="53">
        <f t="shared" ref="E199:E200" si="327">D199*50%</f>
        <v>979.07</v>
      </c>
      <c r="F199" s="41">
        <f t="shared" ref="F199:F200" si="328">D199+E199</f>
        <v>2937.21</v>
      </c>
      <c r="G199" s="53">
        <f t="shared" ref="G199:G200" si="329">F199-(F199*25%)</f>
        <v>2202.9075000000003</v>
      </c>
      <c r="H199" s="54">
        <f t="shared" ref="H199:H200" si="330">D199*50%</f>
        <v>979.07</v>
      </c>
      <c r="I199" s="55">
        <f t="shared" ref="I199:I200" si="331">D199+(H199*2)</f>
        <v>3916.28</v>
      </c>
      <c r="J199" s="56">
        <f t="shared" ref="J199:J200" si="332">I199-(I199*25%)</f>
        <v>2937.21</v>
      </c>
      <c r="K199" s="108">
        <f t="shared" si="284"/>
        <v>317.87987012987014</v>
      </c>
      <c r="L199" s="194" t="s">
        <v>1978</v>
      </c>
      <c r="M199" s="304" t="s">
        <v>2305</v>
      </c>
    </row>
    <row r="200" spans="1:13" ht="15.75" customHeight="1" x14ac:dyDescent="0.25">
      <c r="A200" s="49" t="s">
        <v>230</v>
      </c>
      <c r="B200" s="50" t="s">
        <v>231</v>
      </c>
      <c r="C200" s="47">
        <v>14</v>
      </c>
      <c r="D200" s="52">
        <v>1357.02</v>
      </c>
      <c r="E200" s="53">
        <f t="shared" si="327"/>
        <v>678.51</v>
      </c>
      <c r="F200" s="41">
        <f t="shared" si="328"/>
        <v>2035.53</v>
      </c>
      <c r="G200" s="53">
        <f t="shared" si="329"/>
        <v>1526.6475</v>
      </c>
      <c r="H200" s="54">
        <f t="shared" si="330"/>
        <v>678.51</v>
      </c>
      <c r="I200" s="55">
        <f t="shared" si="331"/>
        <v>2714.04</v>
      </c>
      <c r="J200" s="56">
        <f t="shared" si="332"/>
        <v>2035.53</v>
      </c>
      <c r="K200" s="108">
        <f t="shared" si="284"/>
        <v>193.85999999999999</v>
      </c>
      <c r="L200" s="194" t="s">
        <v>1991</v>
      </c>
      <c r="M200" s="304" t="s">
        <v>2305</v>
      </c>
    </row>
    <row r="201" spans="1:13" ht="15.75" customHeight="1" x14ac:dyDescent="0.25">
      <c r="A201" s="49" t="s">
        <v>232</v>
      </c>
      <c r="B201" s="50"/>
      <c r="C201" s="47"/>
      <c r="D201" s="52"/>
      <c r="E201" s="57"/>
      <c r="F201" s="47"/>
      <c r="G201" s="57"/>
      <c r="H201" s="58"/>
      <c r="I201" s="199"/>
      <c r="J201" s="59"/>
      <c r="K201" s="108"/>
      <c r="L201" s="194"/>
      <c r="M201" s="304"/>
    </row>
    <row r="202" spans="1:13" ht="15.75" customHeight="1" x14ac:dyDescent="0.25">
      <c r="A202" s="49" t="s">
        <v>233</v>
      </c>
      <c r="B202" s="50" t="s">
        <v>2032</v>
      </c>
      <c r="C202" s="52">
        <v>14.4</v>
      </c>
      <c r="D202" s="52">
        <v>1569.6</v>
      </c>
      <c r="E202" s="53">
        <f t="shared" ref="E202:E203" si="333">D202*50%</f>
        <v>784.8</v>
      </c>
      <c r="F202" s="41">
        <f t="shared" ref="F202:F203" si="334">D202+E202</f>
        <v>2354.3999999999996</v>
      </c>
      <c r="G202" s="53">
        <f t="shared" ref="G202:G203" si="335">F202-(F202*25%)</f>
        <v>1765.7999999999997</v>
      </c>
      <c r="H202" s="54">
        <f t="shared" ref="H202:H203" si="336">D202*50%</f>
        <v>784.8</v>
      </c>
      <c r="I202" s="55">
        <f t="shared" ref="I202:I203" si="337">D202+(H202*2)</f>
        <v>3139.2</v>
      </c>
      <c r="J202" s="56">
        <f t="shared" ref="J202:J203" si="338">I202-(I202*25%)</f>
        <v>2354.3999999999996</v>
      </c>
      <c r="K202" s="108">
        <f t="shared" ref="K202:K208" si="339">I202/C202</f>
        <v>217.99999999999997</v>
      </c>
      <c r="L202" s="194" t="s">
        <v>1978</v>
      </c>
      <c r="M202" s="304" t="s">
        <v>2305</v>
      </c>
    </row>
    <row r="203" spans="1:13" ht="15.75" customHeight="1" x14ac:dyDescent="0.25">
      <c r="A203" s="49" t="s">
        <v>234</v>
      </c>
      <c r="B203" s="50" t="s">
        <v>2032</v>
      </c>
      <c r="C203" s="52">
        <v>7.2</v>
      </c>
      <c r="D203" s="52">
        <v>777.82</v>
      </c>
      <c r="E203" s="53">
        <f t="shared" si="333"/>
        <v>388.91</v>
      </c>
      <c r="F203" s="41">
        <f t="shared" si="334"/>
        <v>1166.73</v>
      </c>
      <c r="G203" s="53">
        <f t="shared" si="335"/>
        <v>875.04750000000001</v>
      </c>
      <c r="H203" s="54">
        <f t="shared" si="336"/>
        <v>388.91</v>
      </c>
      <c r="I203" s="55">
        <f t="shared" si="337"/>
        <v>1555.64</v>
      </c>
      <c r="J203" s="56">
        <f t="shared" si="338"/>
        <v>1166.73</v>
      </c>
      <c r="K203" s="108">
        <f t="shared" si="339"/>
        <v>216.06111111111113</v>
      </c>
      <c r="L203" s="194" t="s">
        <v>1991</v>
      </c>
      <c r="M203" s="304" t="s">
        <v>2305</v>
      </c>
    </row>
    <row r="204" spans="1:13" ht="15.75" customHeight="1" x14ac:dyDescent="0.25">
      <c r="A204" s="49" t="s">
        <v>235</v>
      </c>
      <c r="B204" s="50" t="s">
        <v>2231</v>
      </c>
      <c r="C204" s="52">
        <v>7.2</v>
      </c>
      <c r="D204" s="52">
        <v>778.06</v>
      </c>
      <c r="E204" s="53">
        <f t="shared" ref="E204" si="340">D204*50%</f>
        <v>389.03</v>
      </c>
      <c r="F204" s="41">
        <f t="shared" ref="F204" si="341">D204+E204</f>
        <v>1167.0899999999999</v>
      </c>
      <c r="G204" s="53">
        <f t="shared" ref="G204" si="342">F204-(F204*25%)</f>
        <v>875.31749999999988</v>
      </c>
      <c r="H204" s="54">
        <f t="shared" ref="H204" si="343">D204*50%</f>
        <v>389.03</v>
      </c>
      <c r="I204" s="55">
        <f t="shared" ref="I204" si="344">D204+(H204*2)</f>
        <v>1556.12</v>
      </c>
      <c r="J204" s="56">
        <f t="shared" ref="J204" si="345">I204-(I204*25%)</f>
        <v>1167.0899999999999</v>
      </c>
      <c r="K204" s="108">
        <f t="shared" si="339"/>
        <v>216.12777777777777</v>
      </c>
      <c r="L204" s="194" t="s">
        <v>1988</v>
      </c>
      <c r="M204" s="304" t="s">
        <v>2305</v>
      </c>
    </row>
    <row r="205" spans="1:13" ht="15.75" customHeight="1" x14ac:dyDescent="0.25">
      <c r="A205" s="49" t="s">
        <v>236</v>
      </c>
      <c r="B205" s="50" t="s">
        <v>2231</v>
      </c>
      <c r="C205" s="52">
        <v>7.2</v>
      </c>
      <c r="D205" s="52">
        <v>1241.3499999999999</v>
      </c>
      <c r="E205" s="53">
        <f t="shared" ref="E205" si="346">D205*50%</f>
        <v>620.67499999999995</v>
      </c>
      <c r="F205" s="41">
        <f t="shared" ref="F205" si="347">D205+E205</f>
        <v>1862.0249999999999</v>
      </c>
      <c r="G205" s="53">
        <f t="shared" ref="G205" si="348">F205-(F205*25%)</f>
        <v>1396.51875</v>
      </c>
      <c r="H205" s="54">
        <f t="shared" ref="H205" si="349">D205*50%</f>
        <v>620.67499999999995</v>
      </c>
      <c r="I205" s="55">
        <f t="shared" ref="I205" si="350">D205+(H205*2)</f>
        <v>2482.6999999999998</v>
      </c>
      <c r="J205" s="56">
        <f t="shared" ref="J205" si="351">I205-(I205*25%)</f>
        <v>1862.0249999999999</v>
      </c>
      <c r="K205" s="108">
        <f t="shared" si="339"/>
        <v>344.8194444444444</v>
      </c>
      <c r="L205" s="194" t="s">
        <v>1988</v>
      </c>
      <c r="M205" s="304" t="s">
        <v>2305</v>
      </c>
    </row>
    <row r="206" spans="1:13" ht="15.75" customHeight="1" x14ac:dyDescent="0.25">
      <c r="A206" s="49" t="s">
        <v>237</v>
      </c>
      <c r="B206" s="50" t="s">
        <v>2118</v>
      </c>
      <c r="C206" s="52">
        <v>12</v>
      </c>
      <c r="D206" s="52">
        <v>1296.355</v>
      </c>
      <c r="E206" s="53">
        <f t="shared" ref="E206:E216" si="352">D206*50%</f>
        <v>648.17750000000001</v>
      </c>
      <c r="F206" s="41">
        <f t="shared" ref="F206:F216" si="353">D206+E206</f>
        <v>1944.5325</v>
      </c>
      <c r="G206" s="53">
        <f t="shared" ref="G206:G216" si="354">F206-(F206*25%)</f>
        <v>1458.399375</v>
      </c>
      <c r="H206" s="54">
        <f t="shared" ref="H206:H216" si="355">D206*50%</f>
        <v>648.17750000000001</v>
      </c>
      <c r="I206" s="55">
        <f t="shared" ref="I206:I216" si="356">D206+(H206*2)</f>
        <v>2592.71</v>
      </c>
      <c r="J206" s="56">
        <f t="shared" ref="J206:J216" si="357">I206-(I206*25%)</f>
        <v>1944.5325</v>
      </c>
      <c r="K206" s="108">
        <f t="shared" si="339"/>
        <v>216.05916666666667</v>
      </c>
      <c r="L206" s="194" t="s">
        <v>2003</v>
      </c>
      <c r="M206" s="304"/>
    </row>
    <row r="207" spans="1:13" ht="15.75" customHeight="1" x14ac:dyDescent="0.25">
      <c r="A207" s="49" t="s">
        <v>238</v>
      </c>
      <c r="B207" s="50" t="s">
        <v>2031</v>
      </c>
      <c r="C207" s="52">
        <v>12</v>
      </c>
      <c r="D207" s="52">
        <v>1296.355</v>
      </c>
      <c r="E207" s="53">
        <f t="shared" si="352"/>
        <v>648.17750000000001</v>
      </c>
      <c r="F207" s="41">
        <f t="shared" si="353"/>
        <v>1944.5325</v>
      </c>
      <c r="G207" s="53">
        <f t="shared" si="354"/>
        <v>1458.399375</v>
      </c>
      <c r="H207" s="54">
        <f t="shared" si="355"/>
        <v>648.17750000000001</v>
      </c>
      <c r="I207" s="55">
        <f t="shared" si="356"/>
        <v>2592.71</v>
      </c>
      <c r="J207" s="56">
        <f t="shared" si="357"/>
        <v>1944.5325</v>
      </c>
      <c r="K207" s="108">
        <f t="shared" si="339"/>
        <v>216.05916666666667</v>
      </c>
      <c r="L207" s="194" t="s">
        <v>1994</v>
      </c>
      <c r="M207" s="304"/>
    </row>
    <row r="208" spans="1:13" ht="15.75" customHeight="1" x14ac:dyDescent="0.25">
      <c r="A208" s="49" t="s">
        <v>239</v>
      </c>
      <c r="B208" s="50" t="s">
        <v>1516</v>
      </c>
      <c r="C208" s="52">
        <v>12</v>
      </c>
      <c r="D208" s="52">
        <v>1296.355</v>
      </c>
      <c r="E208" s="53">
        <f t="shared" si="352"/>
        <v>648.17750000000001</v>
      </c>
      <c r="F208" s="41">
        <f t="shared" si="353"/>
        <v>1944.5325</v>
      </c>
      <c r="G208" s="53">
        <f t="shared" si="354"/>
        <v>1458.399375</v>
      </c>
      <c r="H208" s="54">
        <f t="shared" si="355"/>
        <v>648.17750000000001</v>
      </c>
      <c r="I208" s="55">
        <f t="shared" si="356"/>
        <v>2592.71</v>
      </c>
      <c r="J208" s="56">
        <f t="shared" si="357"/>
        <v>1944.5325</v>
      </c>
      <c r="K208" s="108">
        <f t="shared" si="339"/>
        <v>216.05916666666667</v>
      </c>
      <c r="L208" s="194" t="s">
        <v>1994</v>
      </c>
      <c r="M208" s="304"/>
    </row>
    <row r="209" spans="1:13" ht="15.75" customHeight="1" x14ac:dyDescent="0.25">
      <c r="A209" s="49" t="s">
        <v>240</v>
      </c>
      <c r="B209" s="225"/>
      <c r="C209" s="226"/>
      <c r="D209" s="226"/>
      <c r="E209" s="53">
        <f t="shared" si="352"/>
        <v>0</v>
      </c>
      <c r="F209" s="41">
        <f t="shared" si="353"/>
        <v>0</v>
      </c>
      <c r="G209" s="53">
        <f t="shared" si="354"/>
        <v>0</v>
      </c>
      <c r="H209" s="54">
        <f t="shared" si="355"/>
        <v>0</v>
      </c>
      <c r="I209" s="55">
        <f t="shared" si="356"/>
        <v>0</v>
      </c>
      <c r="J209" s="56">
        <f t="shared" si="357"/>
        <v>0</v>
      </c>
      <c r="K209" s="108"/>
      <c r="L209" s="194"/>
      <c r="M209" s="304"/>
    </row>
    <row r="210" spans="1:13" ht="15.75" customHeight="1" x14ac:dyDescent="0.25">
      <c r="A210" s="49" t="s">
        <v>241</v>
      </c>
      <c r="B210" s="225"/>
      <c r="C210" s="226"/>
      <c r="D210" s="226"/>
      <c r="E210" s="53">
        <f t="shared" si="352"/>
        <v>0</v>
      </c>
      <c r="F210" s="41">
        <f t="shared" si="353"/>
        <v>0</v>
      </c>
      <c r="G210" s="53">
        <f t="shared" si="354"/>
        <v>0</v>
      </c>
      <c r="H210" s="54">
        <f t="shared" si="355"/>
        <v>0</v>
      </c>
      <c r="I210" s="55">
        <f t="shared" si="356"/>
        <v>0</v>
      </c>
      <c r="J210" s="56">
        <f t="shared" si="357"/>
        <v>0</v>
      </c>
      <c r="K210" s="108"/>
      <c r="L210" s="194"/>
      <c r="M210" s="304"/>
    </row>
    <row r="211" spans="1:13" ht="15.75" customHeight="1" x14ac:dyDescent="0.25">
      <c r="A211" s="49" t="s">
        <v>242</v>
      </c>
      <c r="B211" s="50" t="s">
        <v>1393</v>
      </c>
      <c r="C211" s="52">
        <v>7.2</v>
      </c>
      <c r="D211" s="52">
        <v>777.81500000000005</v>
      </c>
      <c r="E211" s="53">
        <f t="shared" si="352"/>
        <v>388.90750000000003</v>
      </c>
      <c r="F211" s="41">
        <f t="shared" si="353"/>
        <v>1166.7225000000001</v>
      </c>
      <c r="G211" s="53">
        <f t="shared" si="354"/>
        <v>875.04187500000012</v>
      </c>
      <c r="H211" s="54">
        <f t="shared" si="355"/>
        <v>388.90750000000003</v>
      </c>
      <c r="I211" s="55">
        <f t="shared" si="356"/>
        <v>1555.63</v>
      </c>
      <c r="J211" s="56">
        <f t="shared" si="357"/>
        <v>1166.7225000000001</v>
      </c>
      <c r="K211" s="108">
        <f t="shared" ref="K211:K216" si="358">I211/C211</f>
        <v>216.05972222222223</v>
      </c>
      <c r="L211" s="194" t="s">
        <v>1988</v>
      </c>
      <c r="M211" s="304"/>
    </row>
    <row r="212" spans="1:13" ht="15.75" customHeight="1" x14ac:dyDescent="0.25">
      <c r="A212" s="49" t="s">
        <v>243</v>
      </c>
      <c r="B212" s="50" t="s">
        <v>1446</v>
      </c>
      <c r="C212" s="52">
        <v>7.2</v>
      </c>
      <c r="D212" s="52">
        <v>777.82</v>
      </c>
      <c r="E212" s="53">
        <f t="shared" si="352"/>
        <v>388.91</v>
      </c>
      <c r="F212" s="41">
        <f t="shared" si="353"/>
        <v>1166.73</v>
      </c>
      <c r="G212" s="53">
        <f t="shared" si="354"/>
        <v>875.04750000000001</v>
      </c>
      <c r="H212" s="54">
        <f t="shared" si="355"/>
        <v>388.91</v>
      </c>
      <c r="I212" s="55">
        <f t="shared" si="356"/>
        <v>1555.64</v>
      </c>
      <c r="J212" s="56">
        <f t="shared" si="357"/>
        <v>1166.73</v>
      </c>
      <c r="K212" s="108">
        <f t="shared" si="358"/>
        <v>216.06111111111113</v>
      </c>
      <c r="L212" s="194" t="s">
        <v>1978</v>
      </c>
      <c r="M212" s="304"/>
    </row>
    <row r="213" spans="1:13" ht="15.75" customHeight="1" x14ac:dyDescent="0.25">
      <c r="A213" s="49" t="s">
        <v>244</v>
      </c>
      <c r="B213" s="227" t="s">
        <v>2228</v>
      </c>
      <c r="C213" s="52">
        <v>7.2</v>
      </c>
      <c r="D213" s="52">
        <v>777.81</v>
      </c>
      <c r="E213" s="53">
        <f t="shared" si="352"/>
        <v>388.90499999999997</v>
      </c>
      <c r="F213" s="41">
        <f t="shared" si="353"/>
        <v>1166.7149999999999</v>
      </c>
      <c r="G213" s="53">
        <f t="shared" si="354"/>
        <v>875.03624999999988</v>
      </c>
      <c r="H213" s="54">
        <f t="shared" si="355"/>
        <v>388.90499999999997</v>
      </c>
      <c r="I213" s="55">
        <f t="shared" si="356"/>
        <v>1555.62</v>
      </c>
      <c r="J213" s="56">
        <f t="shared" si="357"/>
        <v>1166.7149999999999</v>
      </c>
      <c r="K213" s="108">
        <f t="shared" si="358"/>
        <v>216.05833333333331</v>
      </c>
      <c r="L213" s="194"/>
      <c r="M213" s="304"/>
    </row>
    <row r="214" spans="1:13" ht="15.75" customHeight="1" x14ac:dyDescent="0.25">
      <c r="A214" s="49" t="s">
        <v>245</v>
      </c>
      <c r="B214" s="50" t="s">
        <v>1318</v>
      </c>
      <c r="C214" s="52">
        <v>7.2</v>
      </c>
      <c r="D214" s="52">
        <v>1313.5</v>
      </c>
      <c r="E214" s="53">
        <f t="shared" si="352"/>
        <v>656.75</v>
      </c>
      <c r="F214" s="41">
        <f t="shared" si="353"/>
        <v>1970.25</v>
      </c>
      <c r="G214" s="53">
        <f t="shared" si="354"/>
        <v>1477.6875</v>
      </c>
      <c r="H214" s="54">
        <f t="shared" si="355"/>
        <v>656.75</v>
      </c>
      <c r="I214" s="55">
        <f t="shared" si="356"/>
        <v>2627</v>
      </c>
      <c r="J214" s="56">
        <f t="shared" si="357"/>
        <v>1970.25</v>
      </c>
      <c r="K214" s="108">
        <f t="shared" si="358"/>
        <v>364.86111111111109</v>
      </c>
      <c r="L214" s="194" t="s">
        <v>1978</v>
      </c>
      <c r="M214" s="304"/>
    </row>
    <row r="215" spans="1:13" ht="15.75" customHeight="1" x14ac:dyDescent="0.25">
      <c r="A215" s="49" t="s">
        <v>246</v>
      </c>
      <c r="B215" s="50" t="s">
        <v>247</v>
      </c>
      <c r="C215" s="52">
        <v>7.2</v>
      </c>
      <c r="D215" s="52">
        <v>1313.5</v>
      </c>
      <c r="E215" s="53">
        <f t="shared" si="352"/>
        <v>656.75</v>
      </c>
      <c r="F215" s="41">
        <f t="shared" si="353"/>
        <v>1970.25</v>
      </c>
      <c r="G215" s="53">
        <f t="shared" si="354"/>
        <v>1477.6875</v>
      </c>
      <c r="H215" s="54">
        <f t="shared" si="355"/>
        <v>656.75</v>
      </c>
      <c r="I215" s="55">
        <f t="shared" si="356"/>
        <v>2627</v>
      </c>
      <c r="J215" s="56">
        <f t="shared" si="357"/>
        <v>1970.25</v>
      </c>
      <c r="K215" s="108">
        <f t="shared" si="358"/>
        <v>364.86111111111109</v>
      </c>
      <c r="L215" s="194" t="s">
        <v>1988</v>
      </c>
      <c r="M215" s="304"/>
    </row>
    <row r="216" spans="1:13" ht="15.75" customHeight="1" x14ac:dyDescent="0.25">
      <c r="A216" s="49" t="s">
        <v>248</v>
      </c>
      <c r="B216" s="50" t="s">
        <v>249</v>
      </c>
      <c r="C216" s="52">
        <v>7.2</v>
      </c>
      <c r="D216" s="52">
        <v>1313.4949999999999</v>
      </c>
      <c r="E216" s="53">
        <f t="shared" si="352"/>
        <v>656.74749999999995</v>
      </c>
      <c r="F216" s="41">
        <f t="shared" si="353"/>
        <v>1970.2424999999998</v>
      </c>
      <c r="G216" s="53">
        <f t="shared" si="354"/>
        <v>1477.6818749999998</v>
      </c>
      <c r="H216" s="54">
        <f t="shared" si="355"/>
        <v>656.74749999999995</v>
      </c>
      <c r="I216" s="55">
        <f t="shared" si="356"/>
        <v>2626.99</v>
      </c>
      <c r="J216" s="56">
        <f t="shared" si="357"/>
        <v>1970.2424999999998</v>
      </c>
      <c r="K216" s="108">
        <f t="shared" si="358"/>
        <v>364.85972222222216</v>
      </c>
      <c r="L216" s="194" t="s">
        <v>1978</v>
      </c>
      <c r="M216" s="304"/>
    </row>
    <row r="217" spans="1:13" ht="15.75" customHeight="1" x14ac:dyDescent="0.25">
      <c r="A217" s="65"/>
      <c r="B217" s="65"/>
      <c r="C217" s="57"/>
      <c r="D217" s="57"/>
      <c r="E217" s="57"/>
      <c r="F217" s="47"/>
      <c r="G217" s="57"/>
      <c r="H217" s="58"/>
      <c r="I217" s="199"/>
      <c r="J217" s="59"/>
      <c r="K217" s="108"/>
      <c r="L217" s="194"/>
      <c r="M217" s="304"/>
    </row>
    <row r="218" spans="1:13" ht="15.75" customHeight="1" x14ac:dyDescent="0.25">
      <c r="A218" s="49" t="s">
        <v>250</v>
      </c>
      <c r="B218" s="50" t="s">
        <v>2281</v>
      </c>
      <c r="C218" s="47">
        <v>15.69</v>
      </c>
      <c r="D218" s="52">
        <v>4567.665</v>
      </c>
      <c r="E218" s="53">
        <f t="shared" ref="E218:E222" si="359">D218*50%</f>
        <v>2283.8325</v>
      </c>
      <c r="F218" s="41">
        <f t="shared" ref="F218:F222" si="360">D218+E218</f>
        <v>6851.4974999999995</v>
      </c>
      <c r="G218" s="53">
        <f t="shared" ref="G218:G222" si="361">F218-(F218*25%)</f>
        <v>5138.6231250000001</v>
      </c>
      <c r="H218" s="54">
        <f t="shared" ref="H218:H222" si="362">D218*50%</f>
        <v>2283.8325</v>
      </c>
      <c r="I218" s="55">
        <f t="shared" ref="I218:I222" si="363">D218+(H218*2)</f>
        <v>9135.33</v>
      </c>
      <c r="J218" s="56">
        <f t="shared" ref="J218:J222" si="364">I218-(I218*25%)</f>
        <v>6851.4974999999995</v>
      </c>
      <c r="K218" s="108">
        <f t="shared" ref="K218:K225" si="365">I218/C218</f>
        <v>582.23900573613764</v>
      </c>
      <c r="L218" s="194" t="s">
        <v>1992</v>
      </c>
      <c r="M218" s="304"/>
    </row>
    <row r="219" spans="1:13" ht="15.75" customHeight="1" x14ac:dyDescent="0.25">
      <c r="A219" s="49" t="s">
        <v>251</v>
      </c>
      <c r="B219" s="50" t="s">
        <v>2265</v>
      </c>
      <c r="C219" s="47">
        <v>15.69</v>
      </c>
      <c r="D219" s="52">
        <v>2493.7750000000001</v>
      </c>
      <c r="E219" s="53">
        <f t="shared" si="359"/>
        <v>1246.8875</v>
      </c>
      <c r="F219" s="41">
        <f t="shared" si="360"/>
        <v>3740.6625000000004</v>
      </c>
      <c r="G219" s="53">
        <f t="shared" si="361"/>
        <v>2805.4968750000003</v>
      </c>
      <c r="H219" s="54">
        <f t="shared" si="362"/>
        <v>1246.8875</v>
      </c>
      <c r="I219" s="55">
        <f t="shared" si="363"/>
        <v>4987.55</v>
      </c>
      <c r="J219" s="56">
        <f t="shared" si="364"/>
        <v>3740.6625000000004</v>
      </c>
      <c r="K219" s="108">
        <f t="shared" si="365"/>
        <v>317.88081580624606</v>
      </c>
      <c r="L219" s="194" t="s">
        <v>1988</v>
      </c>
      <c r="M219" s="304"/>
    </row>
    <row r="220" spans="1:13" ht="15.75" customHeight="1" x14ac:dyDescent="0.25">
      <c r="A220" s="49" t="s">
        <v>252</v>
      </c>
      <c r="B220" s="50" t="s">
        <v>1505</v>
      </c>
      <c r="C220" s="47">
        <v>23.37</v>
      </c>
      <c r="D220" s="52">
        <v>6803.17</v>
      </c>
      <c r="E220" s="53">
        <f t="shared" si="359"/>
        <v>3401.585</v>
      </c>
      <c r="F220" s="41">
        <f t="shared" si="360"/>
        <v>10204.755000000001</v>
      </c>
      <c r="G220" s="53">
        <f t="shared" si="361"/>
        <v>7653.5662500000008</v>
      </c>
      <c r="H220" s="54">
        <f t="shared" si="362"/>
        <v>3401.585</v>
      </c>
      <c r="I220" s="55">
        <f t="shared" si="363"/>
        <v>13606.34</v>
      </c>
      <c r="J220" s="56">
        <f t="shared" si="364"/>
        <v>10204.755000000001</v>
      </c>
      <c r="K220" s="108">
        <f t="shared" si="365"/>
        <v>582.21394950791614</v>
      </c>
      <c r="L220" s="194" t="s">
        <v>1988</v>
      </c>
      <c r="M220" s="304"/>
    </row>
    <row r="221" spans="1:13" ht="15.75" customHeight="1" x14ac:dyDescent="0.25">
      <c r="A221" s="49" t="s">
        <v>253</v>
      </c>
      <c r="B221" s="50" t="s">
        <v>254</v>
      </c>
      <c r="C221" s="47">
        <v>7.84</v>
      </c>
      <c r="D221" s="47">
        <v>1087.4000000000001</v>
      </c>
      <c r="E221" s="53">
        <f t="shared" si="359"/>
        <v>543.70000000000005</v>
      </c>
      <c r="F221" s="41">
        <f t="shared" si="360"/>
        <v>1631.1000000000001</v>
      </c>
      <c r="G221" s="53">
        <f t="shared" si="361"/>
        <v>1223.325</v>
      </c>
      <c r="H221" s="54">
        <f t="shared" si="362"/>
        <v>543.70000000000005</v>
      </c>
      <c r="I221" s="55">
        <f t="shared" si="363"/>
        <v>2174.8000000000002</v>
      </c>
      <c r="J221" s="56">
        <f t="shared" si="364"/>
        <v>1631.1000000000001</v>
      </c>
      <c r="K221" s="108">
        <f t="shared" si="365"/>
        <v>277.39795918367349</v>
      </c>
      <c r="L221" s="194" t="s">
        <v>1988</v>
      </c>
      <c r="M221" s="304"/>
    </row>
    <row r="222" spans="1:13" ht="15.75" customHeight="1" x14ac:dyDescent="0.25">
      <c r="A222" s="49" t="s">
        <v>255</v>
      </c>
      <c r="B222" s="50" t="s">
        <v>254</v>
      </c>
      <c r="C222" s="47">
        <v>7.84</v>
      </c>
      <c r="D222" s="47">
        <v>1087.405</v>
      </c>
      <c r="E222" s="53">
        <f t="shared" si="359"/>
        <v>543.70249999999999</v>
      </c>
      <c r="F222" s="41">
        <f t="shared" si="360"/>
        <v>1631.1075000000001</v>
      </c>
      <c r="G222" s="53">
        <f t="shared" si="361"/>
        <v>1223.3306250000001</v>
      </c>
      <c r="H222" s="54">
        <f t="shared" si="362"/>
        <v>543.70249999999999</v>
      </c>
      <c r="I222" s="55">
        <f t="shared" si="363"/>
        <v>2174.81</v>
      </c>
      <c r="J222" s="56">
        <f t="shared" si="364"/>
        <v>1631.1075000000001</v>
      </c>
      <c r="K222" s="108">
        <f t="shared" si="365"/>
        <v>277.39923469387753</v>
      </c>
      <c r="L222" s="194" t="s">
        <v>1988</v>
      </c>
      <c r="M222" s="304"/>
    </row>
    <row r="223" spans="1:13" ht="15.75" customHeight="1" x14ac:dyDescent="0.25">
      <c r="A223" s="49" t="s">
        <v>256</v>
      </c>
      <c r="B223" s="50" t="s">
        <v>2227</v>
      </c>
      <c r="C223" s="47">
        <v>7.84</v>
      </c>
      <c r="D223" s="47">
        <v>1023.43</v>
      </c>
      <c r="E223" s="53">
        <f t="shared" ref="E223" si="366">D223*50%</f>
        <v>511.71499999999997</v>
      </c>
      <c r="F223" s="41">
        <f t="shared" ref="F223" si="367">D223+E223</f>
        <v>1535.145</v>
      </c>
      <c r="G223" s="53">
        <f t="shared" ref="G223" si="368">F223-(F223*25%)</f>
        <v>1151.3587499999999</v>
      </c>
      <c r="H223" s="54">
        <f t="shared" ref="H223" si="369">D223*50%</f>
        <v>511.71499999999997</v>
      </c>
      <c r="I223" s="55">
        <f t="shared" ref="I223" si="370">D223+(H223*2)</f>
        <v>2046.86</v>
      </c>
      <c r="J223" s="56">
        <f t="shared" ref="J223" si="371">I223-(I223*25%)</f>
        <v>1535.145</v>
      </c>
      <c r="K223" s="108">
        <f t="shared" si="365"/>
        <v>261.07908163265307</v>
      </c>
      <c r="L223" s="194" t="s">
        <v>1988</v>
      </c>
      <c r="M223" s="304"/>
    </row>
    <row r="224" spans="1:13" ht="15.75" customHeight="1" x14ac:dyDescent="0.25">
      <c r="A224" s="49" t="s">
        <v>257</v>
      </c>
      <c r="B224" s="50" t="s">
        <v>2266</v>
      </c>
      <c r="C224" s="47">
        <v>7.84</v>
      </c>
      <c r="D224" s="47">
        <v>1023.4349999999999</v>
      </c>
      <c r="E224" s="53">
        <f t="shared" ref="E224" si="372">D224*50%</f>
        <v>511.71749999999997</v>
      </c>
      <c r="F224" s="41">
        <f t="shared" ref="F224" si="373">D224+E224</f>
        <v>1535.1524999999999</v>
      </c>
      <c r="G224" s="53">
        <f t="shared" ref="G224" si="374">F224-(F224*25%)</f>
        <v>1151.3643749999999</v>
      </c>
      <c r="H224" s="54">
        <f t="shared" ref="H224" si="375">D224*50%</f>
        <v>511.71749999999997</v>
      </c>
      <c r="I224" s="55">
        <f t="shared" ref="I224" si="376">D224+(H224*2)</f>
        <v>2046.87</v>
      </c>
      <c r="J224" s="56">
        <f t="shared" ref="J224" si="377">I224-(I224*25%)</f>
        <v>1535.1524999999999</v>
      </c>
      <c r="K224" s="108">
        <f t="shared" si="365"/>
        <v>261.08035714285711</v>
      </c>
      <c r="L224" s="194" t="s">
        <v>1988</v>
      </c>
      <c r="M224" s="304"/>
    </row>
    <row r="225" spans="1:13" ht="15.75" customHeight="1" x14ac:dyDescent="0.25">
      <c r="A225" s="49" t="s">
        <v>258</v>
      </c>
      <c r="B225" s="50" t="s">
        <v>254</v>
      </c>
      <c r="C225" s="47">
        <v>7.84</v>
      </c>
      <c r="D225" s="47">
        <v>1087.405</v>
      </c>
      <c r="E225" s="53">
        <f t="shared" ref="E225" si="378">D225*50%</f>
        <v>543.70249999999999</v>
      </c>
      <c r="F225" s="41">
        <f t="shared" ref="F225" si="379">D225+E225</f>
        <v>1631.1075000000001</v>
      </c>
      <c r="G225" s="53">
        <f t="shared" ref="G225" si="380">F225-(F225*25%)</f>
        <v>1223.3306250000001</v>
      </c>
      <c r="H225" s="54">
        <f t="shared" ref="H225" si="381">D225*50%</f>
        <v>543.70249999999999</v>
      </c>
      <c r="I225" s="55">
        <f t="shared" ref="I225" si="382">D225+(H225*2)</f>
        <v>2174.81</v>
      </c>
      <c r="J225" s="56">
        <f t="shared" ref="J225" si="383">I225-(I225*25%)</f>
        <v>1631.1075000000001</v>
      </c>
      <c r="K225" s="108">
        <f t="shared" si="365"/>
        <v>277.39923469387753</v>
      </c>
      <c r="L225" s="194" t="s">
        <v>1988</v>
      </c>
      <c r="M225" s="304"/>
    </row>
    <row r="226" spans="1:13" ht="15.75" customHeight="1" x14ac:dyDescent="0.25">
      <c r="A226" s="49"/>
      <c r="B226" s="50"/>
      <c r="C226" s="47"/>
      <c r="D226" s="47"/>
      <c r="E226" s="57"/>
      <c r="F226" s="47"/>
      <c r="G226" s="57"/>
      <c r="H226" s="58"/>
      <c r="I226" s="199"/>
      <c r="J226" s="59"/>
      <c r="K226" s="108"/>
      <c r="L226" s="194"/>
      <c r="M226" s="304"/>
    </row>
    <row r="227" spans="1:13" ht="15.75" customHeight="1" x14ac:dyDescent="0.25">
      <c r="A227" s="49" t="s">
        <v>259</v>
      </c>
      <c r="B227" s="50" t="s">
        <v>260</v>
      </c>
      <c r="C227" s="47">
        <v>9.8000000000000007</v>
      </c>
      <c r="D227" s="52">
        <v>997.36</v>
      </c>
      <c r="E227" s="53">
        <f t="shared" ref="E227" si="384">D227*50%</f>
        <v>498.68</v>
      </c>
      <c r="F227" s="41">
        <f t="shared" ref="F227" si="385">D227+E227</f>
        <v>1496.04</v>
      </c>
      <c r="G227" s="53">
        <f t="shared" ref="G227" si="386">F227-(F227*25%)</f>
        <v>1122.03</v>
      </c>
      <c r="H227" s="54">
        <f t="shared" ref="H227" si="387">D227*50%</f>
        <v>498.68</v>
      </c>
      <c r="I227" s="55">
        <f t="shared" ref="I227" si="388">D227+(H227*2)</f>
        <v>1994.72</v>
      </c>
      <c r="J227" s="56">
        <f t="shared" ref="J227" si="389">I227-(I227*25%)</f>
        <v>1496.04</v>
      </c>
      <c r="K227" s="108">
        <f t="shared" ref="K227:K231" si="390">I227/C227</f>
        <v>203.54285714285714</v>
      </c>
      <c r="L227" s="194" t="s">
        <v>1988</v>
      </c>
      <c r="M227" s="304" t="s">
        <v>2305</v>
      </c>
    </row>
    <row r="228" spans="1:13" ht="15.75" customHeight="1" x14ac:dyDescent="0.25">
      <c r="A228" s="49" t="s">
        <v>261</v>
      </c>
      <c r="B228" s="50" t="s">
        <v>262</v>
      </c>
      <c r="C228" s="47">
        <v>9.8000000000000007</v>
      </c>
      <c r="D228" s="52">
        <v>997.36</v>
      </c>
      <c r="E228" s="53">
        <f t="shared" ref="E228" si="391">D228*50%</f>
        <v>498.68</v>
      </c>
      <c r="F228" s="41">
        <f t="shared" ref="F228" si="392">D228+E228</f>
        <v>1496.04</v>
      </c>
      <c r="G228" s="53">
        <f t="shared" ref="G228" si="393">F228-(F228*25%)</f>
        <v>1122.03</v>
      </c>
      <c r="H228" s="54">
        <f t="shared" ref="H228" si="394">D228*50%</f>
        <v>498.68</v>
      </c>
      <c r="I228" s="55">
        <f t="shared" ref="I228" si="395">D228+(H228*2)</f>
        <v>1994.72</v>
      </c>
      <c r="J228" s="56">
        <f t="shared" ref="J228" si="396">I228-(I228*25%)</f>
        <v>1496.04</v>
      </c>
      <c r="K228" s="108">
        <f t="shared" si="390"/>
        <v>203.54285714285714</v>
      </c>
      <c r="L228" s="194" t="s">
        <v>1988</v>
      </c>
      <c r="M228" s="304" t="s">
        <v>2305</v>
      </c>
    </row>
    <row r="229" spans="1:13" ht="15.75" customHeight="1" x14ac:dyDescent="0.25">
      <c r="A229" s="49" t="s">
        <v>263</v>
      </c>
      <c r="B229" s="50" t="s">
        <v>254</v>
      </c>
      <c r="C229" s="47">
        <v>9.8000000000000007</v>
      </c>
      <c r="D229" s="47">
        <v>1087.405</v>
      </c>
      <c r="E229" s="53">
        <f t="shared" ref="E229" si="397">D229*50%</f>
        <v>543.70249999999999</v>
      </c>
      <c r="F229" s="41">
        <f t="shared" ref="F229" si="398">D229+E229</f>
        <v>1631.1075000000001</v>
      </c>
      <c r="G229" s="53">
        <f t="shared" ref="G229" si="399">F229-(F229*25%)</f>
        <v>1223.3306250000001</v>
      </c>
      <c r="H229" s="54">
        <f t="shared" ref="H229" si="400">D229*50%</f>
        <v>543.70249999999999</v>
      </c>
      <c r="I229" s="55">
        <f t="shared" ref="I229" si="401">D229+(H229*2)</f>
        <v>2174.81</v>
      </c>
      <c r="J229" s="56">
        <f t="shared" ref="J229" si="402">I229-(I229*25%)</f>
        <v>1631.1075000000001</v>
      </c>
      <c r="K229" s="108">
        <f t="shared" si="390"/>
        <v>221.91938775510201</v>
      </c>
      <c r="L229" s="194" t="s">
        <v>1988</v>
      </c>
      <c r="M229" s="304"/>
    </row>
    <row r="230" spans="1:13" ht="15.75" customHeight="1" x14ac:dyDescent="0.25">
      <c r="A230" s="49" t="s">
        <v>264</v>
      </c>
      <c r="B230" s="50" t="s">
        <v>262</v>
      </c>
      <c r="C230" s="47">
        <v>9.8000000000000007</v>
      </c>
      <c r="D230" s="52">
        <v>997.36</v>
      </c>
      <c r="E230" s="53">
        <f t="shared" ref="E230" si="403">D230*50%</f>
        <v>498.68</v>
      </c>
      <c r="F230" s="41">
        <f t="shared" ref="F230" si="404">D230+E230</f>
        <v>1496.04</v>
      </c>
      <c r="G230" s="53">
        <f t="shared" ref="G230" si="405">F230-(F230*25%)</f>
        <v>1122.03</v>
      </c>
      <c r="H230" s="54">
        <f t="shared" ref="H230" si="406">D230*50%</f>
        <v>498.68</v>
      </c>
      <c r="I230" s="55">
        <f t="shared" ref="I230" si="407">D230+(H230*2)</f>
        <v>1994.72</v>
      </c>
      <c r="J230" s="56">
        <f t="shared" ref="J230" si="408">I230-(I230*25%)</f>
        <v>1496.04</v>
      </c>
      <c r="K230" s="108">
        <f t="shared" si="390"/>
        <v>203.54285714285714</v>
      </c>
      <c r="L230" s="194" t="s">
        <v>1988</v>
      </c>
      <c r="M230" s="304" t="s">
        <v>2305</v>
      </c>
    </row>
    <row r="231" spans="1:13" ht="15.75" customHeight="1" x14ac:dyDescent="0.25">
      <c r="A231" s="49" t="s">
        <v>265</v>
      </c>
      <c r="B231" s="50" t="s">
        <v>1342</v>
      </c>
      <c r="C231" s="47">
        <v>10.92</v>
      </c>
      <c r="D231" s="52">
        <v>2119.9</v>
      </c>
      <c r="E231" s="53">
        <f t="shared" ref="E231" si="409">D231*50%</f>
        <v>1059.95</v>
      </c>
      <c r="F231" s="41">
        <f t="shared" ref="F231" si="410">D231+E231</f>
        <v>3179.8500000000004</v>
      </c>
      <c r="G231" s="53">
        <f t="shared" ref="G231" si="411">F231-(F231*25%)</f>
        <v>2384.8875000000003</v>
      </c>
      <c r="H231" s="54">
        <f t="shared" ref="H231" si="412">D231*50%</f>
        <v>1059.95</v>
      </c>
      <c r="I231" s="55">
        <f t="shared" ref="I231" si="413">D231+(H231*2)</f>
        <v>4239.8</v>
      </c>
      <c r="J231" s="56">
        <f t="shared" ref="J231" si="414">I231-(I231*25%)</f>
        <v>3179.8500000000004</v>
      </c>
      <c r="K231" s="108">
        <f t="shared" si="390"/>
        <v>388.26007326007328</v>
      </c>
      <c r="L231" s="194" t="s">
        <v>2004</v>
      </c>
      <c r="M231" s="304"/>
    </row>
    <row r="232" spans="1:13" ht="15.75" customHeight="1" x14ac:dyDescent="0.25">
      <c r="A232" s="49"/>
      <c r="B232" s="50"/>
      <c r="C232" s="47"/>
      <c r="D232" s="52"/>
      <c r="E232" s="57"/>
      <c r="F232" s="47"/>
      <c r="G232" s="57"/>
      <c r="H232" s="58"/>
      <c r="I232" s="199"/>
      <c r="J232" s="59"/>
      <c r="K232" s="108"/>
      <c r="L232" s="194"/>
      <c r="M232" s="304"/>
    </row>
    <row r="233" spans="1:13" ht="15.75" customHeight="1" x14ac:dyDescent="0.25">
      <c r="A233" s="49" t="s">
        <v>266</v>
      </c>
      <c r="B233" s="50" t="s">
        <v>267</v>
      </c>
      <c r="C233" s="47">
        <v>14.08</v>
      </c>
      <c r="D233" s="52">
        <v>2733.355</v>
      </c>
      <c r="E233" s="53">
        <f t="shared" ref="E233:E238" si="415">D233*50%</f>
        <v>1366.6775</v>
      </c>
      <c r="F233" s="41">
        <f t="shared" ref="F233:F238" si="416">D233+E233</f>
        <v>4100.0325000000003</v>
      </c>
      <c r="G233" s="53">
        <f t="shared" ref="G233:G238" si="417">F233-(F233*25%)</f>
        <v>3075.024375</v>
      </c>
      <c r="H233" s="54">
        <f t="shared" ref="H233:H238" si="418">D233*50%</f>
        <v>1366.6775</v>
      </c>
      <c r="I233" s="55">
        <f t="shared" ref="I233:I238" si="419">D233+(H233*2)</f>
        <v>5466.71</v>
      </c>
      <c r="J233" s="56">
        <f t="shared" ref="J233:J238" si="420">I233-(I233*25%)</f>
        <v>4100.0325000000003</v>
      </c>
      <c r="K233" s="108">
        <f t="shared" ref="K233:K244" si="421">I233/C233</f>
        <v>388.26065340909093</v>
      </c>
      <c r="L233" s="194" t="s">
        <v>1978</v>
      </c>
      <c r="M233" s="304"/>
    </row>
    <row r="234" spans="1:13" ht="15.75" customHeight="1" x14ac:dyDescent="0.25">
      <c r="A234" s="49" t="s">
        <v>268</v>
      </c>
      <c r="B234" s="50" t="s">
        <v>2136</v>
      </c>
      <c r="C234" s="47">
        <v>11.55</v>
      </c>
      <c r="D234" s="52">
        <v>1471.93</v>
      </c>
      <c r="E234" s="53">
        <f t="shared" si="415"/>
        <v>735.96500000000003</v>
      </c>
      <c r="F234" s="41">
        <f t="shared" si="416"/>
        <v>2207.895</v>
      </c>
      <c r="G234" s="53">
        <f t="shared" si="417"/>
        <v>1655.9212499999999</v>
      </c>
      <c r="H234" s="54">
        <f t="shared" si="418"/>
        <v>735.96500000000003</v>
      </c>
      <c r="I234" s="55">
        <f t="shared" si="419"/>
        <v>2943.86</v>
      </c>
      <c r="J234" s="56">
        <f t="shared" si="420"/>
        <v>2207.895</v>
      </c>
      <c r="K234" s="108">
        <f t="shared" si="421"/>
        <v>254.87965367965367</v>
      </c>
      <c r="L234" s="194"/>
      <c r="M234" s="304"/>
    </row>
    <row r="235" spans="1:13" ht="15.75" customHeight="1" x14ac:dyDescent="0.25">
      <c r="A235" s="49" t="s">
        <v>269</v>
      </c>
      <c r="B235" s="50" t="s">
        <v>1413</v>
      </c>
      <c r="C235" s="47">
        <v>21.13</v>
      </c>
      <c r="D235" s="52">
        <v>2692.81</v>
      </c>
      <c r="E235" s="53">
        <f t="shared" si="415"/>
        <v>1346.405</v>
      </c>
      <c r="F235" s="41">
        <f t="shared" si="416"/>
        <v>4039.2150000000001</v>
      </c>
      <c r="G235" s="53">
        <f t="shared" si="417"/>
        <v>3029.4112500000001</v>
      </c>
      <c r="H235" s="54">
        <f t="shared" si="418"/>
        <v>1346.405</v>
      </c>
      <c r="I235" s="55">
        <f t="shared" si="419"/>
        <v>5385.62</v>
      </c>
      <c r="J235" s="56">
        <f t="shared" si="420"/>
        <v>4039.2150000000001</v>
      </c>
      <c r="K235" s="108">
        <f t="shared" si="421"/>
        <v>254.88026502602935</v>
      </c>
      <c r="L235" s="194" t="s">
        <v>1984</v>
      </c>
      <c r="M235" s="304"/>
    </row>
    <row r="236" spans="1:13" ht="15.75" customHeight="1" x14ac:dyDescent="0.25">
      <c r="A236" s="49" t="s">
        <v>270</v>
      </c>
      <c r="B236" s="50" t="s">
        <v>262</v>
      </c>
      <c r="C236" s="47">
        <v>17.420000000000002</v>
      </c>
      <c r="D236" s="47">
        <v>1904.31</v>
      </c>
      <c r="E236" s="53">
        <f t="shared" si="415"/>
        <v>952.15499999999997</v>
      </c>
      <c r="F236" s="41">
        <f t="shared" si="416"/>
        <v>2856.4650000000001</v>
      </c>
      <c r="G236" s="53">
        <f t="shared" si="417"/>
        <v>2142.3487500000001</v>
      </c>
      <c r="H236" s="54">
        <f t="shared" si="418"/>
        <v>952.15499999999997</v>
      </c>
      <c r="I236" s="55">
        <f t="shared" si="419"/>
        <v>3808.62</v>
      </c>
      <c r="J236" s="56">
        <f t="shared" si="420"/>
        <v>2856.4650000000001</v>
      </c>
      <c r="K236" s="108">
        <f t="shared" si="421"/>
        <v>218.63490241102178</v>
      </c>
      <c r="L236" s="194" t="s">
        <v>1988</v>
      </c>
      <c r="M236" s="304" t="s">
        <v>2305</v>
      </c>
    </row>
    <row r="237" spans="1:13" ht="15.75" customHeight="1" x14ac:dyDescent="0.25">
      <c r="A237" s="49" t="s">
        <v>271</v>
      </c>
      <c r="B237" s="50" t="s">
        <v>272</v>
      </c>
      <c r="C237" s="47">
        <v>14.51</v>
      </c>
      <c r="D237" s="52">
        <v>1849.15</v>
      </c>
      <c r="E237" s="53">
        <f t="shared" si="415"/>
        <v>924.57500000000005</v>
      </c>
      <c r="F237" s="41">
        <f t="shared" si="416"/>
        <v>2773.7250000000004</v>
      </c>
      <c r="G237" s="53">
        <f t="shared" si="417"/>
        <v>2080.2937500000003</v>
      </c>
      <c r="H237" s="54">
        <f t="shared" si="418"/>
        <v>924.57500000000005</v>
      </c>
      <c r="I237" s="55">
        <f t="shared" si="419"/>
        <v>3698.3</v>
      </c>
      <c r="J237" s="56">
        <f t="shared" si="420"/>
        <v>2773.7250000000004</v>
      </c>
      <c r="K237" s="108">
        <f t="shared" si="421"/>
        <v>254.87939352170918</v>
      </c>
      <c r="L237" s="194" t="s">
        <v>2005</v>
      </c>
      <c r="M237" s="304"/>
    </row>
    <row r="238" spans="1:13" ht="15.75" customHeight="1" x14ac:dyDescent="0.25">
      <c r="A238" s="49" t="s">
        <v>273</v>
      </c>
      <c r="B238" s="50" t="s">
        <v>1541</v>
      </c>
      <c r="C238" s="47">
        <v>11.31</v>
      </c>
      <c r="D238" s="47">
        <v>1441.345</v>
      </c>
      <c r="E238" s="53">
        <f t="shared" si="415"/>
        <v>720.67250000000001</v>
      </c>
      <c r="F238" s="41">
        <f t="shared" si="416"/>
        <v>2162.0174999999999</v>
      </c>
      <c r="G238" s="53">
        <f t="shared" si="417"/>
        <v>1621.5131249999999</v>
      </c>
      <c r="H238" s="54">
        <f t="shared" si="418"/>
        <v>720.67250000000001</v>
      </c>
      <c r="I238" s="55">
        <f t="shared" si="419"/>
        <v>2882.69</v>
      </c>
      <c r="J238" s="56">
        <f t="shared" si="420"/>
        <v>2162.0174999999999</v>
      </c>
      <c r="K238" s="108">
        <f t="shared" si="421"/>
        <v>254.87975243147656</v>
      </c>
      <c r="L238" s="194" t="s">
        <v>1978</v>
      </c>
      <c r="M238" s="304"/>
    </row>
    <row r="239" spans="1:13" ht="15.75" customHeight="1" x14ac:dyDescent="0.25">
      <c r="A239" s="49" t="s">
        <v>274</v>
      </c>
      <c r="B239" s="50" t="s">
        <v>1541</v>
      </c>
      <c r="C239" s="47">
        <v>11.31</v>
      </c>
      <c r="D239" s="47">
        <v>1441.35</v>
      </c>
      <c r="E239" s="53">
        <f t="shared" ref="E239:E240" si="422">D239*50%</f>
        <v>720.67499999999995</v>
      </c>
      <c r="F239" s="41">
        <f t="shared" ref="F239:F240" si="423">D239+E239</f>
        <v>2162.0249999999996</v>
      </c>
      <c r="G239" s="53">
        <f t="shared" ref="G239:G240" si="424">F239-(F239*25%)</f>
        <v>1621.5187499999997</v>
      </c>
      <c r="H239" s="54">
        <f t="shared" ref="H239:H240" si="425">D239*50%</f>
        <v>720.67499999999995</v>
      </c>
      <c r="I239" s="55">
        <f t="shared" ref="I239:I240" si="426">D239+(H239*2)</f>
        <v>2882.7</v>
      </c>
      <c r="J239" s="56">
        <f t="shared" ref="J239:J240" si="427">I239-(I239*25%)</f>
        <v>2162.0249999999996</v>
      </c>
      <c r="K239" s="108">
        <f t="shared" si="421"/>
        <v>254.88063660477451</v>
      </c>
      <c r="L239" s="194" t="s">
        <v>1978</v>
      </c>
      <c r="M239" s="304"/>
    </row>
    <row r="240" spans="1:13" ht="15.75" customHeight="1" x14ac:dyDescent="0.25">
      <c r="A240" s="49" t="s">
        <v>275</v>
      </c>
      <c r="B240" s="50" t="s">
        <v>1546</v>
      </c>
      <c r="C240" s="47">
        <v>23.71</v>
      </c>
      <c r="D240" s="47">
        <v>1510.8</v>
      </c>
      <c r="E240" s="53">
        <f t="shared" si="422"/>
        <v>755.4</v>
      </c>
      <c r="F240" s="41">
        <f t="shared" si="423"/>
        <v>2266.1999999999998</v>
      </c>
      <c r="G240" s="53">
        <f t="shared" si="424"/>
        <v>1699.6499999999999</v>
      </c>
      <c r="H240" s="54">
        <f t="shared" si="425"/>
        <v>755.4</v>
      </c>
      <c r="I240" s="55">
        <f t="shared" si="426"/>
        <v>3021.6</v>
      </c>
      <c r="J240" s="56">
        <f t="shared" si="427"/>
        <v>2266.1999999999998</v>
      </c>
      <c r="K240" s="108">
        <f t="shared" si="421"/>
        <v>127.43989877688738</v>
      </c>
      <c r="L240" s="194" t="s">
        <v>2006</v>
      </c>
      <c r="M240" s="304"/>
    </row>
    <row r="241" spans="1:13" ht="15.75" customHeight="1" x14ac:dyDescent="0.25">
      <c r="A241" s="49" t="s">
        <v>276</v>
      </c>
      <c r="B241" s="50" t="s">
        <v>1546</v>
      </c>
      <c r="C241" s="47">
        <v>23.71</v>
      </c>
      <c r="D241" s="47">
        <v>1510.8</v>
      </c>
      <c r="E241" s="53">
        <f t="shared" ref="E241:E244" si="428">D241*50%</f>
        <v>755.4</v>
      </c>
      <c r="F241" s="41">
        <f t="shared" ref="F241:F244" si="429">D241+E241</f>
        <v>2266.1999999999998</v>
      </c>
      <c r="G241" s="53">
        <f t="shared" ref="G241:G244" si="430">F241-(F241*25%)</f>
        <v>1699.6499999999999</v>
      </c>
      <c r="H241" s="54">
        <f t="shared" ref="H241:H244" si="431">D241*50%</f>
        <v>755.4</v>
      </c>
      <c r="I241" s="55">
        <f t="shared" ref="I241:I244" si="432">D241+(H241*2)</f>
        <v>3021.6</v>
      </c>
      <c r="J241" s="56">
        <f t="shared" ref="J241:J244" si="433">I241-(I241*25%)</f>
        <v>2266.1999999999998</v>
      </c>
      <c r="K241" s="108">
        <f t="shared" si="421"/>
        <v>127.43989877688738</v>
      </c>
      <c r="L241" s="194" t="s">
        <v>2006</v>
      </c>
      <c r="M241" s="304"/>
    </row>
    <row r="242" spans="1:13" ht="15.75" customHeight="1" x14ac:dyDescent="0.25">
      <c r="A242" s="49" t="s">
        <v>277</v>
      </c>
      <c r="B242" s="50" t="s">
        <v>1416</v>
      </c>
      <c r="C242" s="47">
        <v>21.99</v>
      </c>
      <c r="D242" s="52">
        <v>2255.5100000000002</v>
      </c>
      <c r="E242" s="53">
        <f t="shared" si="428"/>
        <v>1127.7550000000001</v>
      </c>
      <c r="F242" s="41">
        <f t="shared" si="429"/>
        <v>3383.2650000000003</v>
      </c>
      <c r="G242" s="53">
        <f t="shared" si="430"/>
        <v>2537.4487500000005</v>
      </c>
      <c r="H242" s="54">
        <f t="shared" si="431"/>
        <v>1127.7550000000001</v>
      </c>
      <c r="I242" s="55">
        <f t="shared" si="432"/>
        <v>4511.0200000000004</v>
      </c>
      <c r="J242" s="56">
        <f t="shared" si="433"/>
        <v>3383.2650000000003</v>
      </c>
      <c r="K242" s="108">
        <f t="shared" si="421"/>
        <v>205.13960891314238</v>
      </c>
      <c r="L242" s="194" t="s">
        <v>2005</v>
      </c>
      <c r="M242" s="304"/>
    </row>
    <row r="243" spans="1:13" ht="15.75" customHeight="1" x14ac:dyDescent="0.25">
      <c r="A243" s="49" t="s">
        <v>278</v>
      </c>
      <c r="B243" s="50" t="s">
        <v>1416</v>
      </c>
      <c r="C243" s="47">
        <v>9.64</v>
      </c>
      <c r="D243" s="52">
        <v>988.77</v>
      </c>
      <c r="E243" s="53">
        <f t="shared" si="428"/>
        <v>494.38499999999999</v>
      </c>
      <c r="F243" s="41">
        <f t="shared" si="429"/>
        <v>1483.155</v>
      </c>
      <c r="G243" s="53">
        <f t="shared" si="430"/>
        <v>1112.36625</v>
      </c>
      <c r="H243" s="54">
        <f t="shared" si="431"/>
        <v>494.38499999999999</v>
      </c>
      <c r="I243" s="55">
        <f t="shared" si="432"/>
        <v>1977.54</v>
      </c>
      <c r="J243" s="56">
        <f t="shared" si="433"/>
        <v>1483.155</v>
      </c>
      <c r="K243" s="108">
        <f t="shared" si="421"/>
        <v>205.13900414937757</v>
      </c>
      <c r="L243" s="194" t="s">
        <v>2005</v>
      </c>
      <c r="M243" s="304"/>
    </row>
    <row r="244" spans="1:13" ht="15.75" customHeight="1" x14ac:dyDescent="0.25">
      <c r="A244" s="49" t="s">
        <v>279</v>
      </c>
      <c r="B244" s="50" t="s">
        <v>280</v>
      </c>
      <c r="C244" s="47">
        <v>31.04</v>
      </c>
      <c r="D244" s="52">
        <v>4933.5</v>
      </c>
      <c r="E244" s="53">
        <f t="shared" si="428"/>
        <v>2466.75</v>
      </c>
      <c r="F244" s="41">
        <f t="shared" si="429"/>
        <v>7400.25</v>
      </c>
      <c r="G244" s="53">
        <f t="shared" si="430"/>
        <v>5550.1875</v>
      </c>
      <c r="H244" s="54">
        <f t="shared" si="431"/>
        <v>2466.75</v>
      </c>
      <c r="I244" s="55">
        <f t="shared" si="432"/>
        <v>9867</v>
      </c>
      <c r="J244" s="56">
        <f t="shared" si="433"/>
        <v>7400.25</v>
      </c>
      <c r="K244" s="108">
        <f t="shared" si="421"/>
        <v>317.88015463917526</v>
      </c>
      <c r="L244" s="194" t="s">
        <v>2007</v>
      </c>
      <c r="M244" s="304"/>
    </row>
    <row r="245" spans="1:13" ht="15.75" customHeight="1" x14ac:dyDescent="0.25">
      <c r="A245" s="65"/>
      <c r="B245" s="65"/>
      <c r="C245" s="57"/>
      <c r="D245" s="57"/>
      <c r="E245" s="57"/>
      <c r="F245" s="47"/>
      <c r="G245" s="57"/>
      <c r="H245" s="58"/>
      <c r="I245" s="199"/>
      <c r="J245" s="59"/>
      <c r="K245" s="108"/>
      <c r="L245" s="194"/>
      <c r="M245" s="304"/>
    </row>
    <row r="246" spans="1:13" ht="15.75" customHeight="1" x14ac:dyDescent="0.25">
      <c r="A246" s="49" t="s">
        <v>281</v>
      </c>
      <c r="B246" s="50" t="s">
        <v>1622</v>
      </c>
      <c r="C246" s="47">
        <v>10.82</v>
      </c>
      <c r="D246" s="52">
        <v>1109.81</v>
      </c>
      <c r="E246" s="53">
        <f t="shared" ref="E246:E247" si="434">D246*50%</f>
        <v>554.90499999999997</v>
      </c>
      <c r="F246" s="41">
        <f t="shared" ref="F246:F247" si="435">D246+E246</f>
        <v>1664.7149999999999</v>
      </c>
      <c r="G246" s="53">
        <f t="shared" ref="G246:G247" si="436">F246-(F246*25%)</f>
        <v>1248.5362499999999</v>
      </c>
      <c r="H246" s="54">
        <f t="shared" ref="H246:H247" si="437">D246*50%</f>
        <v>554.90499999999997</v>
      </c>
      <c r="I246" s="55">
        <f t="shared" ref="I246:I247" si="438">D246+(H246*2)</f>
        <v>2219.62</v>
      </c>
      <c r="J246" s="56">
        <f t="shared" ref="J246:J247" si="439">I246-(I246*25%)</f>
        <v>1664.7149999999999</v>
      </c>
      <c r="K246" s="108">
        <f t="shared" ref="K246:K254" si="440">I246/C246</f>
        <v>205.14048059149721</v>
      </c>
      <c r="L246" s="194" t="s">
        <v>1978</v>
      </c>
      <c r="M246" s="304" t="s">
        <v>2305</v>
      </c>
    </row>
    <row r="247" spans="1:13" ht="15.75" customHeight="1" x14ac:dyDescent="0.25">
      <c r="A247" s="49" t="s">
        <v>282</v>
      </c>
      <c r="B247" s="50" t="s">
        <v>283</v>
      </c>
      <c r="C247" s="47">
        <v>10.45</v>
      </c>
      <c r="D247" s="52">
        <v>1802.2049999999999</v>
      </c>
      <c r="E247" s="53">
        <f t="shared" si="434"/>
        <v>901.10249999999996</v>
      </c>
      <c r="F247" s="41">
        <f t="shared" si="435"/>
        <v>2703.3074999999999</v>
      </c>
      <c r="G247" s="53">
        <f t="shared" si="436"/>
        <v>2027.4806249999999</v>
      </c>
      <c r="H247" s="54">
        <f t="shared" si="437"/>
        <v>901.10249999999996</v>
      </c>
      <c r="I247" s="55">
        <f t="shared" si="438"/>
        <v>3604.41</v>
      </c>
      <c r="J247" s="56">
        <f t="shared" si="439"/>
        <v>2703.3074999999999</v>
      </c>
      <c r="K247" s="108">
        <f t="shared" si="440"/>
        <v>344.91961722488037</v>
      </c>
      <c r="L247" s="194" t="s">
        <v>1978</v>
      </c>
      <c r="M247" s="304" t="s">
        <v>2305</v>
      </c>
    </row>
    <row r="248" spans="1:13" ht="15.75" customHeight="1" x14ac:dyDescent="0.25">
      <c r="A248" s="49" t="s">
        <v>284</v>
      </c>
      <c r="B248" s="50" t="s">
        <v>285</v>
      </c>
      <c r="C248" s="47">
        <v>10.45</v>
      </c>
      <c r="D248" s="52">
        <v>1802.2049999999999</v>
      </c>
      <c r="E248" s="53">
        <f t="shared" ref="E248" si="441">D248*50%</f>
        <v>901.10249999999996</v>
      </c>
      <c r="F248" s="41">
        <f t="shared" ref="F248" si="442">D248+E248</f>
        <v>2703.3074999999999</v>
      </c>
      <c r="G248" s="53">
        <f t="shared" ref="G248" si="443">F248-(F248*25%)</f>
        <v>2027.4806249999999</v>
      </c>
      <c r="H248" s="54">
        <f t="shared" ref="H248" si="444">D248*50%</f>
        <v>901.10249999999996</v>
      </c>
      <c r="I248" s="55">
        <f t="shared" ref="I248" si="445">D248+(H248*2)</f>
        <v>3604.41</v>
      </c>
      <c r="J248" s="56">
        <f t="shared" ref="J248" si="446">I248-(I248*25%)</f>
        <v>2703.3074999999999</v>
      </c>
      <c r="K248" s="108">
        <f t="shared" si="440"/>
        <v>344.91961722488037</v>
      </c>
      <c r="L248" s="194" t="s">
        <v>1978</v>
      </c>
      <c r="M248" s="304" t="s">
        <v>2305</v>
      </c>
    </row>
    <row r="249" spans="1:13" ht="15.75" customHeight="1" x14ac:dyDescent="0.25">
      <c r="A249" s="49" t="s">
        <v>286</v>
      </c>
      <c r="B249" s="50" t="s">
        <v>285</v>
      </c>
      <c r="C249" s="47">
        <v>10.45</v>
      </c>
      <c r="D249" s="52">
        <v>1802.21</v>
      </c>
      <c r="E249" s="53">
        <f t="shared" ref="E249" si="447">D249*50%</f>
        <v>901.10500000000002</v>
      </c>
      <c r="F249" s="41">
        <f t="shared" ref="F249" si="448">D249+E249</f>
        <v>2703.3150000000001</v>
      </c>
      <c r="G249" s="53">
        <f t="shared" ref="G249" si="449">F249-(F249*25%)</f>
        <v>2027.4862499999999</v>
      </c>
      <c r="H249" s="54">
        <f t="shared" ref="H249" si="450">D249*50%</f>
        <v>901.10500000000002</v>
      </c>
      <c r="I249" s="55">
        <f t="shared" ref="I249" si="451">D249+(H249*2)</f>
        <v>3604.42</v>
      </c>
      <c r="J249" s="56">
        <f t="shared" ref="J249" si="452">I249-(I249*25%)</f>
        <v>2703.3150000000001</v>
      </c>
      <c r="K249" s="108">
        <f t="shared" si="440"/>
        <v>344.92057416267943</v>
      </c>
      <c r="L249" s="194" t="s">
        <v>1978</v>
      </c>
      <c r="M249" s="304" t="s">
        <v>2305</v>
      </c>
    </row>
    <row r="250" spans="1:13" ht="15.75" customHeight="1" x14ac:dyDescent="0.25">
      <c r="A250" s="49" t="s">
        <v>287</v>
      </c>
      <c r="B250" s="50" t="s">
        <v>2217</v>
      </c>
      <c r="C250" s="47">
        <v>16.100000000000001</v>
      </c>
      <c r="D250" s="52">
        <v>2432.16</v>
      </c>
      <c r="E250" s="53">
        <f t="shared" ref="E250:E252" si="453">D250*50%</f>
        <v>1216.08</v>
      </c>
      <c r="F250" s="41">
        <f t="shared" ref="F250:F252" si="454">D250+E250</f>
        <v>3648.24</v>
      </c>
      <c r="G250" s="53">
        <f t="shared" ref="G250:G252" si="455">F250-(F250*25%)</f>
        <v>2736.18</v>
      </c>
      <c r="H250" s="54">
        <f t="shared" ref="H250:H252" si="456">D250*50%</f>
        <v>1216.08</v>
      </c>
      <c r="I250" s="55">
        <f t="shared" ref="I250:I252" si="457">D250+(H250*2)</f>
        <v>4864.32</v>
      </c>
      <c r="J250" s="56">
        <f t="shared" ref="J250:J252" si="458">I250-(I250*25%)</f>
        <v>3648.24</v>
      </c>
      <c r="K250" s="108">
        <f t="shared" si="440"/>
        <v>302.13167701863347</v>
      </c>
      <c r="L250" s="194" t="s">
        <v>1978</v>
      </c>
      <c r="M250" s="304" t="s">
        <v>2305</v>
      </c>
    </row>
    <row r="251" spans="1:13" ht="15.75" customHeight="1" x14ac:dyDescent="0.25">
      <c r="A251" s="49" t="s">
        <v>288</v>
      </c>
      <c r="B251" s="50" t="s">
        <v>289</v>
      </c>
      <c r="C251" s="47">
        <v>13.7</v>
      </c>
      <c r="D251" s="52">
        <v>2177.48</v>
      </c>
      <c r="E251" s="53">
        <f t="shared" si="453"/>
        <v>1088.74</v>
      </c>
      <c r="F251" s="41">
        <f t="shared" si="454"/>
        <v>3266.2200000000003</v>
      </c>
      <c r="G251" s="53">
        <f t="shared" si="455"/>
        <v>2449.665</v>
      </c>
      <c r="H251" s="54">
        <f t="shared" si="456"/>
        <v>1088.74</v>
      </c>
      <c r="I251" s="55">
        <f t="shared" si="457"/>
        <v>4354.96</v>
      </c>
      <c r="J251" s="56">
        <f t="shared" si="458"/>
        <v>3266.2200000000003</v>
      </c>
      <c r="K251" s="108">
        <f t="shared" si="440"/>
        <v>317.88029197080294</v>
      </c>
      <c r="L251" s="194" t="s">
        <v>1978</v>
      </c>
      <c r="M251" s="304" t="s">
        <v>2305</v>
      </c>
    </row>
    <row r="252" spans="1:13" ht="15.75" customHeight="1" x14ac:dyDescent="0.25">
      <c r="A252" s="49" t="s">
        <v>290</v>
      </c>
      <c r="B252" s="50" t="s">
        <v>1777</v>
      </c>
      <c r="C252" s="47">
        <v>14.38</v>
      </c>
      <c r="D252" s="47">
        <v>1818.7</v>
      </c>
      <c r="E252" s="53">
        <f t="shared" si="453"/>
        <v>909.35</v>
      </c>
      <c r="F252" s="41">
        <f t="shared" si="454"/>
        <v>2728.05</v>
      </c>
      <c r="G252" s="53">
        <f t="shared" si="455"/>
        <v>2046.0375000000001</v>
      </c>
      <c r="H252" s="54">
        <f t="shared" si="456"/>
        <v>909.35</v>
      </c>
      <c r="I252" s="55">
        <f t="shared" si="457"/>
        <v>3637.4</v>
      </c>
      <c r="J252" s="56">
        <f t="shared" si="458"/>
        <v>2728.05</v>
      </c>
      <c r="K252" s="108">
        <f t="shared" si="440"/>
        <v>252.94853963838665</v>
      </c>
      <c r="L252" s="194" t="s">
        <v>1981</v>
      </c>
      <c r="M252" s="304"/>
    </row>
    <row r="253" spans="1:13" ht="15.75" customHeight="1" x14ac:dyDescent="0.25">
      <c r="A253" s="49" t="s">
        <v>291</v>
      </c>
      <c r="B253" s="50" t="s">
        <v>1789</v>
      </c>
      <c r="C253" s="47">
        <v>14.38</v>
      </c>
      <c r="D253" s="47">
        <v>1818.7049999999999</v>
      </c>
      <c r="E253" s="53">
        <f t="shared" ref="E253" si="459">D253*50%</f>
        <v>909.35249999999996</v>
      </c>
      <c r="F253" s="41">
        <f t="shared" ref="F253" si="460">D253+E253</f>
        <v>2728.0574999999999</v>
      </c>
      <c r="G253" s="53">
        <f t="shared" ref="G253" si="461">F253-(F253*25%)</f>
        <v>2046.0431249999999</v>
      </c>
      <c r="H253" s="54">
        <f t="shared" ref="H253" si="462">D253*50%</f>
        <v>909.35249999999996</v>
      </c>
      <c r="I253" s="55">
        <f t="shared" ref="I253" si="463">D253+(H253*2)</f>
        <v>3637.41</v>
      </c>
      <c r="J253" s="56">
        <f t="shared" ref="J253" si="464">I253-(I253*25%)</f>
        <v>2728.0574999999999</v>
      </c>
      <c r="K253" s="108">
        <f t="shared" si="440"/>
        <v>252.9492350486787</v>
      </c>
      <c r="L253" s="194" t="s">
        <v>1981</v>
      </c>
      <c r="M253" s="304"/>
    </row>
    <row r="254" spans="1:13" ht="15.75" customHeight="1" x14ac:dyDescent="0.25">
      <c r="A254" s="49" t="s">
        <v>292</v>
      </c>
      <c r="B254" s="50" t="s">
        <v>1789</v>
      </c>
      <c r="C254" s="47">
        <v>14.38</v>
      </c>
      <c r="D254" s="47">
        <v>1818.7049999999999</v>
      </c>
      <c r="E254" s="53">
        <f t="shared" ref="E254" si="465">D254*50%</f>
        <v>909.35249999999996</v>
      </c>
      <c r="F254" s="41">
        <f t="shared" ref="F254" si="466">D254+E254</f>
        <v>2728.0574999999999</v>
      </c>
      <c r="G254" s="53">
        <f t="shared" ref="G254" si="467">F254-(F254*25%)</f>
        <v>2046.0431249999999</v>
      </c>
      <c r="H254" s="54">
        <f t="shared" ref="H254" si="468">D254*50%</f>
        <v>909.35249999999996</v>
      </c>
      <c r="I254" s="55">
        <f t="shared" ref="I254" si="469">D254+(H254*2)</f>
        <v>3637.41</v>
      </c>
      <c r="J254" s="56">
        <f t="shared" ref="J254" si="470">I254-(I254*25%)</f>
        <v>2728.0574999999999</v>
      </c>
      <c r="K254" s="108">
        <f t="shared" si="440"/>
        <v>252.9492350486787</v>
      </c>
      <c r="L254" s="194" t="s">
        <v>1981</v>
      </c>
      <c r="M254" s="304"/>
    </row>
    <row r="255" spans="1:13" ht="15.75" customHeight="1" x14ac:dyDescent="0.25">
      <c r="A255" s="170" t="s">
        <v>293</v>
      </c>
      <c r="B255" s="50"/>
      <c r="C255" s="47"/>
      <c r="D255" s="47"/>
      <c r="E255" s="57"/>
      <c r="F255" s="47"/>
      <c r="G255" s="57"/>
      <c r="H255" s="58"/>
      <c r="I255" s="199"/>
      <c r="J255" s="59"/>
      <c r="K255" s="108"/>
      <c r="L255" s="194"/>
      <c r="M255" s="304"/>
    </row>
    <row r="256" spans="1:13" ht="15.75" customHeight="1" x14ac:dyDescent="0.25">
      <c r="A256" s="65"/>
      <c r="B256" s="65"/>
      <c r="C256" s="57"/>
      <c r="D256" s="57"/>
      <c r="E256" s="57"/>
      <c r="F256" s="47"/>
      <c r="G256" s="57"/>
      <c r="H256" s="58"/>
      <c r="I256" s="199"/>
      <c r="J256" s="59"/>
      <c r="K256" s="108"/>
      <c r="L256" s="194"/>
      <c r="M256" s="304"/>
    </row>
    <row r="257" spans="1:13" ht="15.75" customHeight="1" x14ac:dyDescent="0.25">
      <c r="A257" s="49" t="s">
        <v>1395</v>
      </c>
      <c r="B257" s="50" t="s">
        <v>1862</v>
      </c>
      <c r="C257" s="47">
        <v>25</v>
      </c>
      <c r="D257" s="47">
        <v>7500</v>
      </c>
      <c r="E257" s="53">
        <f t="shared" ref="E257" si="471">D257*50%</f>
        <v>3750</v>
      </c>
      <c r="F257" s="41">
        <f t="shared" ref="F257" si="472">D257+E257</f>
        <v>11250</v>
      </c>
      <c r="G257" s="53">
        <f t="shared" ref="G257" si="473">F257-(F257*25%)</f>
        <v>8437.5</v>
      </c>
      <c r="H257" s="54">
        <f t="shared" ref="H257" si="474">D257*50%</f>
        <v>3750</v>
      </c>
      <c r="I257" s="55">
        <f t="shared" ref="I257" si="475">D257+(H257*2)</f>
        <v>15000</v>
      </c>
      <c r="J257" s="56">
        <f t="shared" ref="J257" si="476">I257-(I257*25%)</f>
        <v>11250</v>
      </c>
      <c r="K257" s="108">
        <f t="shared" ref="K257:K269" si="477">I257/C257</f>
        <v>600</v>
      </c>
      <c r="L257" s="194" t="s">
        <v>1988</v>
      </c>
      <c r="M257" s="304"/>
    </row>
    <row r="258" spans="1:13" ht="15.75" customHeight="1" x14ac:dyDescent="0.25">
      <c r="A258" s="49" t="s">
        <v>1396</v>
      </c>
      <c r="B258" s="50" t="s">
        <v>1447</v>
      </c>
      <c r="C258" s="47">
        <v>25</v>
      </c>
      <c r="D258" s="47">
        <v>7500</v>
      </c>
      <c r="E258" s="53">
        <f t="shared" ref="E258:E259" si="478">D258*50%</f>
        <v>3750</v>
      </c>
      <c r="F258" s="41">
        <f t="shared" ref="F258:F259" si="479">D258+E258</f>
        <v>11250</v>
      </c>
      <c r="G258" s="53">
        <f t="shared" ref="G258:G259" si="480">F258-(F258*25%)</f>
        <v>8437.5</v>
      </c>
      <c r="H258" s="54">
        <f t="shared" ref="H258:H259" si="481">D258*50%</f>
        <v>3750</v>
      </c>
      <c r="I258" s="55">
        <f t="shared" ref="I258:I259" si="482">D258+(H258*2)</f>
        <v>15000</v>
      </c>
      <c r="J258" s="56">
        <f t="shared" ref="J258:J259" si="483">I258-(I258*25%)</f>
        <v>11250</v>
      </c>
      <c r="K258" s="108">
        <f t="shared" si="477"/>
        <v>600</v>
      </c>
      <c r="L258" s="194" t="s">
        <v>1988</v>
      </c>
      <c r="M258" s="304"/>
    </row>
    <row r="259" spans="1:13" ht="15.75" customHeight="1" x14ac:dyDescent="0.25">
      <c r="A259" s="49" t="s">
        <v>1397</v>
      </c>
      <c r="B259" s="50" t="s">
        <v>1448</v>
      </c>
      <c r="C259" s="47">
        <v>50</v>
      </c>
      <c r="D259" s="47">
        <v>15000</v>
      </c>
      <c r="E259" s="53">
        <f t="shared" si="478"/>
        <v>7500</v>
      </c>
      <c r="F259" s="41">
        <f t="shared" si="479"/>
        <v>22500</v>
      </c>
      <c r="G259" s="53">
        <f t="shared" si="480"/>
        <v>16875</v>
      </c>
      <c r="H259" s="54">
        <f t="shared" si="481"/>
        <v>7500</v>
      </c>
      <c r="I259" s="55">
        <f t="shared" si="482"/>
        <v>30000</v>
      </c>
      <c r="J259" s="56">
        <f t="shared" si="483"/>
        <v>22500</v>
      </c>
      <c r="K259" s="108">
        <f t="shared" si="477"/>
        <v>600</v>
      </c>
      <c r="L259" s="194" t="s">
        <v>1978</v>
      </c>
      <c r="M259" s="304"/>
    </row>
    <row r="260" spans="1:13" ht="15.75" customHeight="1" x14ac:dyDescent="0.25">
      <c r="A260" s="49" t="s">
        <v>295</v>
      </c>
      <c r="B260" s="50" t="s">
        <v>1944</v>
      </c>
      <c r="C260" s="47">
        <v>14.15</v>
      </c>
      <c r="D260" s="52">
        <v>2541.4499999999998</v>
      </c>
      <c r="E260" s="53">
        <f t="shared" ref="E260:E263" si="484">D260*50%</f>
        <v>1270.7249999999999</v>
      </c>
      <c r="F260" s="41">
        <f t="shared" ref="F260:F263" si="485">D260+E260</f>
        <v>3812.1749999999997</v>
      </c>
      <c r="G260" s="53">
        <f t="shared" ref="G260:G263" si="486">F260-(F260*25%)</f>
        <v>2859.1312499999999</v>
      </c>
      <c r="H260" s="54">
        <f t="shared" ref="H260:H263" si="487">D260*50%</f>
        <v>1270.7249999999999</v>
      </c>
      <c r="I260" s="55">
        <f t="shared" ref="I260:I263" si="488">D260+(H260*2)</f>
        <v>5082.8999999999996</v>
      </c>
      <c r="J260" s="56">
        <f t="shared" ref="J260:J263" si="489">I260-(I260*25%)</f>
        <v>3812.1749999999997</v>
      </c>
      <c r="K260" s="108">
        <f t="shared" si="477"/>
        <v>359.21554770318016</v>
      </c>
      <c r="L260" s="194" t="s">
        <v>1988</v>
      </c>
      <c r="M260" s="304"/>
    </row>
    <row r="261" spans="1:13" ht="15.75" customHeight="1" x14ac:dyDescent="0.25">
      <c r="A261" s="49" t="s">
        <v>296</v>
      </c>
      <c r="B261" s="50" t="s">
        <v>1343</v>
      </c>
      <c r="C261" s="47">
        <v>15.2</v>
      </c>
      <c r="D261" s="52">
        <v>1501.95</v>
      </c>
      <c r="E261" s="53">
        <f t="shared" si="484"/>
        <v>750.97500000000002</v>
      </c>
      <c r="F261" s="41">
        <f t="shared" si="485"/>
        <v>2252.9250000000002</v>
      </c>
      <c r="G261" s="53">
        <f t="shared" si="486"/>
        <v>1689.6937500000001</v>
      </c>
      <c r="H261" s="54">
        <f t="shared" si="487"/>
        <v>750.97500000000002</v>
      </c>
      <c r="I261" s="55">
        <f t="shared" si="488"/>
        <v>3003.9</v>
      </c>
      <c r="J261" s="56">
        <f t="shared" si="489"/>
        <v>2252.9250000000002</v>
      </c>
      <c r="K261" s="108">
        <f t="shared" si="477"/>
        <v>197.62500000000003</v>
      </c>
      <c r="L261" s="194" t="s">
        <v>2008</v>
      </c>
      <c r="M261" s="304"/>
    </row>
    <row r="262" spans="1:13" ht="15.75" customHeight="1" x14ac:dyDescent="0.25">
      <c r="A262" s="49" t="s">
        <v>297</v>
      </c>
      <c r="B262" s="50" t="s">
        <v>1732</v>
      </c>
      <c r="C262" s="47">
        <v>18.13</v>
      </c>
      <c r="D262" s="52">
        <v>2881.58</v>
      </c>
      <c r="E262" s="53">
        <f t="shared" si="484"/>
        <v>1440.79</v>
      </c>
      <c r="F262" s="41">
        <f t="shared" si="485"/>
        <v>4322.37</v>
      </c>
      <c r="G262" s="53">
        <f t="shared" si="486"/>
        <v>3241.7775000000001</v>
      </c>
      <c r="H262" s="54">
        <f t="shared" si="487"/>
        <v>1440.79</v>
      </c>
      <c r="I262" s="55">
        <f t="shared" si="488"/>
        <v>5763.16</v>
      </c>
      <c r="J262" s="56">
        <f t="shared" si="489"/>
        <v>4322.37</v>
      </c>
      <c r="K262" s="108">
        <f t="shared" si="477"/>
        <v>317.87975730832875</v>
      </c>
      <c r="L262" s="194" t="s">
        <v>1978</v>
      </c>
      <c r="M262" s="304"/>
    </row>
    <row r="263" spans="1:13" ht="15.75" customHeight="1" x14ac:dyDescent="0.25">
      <c r="A263" s="49" t="s">
        <v>298</v>
      </c>
      <c r="B263" s="50" t="s">
        <v>2082</v>
      </c>
      <c r="C263" s="47">
        <v>18.07</v>
      </c>
      <c r="D263" s="52">
        <v>2364.9859999999999</v>
      </c>
      <c r="E263" s="53">
        <f t="shared" si="484"/>
        <v>1182.4929999999999</v>
      </c>
      <c r="F263" s="41">
        <f t="shared" si="485"/>
        <v>3547.4789999999998</v>
      </c>
      <c r="G263" s="53">
        <f t="shared" si="486"/>
        <v>2660.60925</v>
      </c>
      <c r="H263" s="54">
        <f t="shared" si="487"/>
        <v>1182.4929999999999</v>
      </c>
      <c r="I263" s="55">
        <f t="shared" si="488"/>
        <v>4729.9719999999998</v>
      </c>
      <c r="J263" s="56">
        <f t="shared" si="489"/>
        <v>3547.4789999999998</v>
      </c>
      <c r="K263" s="108">
        <f t="shared" si="477"/>
        <v>261.75827338129494</v>
      </c>
      <c r="L263" s="194" t="s">
        <v>1978</v>
      </c>
      <c r="M263" s="304"/>
    </row>
    <row r="264" spans="1:13" ht="15.75" customHeight="1" x14ac:dyDescent="0.25">
      <c r="A264" s="49" t="s">
        <v>300</v>
      </c>
      <c r="B264" s="50" t="s">
        <v>2082</v>
      </c>
      <c r="C264" s="47">
        <v>18.05</v>
      </c>
      <c r="D264" s="52">
        <v>2364.9859999999999</v>
      </c>
      <c r="E264" s="53">
        <f t="shared" ref="E264" si="490">D264*50%</f>
        <v>1182.4929999999999</v>
      </c>
      <c r="F264" s="41">
        <f t="shared" ref="F264" si="491">D264+E264</f>
        <v>3547.4789999999998</v>
      </c>
      <c r="G264" s="53">
        <f t="shared" ref="G264" si="492">F264-(F264*25%)</f>
        <v>2660.60925</v>
      </c>
      <c r="H264" s="54">
        <f t="shared" ref="H264" si="493">D264*50%</f>
        <v>1182.4929999999999</v>
      </c>
      <c r="I264" s="55">
        <f t="shared" ref="I264" si="494">D264+(H264*2)</f>
        <v>4729.9719999999998</v>
      </c>
      <c r="J264" s="56">
        <f t="shared" ref="J264" si="495">I264-(I264*25%)</f>
        <v>3547.4789999999998</v>
      </c>
      <c r="K264" s="108">
        <f t="shared" si="477"/>
        <v>262.04831024930746</v>
      </c>
      <c r="L264" s="194" t="s">
        <v>1978</v>
      </c>
      <c r="M264" s="304"/>
    </row>
    <row r="265" spans="1:13" ht="15.75" customHeight="1" x14ac:dyDescent="0.25">
      <c r="A265" s="49" t="s">
        <v>301</v>
      </c>
      <c r="B265" s="50" t="s">
        <v>2083</v>
      </c>
      <c r="C265" s="47">
        <v>18.05</v>
      </c>
      <c r="D265" s="52">
        <v>2364.9859999999999</v>
      </c>
      <c r="E265" s="53">
        <f t="shared" ref="E265:E268" si="496">D265*50%</f>
        <v>1182.4929999999999</v>
      </c>
      <c r="F265" s="41">
        <f t="shared" ref="F265:F268" si="497">D265+E265</f>
        <v>3547.4789999999998</v>
      </c>
      <c r="G265" s="53">
        <f t="shared" ref="G265:G268" si="498">F265-(F265*25%)</f>
        <v>2660.60925</v>
      </c>
      <c r="H265" s="54">
        <f t="shared" ref="H265:H268" si="499">D265*50%</f>
        <v>1182.4929999999999</v>
      </c>
      <c r="I265" s="55">
        <f t="shared" ref="I265:I268" si="500">D265+(H265*2)</f>
        <v>4729.9719999999998</v>
      </c>
      <c r="J265" s="56">
        <f t="shared" ref="J265:J268" si="501">I265-(I265*25%)</f>
        <v>3547.4789999999998</v>
      </c>
      <c r="K265" s="108">
        <f t="shared" si="477"/>
        <v>262.04831024930746</v>
      </c>
      <c r="L265" s="194" t="s">
        <v>1978</v>
      </c>
      <c r="M265" s="304"/>
    </row>
    <row r="266" spans="1:13" ht="15.75" customHeight="1" x14ac:dyDescent="0.25">
      <c r="A266" s="49" t="s">
        <v>302</v>
      </c>
      <c r="B266" s="50" t="s">
        <v>2083</v>
      </c>
      <c r="C266" s="47">
        <v>18.05</v>
      </c>
      <c r="D266" s="52">
        <v>2364.9859999999999</v>
      </c>
      <c r="E266" s="53">
        <f t="shared" si="496"/>
        <v>1182.4929999999999</v>
      </c>
      <c r="F266" s="41">
        <f t="shared" si="497"/>
        <v>3547.4789999999998</v>
      </c>
      <c r="G266" s="53">
        <f t="shared" si="498"/>
        <v>2660.60925</v>
      </c>
      <c r="H266" s="54">
        <f t="shared" si="499"/>
        <v>1182.4929999999999</v>
      </c>
      <c r="I266" s="55">
        <f t="shared" si="500"/>
        <v>4729.9719999999998</v>
      </c>
      <c r="J266" s="56">
        <f t="shared" si="501"/>
        <v>3547.4789999999998</v>
      </c>
      <c r="K266" s="108">
        <f t="shared" si="477"/>
        <v>262.04831024930746</v>
      </c>
      <c r="L266" s="194" t="s">
        <v>1978</v>
      </c>
      <c r="M266" s="304"/>
    </row>
    <row r="267" spans="1:13" ht="15.75" customHeight="1" x14ac:dyDescent="0.25">
      <c r="A267" s="49" t="s">
        <v>303</v>
      </c>
      <c r="B267" s="50" t="s">
        <v>2084</v>
      </c>
      <c r="C267" s="47">
        <v>18.05</v>
      </c>
      <c r="D267" s="52">
        <v>2364.9899999999998</v>
      </c>
      <c r="E267" s="53">
        <f t="shared" si="496"/>
        <v>1182.4949999999999</v>
      </c>
      <c r="F267" s="41">
        <f t="shared" si="497"/>
        <v>3547.4849999999997</v>
      </c>
      <c r="G267" s="53">
        <f t="shared" si="498"/>
        <v>2660.6137499999995</v>
      </c>
      <c r="H267" s="54">
        <f t="shared" si="499"/>
        <v>1182.4949999999999</v>
      </c>
      <c r="I267" s="55">
        <f t="shared" si="500"/>
        <v>4729.9799999999996</v>
      </c>
      <c r="J267" s="56">
        <f t="shared" si="501"/>
        <v>3547.4849999999997</v>
      </c>
      <c r="K267" s="108">
        <f t="shared" si="477"/>
        <v>262.04875346260383</v>
      </c>
      <c r="L267" s="194" t="s">
        <v>1978</v>
      </c>
      <c r="M267" s="304"/>
    </row>
    <row r="268" spans="1:13" ht="15.75" customHeight="1" x14ac:dyDescent="0.25">
      <c r="A268" s="49" t="s">
        <v>304</v>
      </c>
      <c r="B268" s="50" t="s">
        <v>2084</v>
      </c>
      <c r="C268" s="47">
        <v>18.05</v>
      </c>
      <c r="D268" s="52">
        <v>2364.9899999999998</v>
      </c>
      <c r="E268" s="53">
        <f t="shared" si="496"/>
        <v>1182.4949999999999</v>
      </c>
      <c r="F268" s="41">
        <f t="shared" si="497"/>
        <v>3547.4849999999997</v>
      </c>
      <c r="G268" s="53">
        <f t="shared" si="498"/>
        <v>2660.6137499999995</v>
      </c>
      <c r="H268" s="54">
        <f t="shared" si="499"/>
        <v>1182.4949999999999</v>
      </c>
      <c r="I268" s="55">
        <f t="shared" si="500"/>
        <v>4729.9799999999996</v>
      </c>
      <c r="J268" s="56">
        <f t="shared" si="501"/>
        <v>3547.4849999999997</v>
      </c>
      <c r="K268" s="108">
        <f t="shared" si="477"/>
        <v>262.04875346260383</v>
      </c>
      <c r="L268" s="194" t="s">
        <v>1978</v>
      </c>
      <c r="M268" s="304"/>
    </row>
    <row r="269" spans="1:13" ht="15.75" customHeight="1" x14ac:dyDescent="0.25">
      <c r="A269" s="49" t="s">
        <v>305</v>
      </c>
      <c r="B269" s="50" t="s">
        <v>299</v>
      </c>
      <c r="C269" s="47">
        <v>10.08</v>
      </c>
      <c r="D269" s="47">
        <v>1033.9100000000001</v>
      </c>
      <c r="E269" s="53">
        <f t="shared" ref="E269" si="502">D269*50%</f>
        <v>516.95500000000004</v>
      </c>
      <c r="F269" s="41">
        <f t="shared" ref="F269" si="503">D269+E269</f>
        <v>1550.8650000000002</v>
      </c>
      <c r="G269" s="53">
        <f t="shared" ref="G269" si="504">F269-(F269*25%)</f>
        <v>1163.1487500000003</v>
      </c>
      <c r="H269" s="54">
        <f t="shared" ref="H269" si="505">D269*50%</f>
        <v>516.95500000000004</v>
      </c>
      <c r="I269" s="55">
        <f t="shared" ref="I269" si="506">D269+(H269*2)</f>
        <v>2067.8200000000002</v>
      </c>
      <c r="J269" s="56">
        <f t="shared" ref="J269" si="507">I269-(I269*25%)</f>
        <v>1550.8650000000002</v>
      </c>
      <c r="K269" s="108">
        <f t="shared" si="477"/>
        <v>205.14087301587304</v>
      </c>
      <c r="L269" s="194" t="s">
        <v>1978</v>
      </c>
      <c r="M269" s="304"/>
    </row>
    <row r="270" spans="1:13" ht="15.75" customHeight="1" x14ac:dyDescent="0.25">
      <c r="A270" s="65"/>
      <c r="B270" s="65"/>
      <c r="C270" s="57"/>
      <c r="D270" s="57"/>
      <c r="E270" s="57"/>
      <c r="F270" s="47"/>
      <c r="G270" s="57"/>
      <c r="H270" s="58"/>
      <c r="I270" s="199"/>
      <c r="J270" s="59"/>
      <c r="K270" s="108"/>
      <c r="L270" s="194"/>
      <c r="M270" s="304"/>
    </row>
    <row r="271" spans="1:13" ht="15.75" customHeight="1" x14ac:dyDescent="0.25">
      <c r="A271" s="49" t="s">
        <v>306</v>
      </c>
      <c r="B271" s="50" t="s">
        <v>2298</v>
      </c>
      <c r="C271" s="47">
        <v>17.829999999999998</v>
      </c>
      <c r="D271" s="47">
        <v>2541.4499999999998</v>
      </c>
      <c r="E271" s="53">
        <f t="shared" ref="E271:E275" si="508">D271*50%</f>
        <v>1270.7249999999999</v>
      </c>
      <c r="F271" s="41">
        <f t="shared" ref="F271:F275" si="509">D271+E271</f>
        <v>3812.1749999999997</v>
      </c>
      <c r="G271" s="53">
        <f t="shared" ref="G271:G275" si="510">F271-(F271*25%)</f>
        <v>2859.1312499999999</v>
      </c>
      <c r="H271" s="54">
        <f t="shared" ref="H271:H275" si="511">D271*50%</f>
        <v>1270.7249999999999</v>
      </c>
      <c r="I271" s="55">
        <f t="shared" ref="I271:I275" si="512">D271+(H271*2)</f>
        <v>5082.8999999999996</v>
      </c>
      <c r="J271" s="56">
        <f t="shared" ref="J271:J275" si="513">I271-(I271*25%)</f>
        <v>3812.1749999999997</v>
      </c>
      <c r="K271" s="108">
        <f t="shared" ref="K271:K280" si="514">I271/C271</f>
        <v>285.07571508693212</v>
      </c>
      <c r="L271" s="194" t="s">
        <v>1988</v>
      </c>
      <c r="M271" s="304"/>
    </row>
    <row r="272" spans="1:13" ht="15.75" customHeight="1" x14ac:dyDescent="0.25">
      <c r="A272" s="49" t="s">
        <v>307</v>
      </c>
      <c r="B272" s="50" t="s">
        <v>1617</v>
      </c>
      <c r="C272" s="47">
        <v>15.02</v>
      </c>
      <c r="D272" s="47">
        <v>1483.97</v>
      </c>
      <c r="E272" s="53">
        <f t="shared" si="508"/>
        <v>741.98500000000001</v>
      </c>
      <c r="F272" s="41">
        <f t="shared" si="509"/>
        <v>2225.9549999999999</v>
      </c>
      <c r="G272" s="53">
        <f t="shared" si="510"/>
        <v>1669.4662499999999</v>
      </c>
      <c r="H272" s="54">
        <f t="shared" si="511"/>
        <v>741.98500000000001</v>
      </c>
      <c r="I272" s="55">
        <f t="shared" si="512"/>
        <v>2967.94</v>
      </c>
      <c r="J272" s="56">
        <f t="shared" si="513"/>
        <v>2225.9549999999999</v>
      </c>
      <c r="K272" s="108">
        <f t="shared" si="514"/>
        <v>197.59920106524635</v>
      </c>
      <c r="L272" s="194" t="s">
        <v>1988</v>
      </c>
      <c r="M272" s="304"/>
    </row>
    <row r="273" spans="1:13" ht="15.75" customHeight="1" x14ac:dyDescent="0.25">
      <c r="A273" s="49" t="s">
        <v>308</v>
      </c>
      <c r="B273" s="50" t="s">
        <v>2229</v>
      </c>
      <c r="C273" s="47">
        <v>14.8</v>
      </c>
      <c r="D273" s="52">
        <v>2249.75</v>
      </c>
      <c r="E273" s="53">
        <f t="shared" si="508"/>
        <v>1124.875</v>
      </c>
      <c r="F273" s="41">
        <f t="shared" si="509"/>
        <v>3374.625</v>
      </c>
      <c r="G273" s="53">
        <f t="shared" si="510"/>
        <v>2530.96875</v>
      </c>
      <c r="H273" s="54">
        <f t="shared" si="511"/>
        <v>1124.875</v>
      </c>
      <c r="I273" s="55">
        <f t="shared" si="512"/>
        <v>4499.5</v>
      </c>
      <c r="J273" s="56">
        <f t="shared" si="513"/>
        <v>3374.625</v>
      </c>
      <c r="K273" s="108">
        <f t="shared" si="514"/>
        <v>304.02027027027026</v>
      </c>
      <c r="L273" s="194" t="s">
        <v>2004</v>
      </c>
      <c r="M273" s="304"/>
    </row>
    <row r="274" spans="1:13" ht="15.75" customHeight="1" x14ac:dyDescent="0.25">
      <c r="A274" s="49" t="s">
        <v>309</v>
      </c>
      <c r="B274" s="50" t="s">
        <v>1617</v>
      </c>
      <c r="C274" s="47">
        <v>15.02</v>
      </c>
      <c r="D274" s="47">
        <v>1483.97</v>
      </c>
      <c r="E274" s="53">
        <f t="shared" si="508"/>
        <v>741.98500000000001</v>
      </c>
      <c r="F274" s="41">
        <f t="shared" si="509"/>
        <v>2225.9549999999999</v>
      </c>
      <c r="G274" s="53">
        <f t="shared" si="510"/>
        <v>1669.4662499999999</v>
      </c>
      <c r="H274" s="54">
        <f t="shared" si="511"/>
        <v>741.98500000000001</v>
      </c>
      <c r="I274" s="55">
        <f t="shared" si="512"/>
        <v>2967.94</v>
      </c>
      <c r="J274" s="56">
        <f t="shared" si="513"/>
        <v>2225.9549999999999</v>
      </c>
      <c r="K274" s="108">
        <f t="shared" si="514"/>
        <v>197.59920106524635</v>
      </c>
      <c r="L274" s="194" t="s">
        <v>1988</v>
      </c>
      <c r="M274" s="304"/>
    </row>
    <row r="275" spans="1:13" ht="15.75" customHeight="1" x14ac:dyDescent="0.25">
      <c r="A275" s="49" t="s">
        <v>310</v>
      </c>
      <c r="B275" s="50" t="s">
        <v>2097</v>
      </c>
      <c r="C275" s="47">
        <v>14.34</v>
      </c>
      <c r="D275" s="47">
        <v>1784</v>
      </c>
      <c r="E275" s="53">
        <f t="shared" si="508"/>
        <v>892</v>
      </c>
      <c r="F275" s="41">
        <f t="shared" si="509"/>
        <v>2676</v>
      </c>
      <c r="G275" s="53">
        <f t="shared" si="510"/>
        <v>2007</v>
      </c>
      <c r="H275" s="54">
        <f t="shared" si="511"/>
        <v>892</v>
      </c>
      <c r="I275" s="55">
        <f t="shared" si="512"/>
        <v>3568</v>
      </c>
      <c r="J275" s="56">
        <f t="shared" si="513"/>
        <v>2676</v>
      </c>
      <c r="K275" s="108">
        <f t="shared" si="514"/>
        <v>248.81450488145049</v>
      </c>
      <c r="L275" s="194" t="s">
        <v>1988</v>
      </c>
      <c r="M275" s="304"/>
    </row>
    <row r="276" spans="1:13" ht="15.75" customHeight="1" x14ac:dyDescent="0.25">
      <c r="A276" s="49" t="s">
        <v>311</v>
      </c>
      <c r="B276" s="50" t="s">
        <v>2097</v>
      </c>
      <c r="C276" s="47">
        <v>14.35</v>
      </c>
      <c r="D276" s="47">
        <v>1784</v>
      </c>
      <c r="E276" s="53">
        <f t="shared" ref="E276" si="515">D276*50%</f>
        <v>892</v>
      </c>
      <c r="F276" s="41">
        <f t="shared" ref="F276" si="516">D276+E276</f>
        <v>2676</v>
      </c>
      <c r="G276" s="53">
        <f t="shared" ref="G276" si="517">F276-(F276*25%)</f>
        <v>2007</v>
      </c>
      <c r="H276" s="54">
        <f t="shared" ref="H276" si="518">D276*50%</f>
        <v>892</v>
      </c>
      <c r="I276" s="55">
        <f t="shared" ref="I276" si="519">D276+(H276*2)</f>
        <v>3568</v>
      </c>
      <c r="J276" s="56">
        <f t="shared" ref="J276" si="520">I276-(I276*25%)</f>
        <v>2676</v>
      </c>
      <c r="K276" s="108">
        <f t="shared" si="514"/>
        <v>248.64111498257842</v>
      </c>
      <c r="L276" s="194" t="s">
        <v>1988</v>
      </c>
      <c r="M276" s="304"/>
    </row>
    <row r="277" spans="1:13" ht="15.75" customHeight="1" x14ac:dyDescent="0.25">
      <c r="A277" s="49" t="s">
        <v>312</v>
      </c>
      <c r="B277" s="50" t="s">
        <v>2096</v>
      </c>
      <c r="C277" s="47">
        <v>13.78</v>
      </c>
      <c r="D277" s="52">
        <v>2094.6999999999998</v>
      </c>
      <c r="E277" s="53">
        <f t="shared" ref="E277:E280" si="521">D277*50%</f>
        <v>1047.3499999999999</v>
      </c>
      <c r="F277" s="41">
        <f t="shared" ref="F277:F280" si="522">D277+E277</f>
        <v>3142.0499999999997</v>
      </c>
      <c r="G277" s="53">
        <f t="shared" ref="G277:G280" si="523">F277-(F277*25%)</f>
        <v>2356.5374999999999</v>
      </c>
      <c r="H277" s="54">
        <f t="shared" ref="H277:H280" si="524">D277*50%</f>
        <v>1047.3499999999999</v>
      </c>
      <c r="I277" s="55">
        <f t="shared" ref="I277:I280" si="525">D277+(H277*2)</f>
        <v>4189.3999999999996</v>
      </c>
      <c r="J277" s="56">
        <f t="shared" ref="J277:J280" si="526">I277-(I277*25%)</f>
        <v>3142.0499999999997</v>
      </c>
      <c r="K277" s="108">
        <f t="shared" si="514"/>
        <v>304.02031930333817</v>
      </c>
      <c r="L277" s="194" t="s">
        <v>1988</v>
      </c>
      <c r="M277" s="304"/>
    </row>
    <row r="278" spans="1:13" ht="15.75" customHeight="1" x14ac:dyDescent="0.25">
      <c r="A278" s="49" t="s">
        <v>313</v>
      </c>
      <c r="B278" s="50" t="s">
        <v>2096</v>
      </c>
      <c r="C278" s="47">
        <v>15.05</v>
      </c>
      <c r="D278" s="52">
        <v>1911.97</v>
      </c>
      <c r="E278" s="53">
        <f t="shared" si="521"/>
        <v>955.98500000000001</v>
      </c>
      <c r="F278" s="41">
        <f t="shared" si="522"/>
        <v>2867.9549999999999</v>
      </c>
      <c r="G278" s="53">
        <f t="shared" si="523"/>
        <v>2150.9662499999999</v>
      </c>
      <c r="H278" s="54">
        <f t="shared" si="524"/>
        <v>955.98500000000001</v>
      </c>
      <c r="I278" s="55">
        <f t="shared" si="525"/>
        <v>3823.94</v>
      </c>
      <c r="J278" s="56">
        <f t="shared" si="526"/>
        <v>2867.9549999999999</v>
      </c>
      <c r="K278" s="108">
        <f t="shared" si="514"/>
        <v>254.08239202657808</v>
      </c>
      <c r="L278" s="194" t="s">
        <v>1988</v>
      </c>
      <c r="M278" s="304"/>
    </row>
    <row r="279" spans="1:13" ht="15.75" customHeight="1" x14ac:dyDescent="0.25">
      <c r="A279" s="49" t="s">
        <v>314</v>
      </c>
      <c r="B279" s="50" t="s">
        <v>2214</v>
      </c>
      <c r="C279" s="47">
        <v>15.05</v>
      </c>
      <c r="D279" s="47">
        <v>1911.97</v>
      </c>
      <c r="E279" s="53">
        <f t="shared" si="521"/>
        <v>955.98500000000001</v>
      </c>
      <c r="F279" s="41">
        <f t="shared" si="522"/>
        <v>2867.9549999999999</v>
      </c>
      <c r="G279" s="53">
        <f t="shared" si="523"/>
        <v>2150.9662499999999</v>
      </c>
      <c r="H279" s="54">
        <f t="shared" si="524"/>
        <v>955.98500000000001</v>
      </c>
      <c r="I279" s="55">
        <f t="shared" si="525"/>
        <v>3823.94</v>
      </c>
      <c r="J279" s="56">
        <f t="shared" si="526"/>
        <v>2867.9549999999999</v>
      </c>
      <c r="K279" s="108">
        <f t="shared" si="514"/>
        <v>254.08239202657808</v>
      </c>
      <c r="L279" s="194" t="s">
        <v>1988</v>
      </c>
      <c r="M279" s="304"/>
    </row>
    <row r="280" spans="1:13" ht="15.75" customHeight="1" x14ac:dyDescent="0.25">
      <c r="A280" s="49" t="s">
        <v>315</v>
      </c>
      <c r="B280" s="50" t="s">
        <v>2214</v>
      </c>
      <c r="C280" s="47">
        <v>15.04</v>
      </c>
      <c r="D280" s="47">
        <v>1910.68</v>
      </c>
      <c r="E280" s="53">
        <f t="shared" si="521"/>
        <v>955.34</v>
      </c>
      <c r="F280" s="41">
        <f t="shared" si="522"/>
        <v>2866.02</v>
      </c>
      <c r="G280" s="53">
        <f t="shared" si="523"/>
        <v>2149.5149999999999</v>
      </c>
      <c r="H280" s="54">
        <f t="shared" si="524"/>
        <v>955.34</v>
      </c>
      <c r="I280" s="55">
        <f t="shared" si="525"/>
        <v>3821.36</v>
      </c>
      <c r="J280" s="56">
        <f t="shared" si="526"/>
        <v>2866.02</v>
      </c>
      <c r="K280" s="108">
        <f t="shared" si="514"/>
        <v>254.07978723404258</v>
      </c>
      <c r="L280" s="194" t="s">
        <v>1988</v>
      </c>
      <c r="M280" s="304"/>
    </row>
    <row r="281" spans="1:13" ht="15.75" customHeight="1" x14ac:dyDescent="0.25">
      <c r="A281" s="65"/>
      <c r="B281" s="65"/>
      <c r="C281" s="57"/>
      <c r="D281" s="57"/>
      <c r="E281" s="57"/>
      <c r="F281" s="47"/>
      <c r="G281" s="57"/>
      <c r="H281" s="58"/>
      <c r="I281" s="199"/>
      <c r="J281" s="59"/>
      <c r="K281" s="108"/>
      <c r="L281" s="194"/>
      <c r="M281" s="304"/>
    </row>
    <row r="282" spans="1:13" ht="15.75" customHeight="1" x14ac:dyDescent="0.25">
      <c r="A282" s="49" t="s">
        <v>316</v>
      </c>
      <c r="B282" s="50" t="s">
        <v>1843</v>
      </c>
      <c r="C282" s="47">
        <v>14.56</v>
      </c>
      <c r="D282" s="52">
        <v>2314.17</v>
      </c>
      <c r="E282" s="53">
        <f t="shared" ref="E282:E288" si="527">D282*50%</f>
        <v>1157.085</v>
      </c>
      <c r="F282" s="41">
        <f t="shared" ref="F282:F288" si="528">D282+E282</f>
        <v>3471.2550000000001</v>
      </c>
      <c r="G282" s="53">
        <f t="shared" ref="G282:G288" si="529">F282-(F282*25%)</f>
        <v>2603.4412499999999</v>
      </c>
      <c r="H282" s="54">
        <f t="shared" ref="H282:H288" si="530">D282*50%</f>
        <v>1157.085</v>
      </c>
      <c r="I282" s="55">
        <f t="shared" ref="I282:I288" si="531">D282+(H282*2)</f>
        <v>4628.34</v>
      </c>
      <c r="J282" s="56">
        <f t="shared" ref="J282:J288" si="532">I282-(I282*25%)</f>
        <v>3471.2550000000001</v>
      </c>
      <c r="K282" s="108">
        <f t="shared" ref="K282:K295" si="533">I282/C282</f>
        <v>317.88049450549448</v>
      </c>
      <c r="L282" s="194" t="s">
        <v>1988</v>
      </c>
      <c r="M282" s="304"/>
    </row>
    <row r="283" spans="1:13" ht="15.75" customHeight="1" x14ac:dyDescent="0.25">
      <c r="A283" s="49" t="s">
        <v>317</v>
      </c>
      <c r="B283" s="50" t="s">
        <v>1680</v>
      </c>
      <c r="C283" s="47">
        <v>13.98</v>
      </c>
      <c r="D283" s="52">
        <v>1843.9</v>
      </c>
      <c r="E283" s="53">
        <f t="shared" si="527"/>
        <v>921.95</v>
      </c>
      <c r="F283" s="41">
        <f t="shared" si="528"/>
        <v>2765.8500000000004</v>
      </c>
      <c r="G283" s="53">
        <f t="shared" si="529"/>
        <v>2074.3875000000003</v>
      </c>
      <c r="H283" s="54">
        <f t="shared" si="530"/>
        <v>921.95</v>
      </c>
      <c r="I283" s="55">
        <f t="shared" si="531"/>
        <v>3687.8</v>
      </c>
      <c r="J283" s="56">
        <f t="shared" si="532"/>
        <v>2765.8500000000004</v>
      </c>
      <c r="K283" s="108">
        <f t="shared" si="533"/>
        <v>263.79113018597997</v>
      </c>
      <c r="L283" s="194" t="s">
        <v>2005</v>
      </c>
      <c r="M283" s="304" t="s">
        <v>2306</v>
      </c>
    </row>
    <row r="284" spans="1:13" ht="15.75" customHeight="1" x14ac:dyDescent="0.25">
      <c r="A284" s="49" t="s">
        <v>318</v>
      </c>
      <c r="B284" s="50" t="s">
        <v>2230</v>
      </c>
      <c r="C284" s="47">
        <v>14.2</v>
      </c>
      <c r="D284" s="52">
        <v>2158.42</v>
      </c>
      <c r="E284" s="53">
        <f t="shared" si="527"/>
        <v>1079.21</v>
      </c>
      <c r="F284" s="41">
        <f t="shared" si="528"/>
        <v>3237.63</v>
      </c>
      <c r="G284" s="53">
        <f t="shared" si="529"/>
        <v>2428.2224999999999</v>
      </c>
      <c r="H284" s="54">
        <f t="shared" si="530"/>
        <v>1079.21</v>
      </c>
      <c r="I284" s="55">
        <f t="shared" si="531"/>
        <v>4316.84</v>
      </c>
      <c r="J284" s="56">
        <f t="shared" si="532"/>
        <v>3237.63</v>
      </c>
      <c r="K284" s="108">
        <f t="shared" si="533"/>
        <v>304.00281690140849</v>
      </c>
      <c r="L284" s="194" t="s">
        <v>1988</v>
      </c>
      <c r="M284" s="304"/>
    </row>
    <row r="285" spans="1:13" ht="15.75" customHeight="1" x14ac:dyDescent="0.25">
      <c r="A285" s="49" t="s">
        <v>319</v>
      </c>
      <c r="B285" s="50" t="s">
        <v>1843</v>
      </c>
      <c r="C285" s="47">
        <v>13.98</v>
      </c>
      <c r="D285" s="52">
        <v>1843.9</v>
      </c>
      <c r="E285" s="53">
        <f t="shared" si="527"/>
        <v>921.95</v>
      </c>
      <c r="F285" s="41">
        <f t="shared" si="528"/>
        <v>2765.8500000000004</v>
      </c>
      <c r="G285" s="53">
        <f t="shared" si="529"/>
        <v>2074.3875000000003</v>
      </c>
      <c r="H285" s="54">
        <f t="shared" si="530"/>
        <v>921.95</v>
      </c>
      <c r="I285" s="55">
        <f t="shared" si="531"/>
        <v>3687.8</v>
      </c>
      <c r="J285" s="56">
        <f t="shared" si="532"/>
        <v>2765.8500000000004</v>
      </c>
      <c r="K285" s="108">
        <f t="shared" si="533"/>
        <v>263.79113018597997</v>
      </c>
      <c r="L285" s="194" t="s">
        <v>1988</v>
      </c>
      <c r="M285" s="304"/>
    </row>
    <row r="286" spans="1:13" ht="15.75" customHeight="1" x14ac:dyDescent="0.25">
      <c r="A286" s="49" t="s">
        <v>320</v>
      </c>
      <c r="B286" s="50" t="s">
        <v>1882</v>
      </c>
      <c r="C286" s="47">
        <v>13.51</v>
      </c>
      <c r="D286" s="52">
        <v>678.87</v>
      </c>
      <c r="E286" s="53">
        <f t="shared" si="527"/>
        <v>339.435</v>
      </c>
      <c r="F286" s="41">
        <f t="shared" si="528"/>
        <v>1018.3050000000001</v>
      </c>
      <c r="G286" s="53">
        <f t="shared" si="529"/>
        <v>763.72874999999999</v>
      </c>
      <c r="H286" s="54">
        <f t="shared" si="530"/>
        <v>339.435</v>
      </c>
      <c r="I286" s="55">
        <f t="shared" si="531"/>
        <v>1357.74</v>
      </c>
      <c r="J286" s="56">
        <f t="shared" si="532"/>
        <v>1018.3050000000001</v>
      </c>
      <c r="K286" s="108">
        <f t="shared" si="533"/>
        <v>100.49888971132495</v>
      </c>
      <c r="L286" s="194" t="s">
        <v>1978</v>
      </c>
      <c r="M286" s="304"/>
    </row>
    <row r="287" spans="1:13" ht="15.75" customHeight="1" x14ac:dyDescent="0.25">
      <c r="A287" s="49" t="s">
        <v>321</v>
      </c>
      <c r="B287" s="50" t="s">
        <v>1731</v>
      </c>
      <c r="C287" s="47">
        <v>13.32</v>
      </c>
      <c r="D287" s="52">
        <v>1697.51</v>
      </c>
      <c r="E287" s="53">
        <f t="shared" si="527"/>
        <v>848.755</v>
      </c>
      <c r="F287" s="41">
        <f t="shared" si="528"/>
        <v>2546.2649999999999</v>
      </c>
      <c r="G287" s="53">
        <f t="shared" si="529"/>
        <v>1909.69875</v>
      </c>
      <c r="H287" s="54">
        <f t="shared" si="530"/>
        <v>848.755</v>
      </c>
      <c r="I287" s="55">
        <f t="shared" si="531"/>
        <v>3395.02</v>
      </c>
      <c r="J287" s="56">
        <f t="shared" si="532"/>
        <v>2546.2649999999999</v>
      </c>
      <c r="K287" s="108">
        <f t="shared" si="533"/>
        <v>254.88138138138137</v>
      </c>
      <c r="L287" s="194" t="s">
        <v>1983</v>
      </c>
      <c r="M287" s="304" t="s">
        <v>2306</v>
      </c>
    </row>
    <row r="288" spans="1:13" ht="15.75" customHeight="1" x14ac:dyDescent="0.25">
      <c r="A288" s="49" t="s">
        <v>322</v>
      </c>
      <c r="B288" s="50" t="s">
        <v>1882</v>
      </c>
      <c r="C288" s="47">
        <v>16.87</v>
      </c>
      <c r="D288" s="47">
        <v>2632.6950000000002</v>
      </c>
      <c r="E288" s="53">
        <f t="shared" si="527"/>
        <v>1316.3475000000001</v>
      </c>
      <c r="F288" s="41">
        <f t="shared" si="528"/>
        <v>3949.0425000000005</v>
      </c>
      <c r="G288" s="53">
        <f t="shared" si="529"/>
        <v>2961.7818750000006</v>
      </c>
      <c r="H288" s="54">
        <f t="shared" si="530"/>
        <v>1316.3475000000001</v>
      </c>
      <c r="I288" s="55">
        <f t="shared" si="531"/>
        <v>5265.39</v>
      </c>
      <c r="J288" s="56">
        <f t="shared" si="532"/>
        <v>3949.0425000000005</v>
      </c>
      <c r="K288" s="108">
        <f t="shared" si="533"/>
        <v>312.1155898043865</v>
      </c>
      <c r="L288" s="194" t="s">
        <v>1978</v>
      </c>
      <c r="M288" s="304"/>
    </row>
    <row r="289" spans="1:13" ht="15.75" customHeight="1" x14ac:dyDescent="0.25">
      <c r="A289" s="49" t="s">
        <v>323</v>
      </c>
      <c r="B289" s="50" t="s">
        <v>345</v>
      </c>
      <c r="C289" s="47">
        <v>13.86</v>
      </c>
      <c r="D289" s="52">
        <v>1526.61</v>
      </c>
      <c r="E289" s="53">
        <f t="shared" ref="E289" si="534">D289*50%</f>
        <v>763.30499999999995</v>
      </c>
      <c r="F289" s="41">
        <f t="shared" ref="F289" si="535">D289+E289</f>
        <v>2289.915</v>
      </c>
      <c r="G289" s="53">
        <f t="shared" ref="G289" si="536">F289-(F289*25%)</f>
        <v>1717.43625</v>
      </c>
      <c r="H289" s="54">
        <f t="shared" ref="H289" si="537">D289*50%</f>
        <v>763.30499999999995</v>
      </c>
      <c r="I289" s="55">
        <f t="shared" ref="I289" si="538">D289+(H289*2)</f>
        <v>3053.22</v>
      </c>
      <c r="J289" s="56">
        <f t="shared" ref="J289" si="539">I289-(I289*25%)</f>
        <v>2289.915</v>
      </c>
      <c r="K289" s="108">
        <f t="shared" si="533"/>
        <v>220.29004329004329</v>
      </c>
      <c r="L289" s="194" t="s">
        <v>1978</v>
      </c>
      <c r="M289" s="304"/>
    </row>
    <row r="290" spans="1:13" ht="15.75" customHeight="1" x14ac:dyDescent="0.25">
      <c r="A290" s="49" t="s">
        <v>324</v>
      </c>
      <c r="B290" s="50" t="s">
        <v>1882</v>
      </c>
      <c r="C290" s="47">
        <v>16.87</v>
      </c>
      <c r="D290" s="47">
        <v>2632.6950000000002</v>
      </c>
      <c r="E290" s="53">
        <f t="shared" ref="E290" si="540">D290*50%</f>
        <v>1316.3475000000001</v>
      </c>
      <c r="F290" s="41">
        <f t="shared" ref="F290" si="541">D290+E290</f>
        <v>3949.0425000000005</v>
      </c>
      <c r="G290" s="53">
        <f t="shared" ref="G290" si="542">F290-(F290*25%)</f>
        <v>2961.7818750000006</v>
      </c>
      <c r="H290" s="54">
        <f t="shared" ref="H290" si="543">D290*50%</f>
        <v>1316.3475000000001</v>
      </c>
      <c r="I290" s="55">
        <f t="shared" ref="I290" si="544">D290+(H290*2)</f>
        <v>5265.39</v>
      </c>
      <c r="J290" s="56">
        <f t="shared" ref="J290" si="545">I290-(I290*25%)</f>
        <v>3949.0425000000005</v>
      </c>
      <c r="K290" s="108">
        <f t="shared" si="533"/>
        <v>312.1155898043865</v>
      </c>
      <c r="L290" s="194" t="s">
        <v>1978</v>
      </c>
      <c r="M290" s="304"/>
    </row>
    <row r="291" spans="1:13" ht="15.75" customHeight="1" x14ac:dyDescent="0.25">
      <c r="A291" s="49" t="s">
        <v>325</v>
      </c>
      <c r="B291" s="50" t="s">
        <v>1882</v>
      </c>
      <c r="C291" s="47">
        <v>16.87</v>
      </c>
      <c r="D291" s="47">
        <v>2632.69</v>
      </c>
      <c r="E291" s="53">
        <f t="shared" ref="E291:E295" si="546">D291*50%</f>
        <v>1316.345</v>
      </c>
      <c r="F291" s="41">
        <f t="shared" ref="F291:F295" si="547">D291+E291</f>
        <v>3949.0349999999999</v>
      </c>
      <c r="G291" s="53">
        <f t="shared" ref="G291:G295" si="548">F291-(F291*25%)</f>
        <v>2961.7762499999999</v>
      </c>
      <c r="H291" s="54">
        <f t="shared" ref="H291:H295" si="549">D291*50%</f>
        <v>1316.345</v>
      </c>
      <c r="I291" s="55">
        <f t="shared" ref="I291:I295" si="550">D291+(H291*2)</f>
        <v>5265.38</v>
      </c>
      <c r="J291" s="56">
        <f t="shared" ref="J291:J295" si="551">I291-(I291*25%)</f>
        <v>3949.0349999999999</v>
      </c>
      <c r="K291" s="108">
        <f t="shared" si="533"/>
        <v>312.11499703615885</v>
      </c>
      <c r="L291" s="194" t="s">
        <v>1978</v>
      </c>
      <c r="M291" s="304"/>
    </row>
    <row r="292" spans="1:13" ht="15.75" customHeight="1" x14ac:dyDescent="0.25">
      <c r="A292" s="49" t="s">
        <v>326</v>
      </c>
      <c r="B292" s="50" t="s">
        <v>1882</v>
      </c>
      <c r="C292" s="47">
        <v>16.87</v>
      </c>
      <c r="D292" s="47">
        <v>2632.69</v>
      </c>
      <c r="E292" s="53">
        <f t="shared" si="546"/>
        <v>1316.345</v>
      </c>
      <c r="F292" s="41">
        <f t="shared" si="547"/>
        <v>3949.0349999999999</v>
      </c>
      <c r="G292" s="53">
        <f t="shared" si="548"/>
        <v>2961.7762499999999</v>
      </c>
      <c r="H292" s="54">
        <f t="shared" si="549"/>
        <v>1316.345</v>
      </c>
      <c r="I292" s="55">
        <f t="shared" si="550"/>
        <v>5265.38</v>
      </c>
      <c r="J292" s="56">
        <f t="shared" si="551"/>
        <v>3949.0349999999999</v>
      </c>
      <c r="K292" s="108">
        <f t="shared" si="533"/>
        <v>312.11499703615885</v>
      </c>
      <c r="L292" s="194" t="s">
        <v>1978</v>
      </c>
      <c r="M292" s="304"/>
    </row>
    <row r="293" spans="1:13" ht="15.75" customHeight="1" x14ac:dyDescent="0.25">
      <c r="A293" s="49" t="s">
        <v>327</v>
      </c>
      <c r="B293" s="50" t="s">
        <v>1882</v>
      </c>
      <c r="C293" s="47">
        <v>16.87</v>
      </c>
      <c r="D293" s="47">
        <v>2632.69</v>
      </c>
      <c r="E293" s="53">
        <f t="shared" si="546"/>
        <v>1316.345</v>
      </c>
      <c r="F293" s="41">
        <f t="shared" si="547"/>
        <v>3949.0349999999999</v>
      </c>
      <c r="G293" s="53">
        <f t="shared" si="548"/>
        <v>2961.7762499999999</v>
      </c>
      <c r="H293" s="54">
        <f t="shared" si="549"/>
        <v>1316.345</v>
      </c>
      <c r="I293" s="55">
        <f t="shared" si="550"/>
        <v>5265.38</v>
      </c>
      <c r="J293" s="56">
        <f t="shared" si="551"/>
        <v>3949.0349999999999</v>
      </c>
      <c r="K293" s="108">
        <f t="shared" si="533"/>
        <v>312.11499703615885</v>
      </c>
      <c r="L293" s="194" t="s">
        <v>1978</v>
      </c>
      <c r="M293" s="304"/>
    </row>
    <row r="294" spans="1:13" ht="15.75" customHeight="1" x14ac:dyDescent="0.25">
      <c r="A294" s="49" t="s">
        <v>328</v>
      </c>
      <c r="B294" s="50" t="s">
        <v>1882</v>
      </c>
      <c r="C294" s="47">
        <v>16.87</v>
      </c>
      <c r="D294" s="47">
        <v>2632.69</v>
      </c>
      <c r="E294" s="53">
        <f t="shared" si="546"/>
        <v>1316.345</v>
      </c>
      <c r="F294" s="41">
        <f t="shared" si="547"/>
        <v>3949.0349999999999</v>
      </c>
      <c r="G294" s="53">
        <f t="shared" si="548"/>
        <v>2961.7762499999999</v>
      </c>
      <c r="H294" s="54">
        <f t="shared" si="549"/>
        <v>1316.345</v>
      </c>
      <c r="I294" s="55">
        <f t="shared" si="550"/>
        <v>5265.38</v>
      </c>
      <c r="J294" s="56">
        <f t="shared" si="551"/>
        <v>3949.0349999999999</v>
      </c>
      <c r="K294" s="108">
        <f t="shared" si="533"/>
        <v>312.11499703615885</v>
      </c>
      <c r="L294" s="194" t="s">
        <v>1978</v>
      </c>
      <c r="M294" s="304"/>
    </row>
    <row r="295" spans="1:13" ht="15.75" customHeight="1" x14ac:dyDescent="0.25">
      <c r="A295" s="49" t="s">
        <v>329</v>
      </c>
      <c r="B295" s="50" t="s">
        <v>1882</v>
      </c>
      <c r="C295" s="47">
        <v>16.87</v>
      </c>
      <c r="D295" s="47">
        <v>2632.69</v>
      </c>
      <c r="E295" s="53">
        <f t="shared" si="546"/>
        <v>1316.345</v>
      </c>
      <c r="F295" s="41">
        <f t="shared" si="547"/>
        <v>3949.0349999999999</v>
      </c>
      <c r="G295" s="53">
        <f t="shared" si="548"/>
        <v>2961.7762499999999</v>
      </c>
      <c r="H295" s="54">
        <f t="shared" si="549"/>
        <v>1316.345</v>
      </c>
      <c r="I295" s="55">
        <f t="shared" si="550"/>
        <v>5265.38</v>
      </c>
      <c r="J295" s="56">
        <f t="shared" si="551"/>
        <v>3949.0349999999999</v>
      </c>
      <c r="K295" s="108">
        <f t="shared" si="533"/>
        <v>312.11499703615885</v>
      </c>
      <c r="L295" s="194" t="s">
        <v>1978</v>
      </c>
      <c r="M295" s="304"/>
    </row>
    <row r="296" spans="1:13" ht="15.75" customHeight="1" x14ac:dyDescent="0.25">
      <c r="A296" s="65"/>
      <c r="B296" s="65"/>
      <c r="C296" s="57"/>
      <c r="D296" s="57"/>
      <c r="E296" s="57"/>
      <c r="F296" s="47"/>
      <c r="G296" s="57"/>
      <c r="H296" s="58"/>
      <c r="I296" s="199"/>
      <c r="J296" s="59"/>
      <c r="K296" s="108"/>
      <c r="L296" s="194"/>
      <c r="M296" s="304"/>
    </row>
    <row r="297" spans="1:13" ht="15.75" customHeight="1" x14ac:dyDescent="0.25">
      <c r="A297" s="49" t="s">
        <v>330</v>
      </c>
      <c r="B297" s="50" t="s">
        <v>2098</v>
      </c>
      <c r="C297" s="47">
        <v>34.270000000000003</v>
      </c>
      <c r="D297" s="52">
        <v>5446.87</v>
      </c>
      <c r="E297" s="53">
        <f t="shared" ref="E297:E299" si="552">D297*50%</f>
        <v>2723.4349999999999</v>
      </c>
      <c r="F297" s="41">
        <f t="shared" ref="F297:F299" si="553">D297+E297</f>
        <v>8170.3050000000003</v>
      </c>
      <c r="G297" s="53">
        <f t="shared" ref="G297:G299" si="554">F297-(F297*25%)</f>
        <v>6127.7287500000002</v>
      </c>
      <c r="H297" s="54">
        <f t="shared" ref="H297:H299" si="555">D297*50%</f>
        <v>2723.4349999999999</v>
      </c>
      <c r="I297" s="55">
        <f t="shared" ref="I297:I299" si="556">D297+(H297*2)</f>
        <v>10893.74</v>
      </c>
      <c r="J297" s="56">
        <f t="shared" ref="J297:J299" si="557">I297-(I297*25%)</f>
        <v>8170.3050000000003</v>
      </c>
      <c r="K297" s="108">
        <f t="shared" ref="K297:K299" si="558">I297/C297</f>
        <v>317.8797782316895</v>
      </c>
      <c r="L297" s="194" t="s">
        <v>1978</v>
      </c>
      <c r="M297" s="304" t="s">
        <v>2305</v>
      </c>
    </row>
    <row r="298" spans="1:13" ht="15.75" customHeight="1" x14ac:dyDescent="0.25">
      <c r="A298" s="49" t="s">
        <v>331</v>
      </c>
      <c r="B298" s="50" t="s">
        <v>2310</v>
      </c>
      <c r="C298" s="47">
        <v>34.270000000000003</v>
      </c>
      <c r="D298" s="52">
        <v>5209.38</v>
      </c>
      <c r="E298" s="53">
        <f t="shared" si="552"/>
        <v>2604.69</v>
      </c>
      <c r="F298" s="41">
        <f t="shared" si="553"/>
        <v>7814.07</v>
      </c>
      <c r="G298" s="53">
        <f t="shared" si="554"/>
        <v>5860.5524999999998</v>
      </c>
      <c r="H298" s="54">
        <f t="shared" si="555"/>
        <v>2604.69</v>
      </c>
      <c r="I298" s="55">
        <f t="shared" si="556"/>
        <v>10418.76</v>
      </c>
      <c r="J298" s="56">
        <f t="shared" si="557"/>
        <v>7814.07</v>
      </c>
      <c r="K298" s="108">
        <f t="shared" si="558"/>
        <v>304.01984242777939</v>
      </c>
      <c r="L298" s="194" t="s">
        <v>1978</v>
      </c>
      <c r="M298" s="304"/>
    </row>
    <row r="299" spans="1:13" ht="15.75" customHeight="1" x14ac:dyDescent="0.25">
      <c r="A299" s="49" t="s">
        <v>332</v>
      </c>
      <c r="B299" s="50" t="s">
        <v>1344</v>
      </c>
      <c r="C299" s="47">
        <v>21.19</v>
      </c>
      <c r="D299" s="52">
        <v>3367.94</v>
      </c>
      <c r="E299" s="53">
        <f t="shared" si="552"/>
        <v>1683.97</v>
      </c>
      <c r="F299" s="41">
        <f t="shared" si="553"/>
        <v>5051.91</v>
      </c>
      <c r="G299" s="53">
        <f t="shared" si="554"/>
        <v>3788.9324999999999</v>
      </c>
      <c r="H299" s="54">
        <f t="shared" si="555"/>
        <v>1683.97</v>
      </c>
      <c r="I299" s="55">
        <f t="shared" si="556"/>
        <v>6735.88</v>
      </c>
      <c r="J299" s="56">
        <f t="shared" si="557"/>
        <v>5051.91</v>
      </c>
      <c r="K299" s="108">
        <f t="shared" si="558"/>
        <v>317.88013213780084</v>
      </c>
      <c r="L299" s="194" t="s">
        <v>1991</v>
      </c>
      <c r="M299" s="304" t="s">
        <v>2305</v>
      </c>
    </row>
    <row r="300" spans="1:13" s="14" customFormat="1" ht="15" customHeight="1" x14ac:dyDescent="0.25">
      <c r="A300" s="170" t="s">
        <v>333</v>
      </c>
      <c r="B300" s="228"/>
      <c r="C300" s="228"/>
      <c r="D300" s="228"/>
      <c r="E300" s="228"/>
      <c r="F300" s="229"/>
      <c r="G300" s="228"/>
      <c r="H300" s="229"/>
      <c r="I300" s="200"/>
      <c r="J300" s="230"/>
      <c r="K300" s="175"/>
      <c r="L300" s="273"/>
      <c r="M300" s="305"/>
    </row>
    <row r="301" spans="1:13" ht="15.75" customHeight="1" x14ac:dyDescent="0.25">
      <c r="A301" s="49" t="s">
        <v>334</v>
      </c>
      <c r="B301" s="50" t="s">
        <v>2023</v>
      </c>
      <c r="C301" s="47">
        <v>12.93</v>
      </c>
      <c r="D301" s="52">
        <v>1399.16</v>
      </c>
      <c r="E301" s="53">
        <f t="shared" ref="E301" si="559">D301*50%</f>
        <v>699.58</v>
      </c>
      <c r="F301" s="41">
        <f t="shared" ref="F301" si="560">D301+E301</f>
        <v>2098.7400000000002</v>
      </c>
      <c r="G301" s="53">
        <f t="shared" ref="G301" si="561">F301-(F301*25%)</f>
        <v>1574.0550000000003</v>
      </c>
      <c r="H301" s="54">
        <f t="shared" ref="H301" si="562">D301*50%</f>
        <v>699.58</v>
      </c>
      <c r="I301" s="55">
        <f t="shared" ref="I301" si="563">D301+(H301*2)</f>
        <v>2798.32</v>
      </c>
      <c r="J301" s="56">
        <f t="shared" ref="J301" si="564">I301-(I301*25%)</f>
        <v>2098.7400000000002</v>
      </c>
      <c r="K301" s="108">
        <f t="shared" ref="K301" si="565">I301/C301</f>
        <v>216.42072699149267</v>
      </c>
      <c r="L301" s="194" t="s">
        <v>2005</v>
      </c>
      <c r="M301" s="304" t="s">
        <v>2306</v>
      </c>
    </row>
    <row r="302" spans="1:13" ht="15.75" customHeight="1" x14ac:dyDescent="0.25">
      <c r="A302" s="49" t="s">
        <v>335</v>
      </c>
      <c r="B302" s="50"/>
      <c r="C302" s="47"/>
      <c r="D302" s="52"/>
      <c r="E302" s="57"/>
      <c r="F302" s="47"/>
      <c r="G302" s="57"/>
      <c r="H302" s="58"/>
      <c r="I302" s="201"/>
      <c r="J302" s="59"/>
      <c r="K302" s="108"/>
      <c r="L302" s="194"/>
      <c r="M302" s="304"/>
    </row>
    <row r="303" spans="1:13" ht="15.75" customHeight="1" x14ac:dyDescent="0.25">
      <c r="A303" s="49" t="s">
        <v>336</v>
      </c>
      <c r="B303" s="50" t="s">
        <v>1344</v>
      </c>
      <c r="C303" s="47">
        <v>14.88</v>
      </c>
      <c r="D303" s="52">
        <v>2026.66</v>
      </c>
      <c r="E303" s="53">
        <f t="shared" ref="E303" si="566">D303*50%</f>
        <v>1013.33</v>
      </c>
      <c r="F303" s="41">
        <f t="shared" ref="F303" si="567">D303+E303</f>
        <v>3039.9900000000002</v>
      </c>
      <c r="G303" s="53">
        <f t="shared" ref="G303" si="568">F303-(F303*25%)</f>
        <v>2279.9925000000003</v>
      </c>
      <c r="H303" s="54">
        <f t="shared" ref="H303" si="569">D303*50%</f>
        <v>1013.33</v>
      </c>
      <c r="I303" s="55">
        <f t="shared" ref="I303" si="570">D303+(H303*2)</f>
        <v>4053.32</v>
      </c>
      <c r="J303" s="56">
        <f t="shared" ref="J303" si="571">I303-(I303*25%)</f>
        <v>3039.9900000000002</v>
      </c>
      <c r="K303" s="108">
        <f t="shared" ref="K303" si="572">I303/C303</f>
        <v>272.40053763440858</v>
      </c>
      <c r="L303" s="194" t="s">
        <v>1991</v>
      </c>
      <c r="M303" s="304" t="s">
        <v>2305</v>
      </c>
    </row>
    <row r="304" spans="1:13" ht="15.75" customHeight="1" x14ac:dyDescent="0.25">
      <c r="A304" s="49"/>
      <c r="B304" s="50"/>
      <c r="C304" s="52"/>
      <c r="D304" s="52"/>
      <c r="E304" s="57"/>
      <c r="F304" s="47"/>
      <c r="G304" s="57"/>
      <c r="H304" s="58"/>
      <c r="I304" s="199"/>
      <c r="J304" s="59"/>
      <c r="K304" s="108"/>
      <c r="L304" s="194"/>
      <c r="M304" s="304"/>
    </row>
    <row r="305" spans="1:13" ht="15.75" customHeight="1" x14ac:dyDescent="0.25">
      <c r="A305" s="49" t="s">
        <v>337</v>
      </c>
      <c r="B305" s="50" t="s">
        <v>338</v>
      </c>
      <c r="C305" s="47">
        <v>9.06</v>
      </c>
      <c r="D305" s="52">
        <v>1035.83</v>
      </c>
      <c r="E305" s="53">
        <f t="shared" ref="E305:E311" si="573">D305*50%</f>
        <v>517.91499999999996</v>
      </c>
      <c r="F305" s="41">
        <f t="shared" ref="F305:F311" si="574">D305+E305</f>
        <v>1553.7449999999999</v>
      </c>
      <c r="G305" s="53">
        <f t="shared" ref="G305:G311" si="575">F305-(F305*25%)</f>
        <v>1165.3087499999999</v>
      </c>
      <c r="H305" s="54">
        <f t="shared" ref="H305:H311" si="576">D305*50%</f>
        <v>517.91499999999996</v>
      </c>
      <c r="I305" s="55">
        <f t="shared" ref="I305:I311" si="577">D305+(H305*2)</f>
        <v>2071.66</v>
      </c>
      <c r="J305" s="56">
        <f t="shared" ref="J305:J311" si="578">I305-(I305*25%)</f>
        <v>1553.7449999999999</v>
      </c>
      <c r="K305" s="108">
        <f t="shared" ref="K305:K311" si="579">I305/C305</f>
        <v>228.66004415011034</v>
      </c>
      <c r="L305" s="194" t="s">
        <v>2005</v>
      </c>
      <c r="M305" s="304" t="s">
        <v>2306</v>
      </c>
    </row>
    <row r="306" spans="1:13" ht="15.75" customHeight="1" x14ac:dyDescent="0.25">
      <c r="A306" s="49" t="s">
        <v>339</v>
      </c>
      <c r="B306" s="50" t="s">
        <v>1399</v>
      </c>
      <c r="C306" s="47">
        <v>9.06</v>
      </c>
      <c r="D306" s="52">
        <v>1035.83</v>
      </c>
      <c r="E306" s="53">
        <f t="shared" si="573"/>
        <v>517.91499999999996</v>
      </c>
      <c r="F306" s="41">
        <f t="shared" si="574"/>
        <v>1553.7449999999999</v>
      </c>
      <c r="G306" s="53">
        <f t="shared" si="575"/>
        <v>1165.3087499999999</v>
      </c>
      <c r="H306" s="54">
        <f t="shared" si="576"/>
        <v>517.91499999999996</v>
      </c>
      <c r="I306" s="55">
        <f t="shared" si="577"/>
        <v>2071.66</v>
      </c>
      <c r="J306" s="56">
        <f t="shared" si="578"/>
        <v>1553.7449999999999</v>
      </c>
      <c r="K306" s="108">
        <f t="shared" si="579"/>
        <v>228.66004415011034</v>
      </c>
      <c r="L306" s="194" t="s">
        <v>2000</v>
      </c>
      <c r="M306" s="304" t="s">
        <v>2306</v>
      </c>
    </row>
    <row r="307" spans="1:13" ht="15.75" customHeight="1" x14ac:dyDescent="0.25">
      <c r="A307" s="49" t="s">
        <v>340</v>
      </c>
      <c r="B307" s="50" t="s">
        <v>1394</v>
      </c>
      <c r="C307" s="47">
        <v>9.06</v>
      </c>
      <c r="D307" s="52">
        <v>1035.83</v>
      </c>
      <c r="E307" s="53">
        <f t="shared" si="573"/>
        <v>517.91499999999996</v>
      </c>
      <c r="F307" s="41">
        <f t="shared" si="574"/>
        <v>1553.7449999999999</v>
      </c>
      <c r="G307" s="53">
        <f t="shared" si="575"/>
        <v>1165.3087499999999</v>
      </c>
      <c r="H307" s="54">
        <f t="shared" si="576"/>
        <v>517.91499999999996</v>
      </c>
      <c r="I307" s="55">
        <f t="shared" si="577"/>
        <v>2071.66</v>
      </c>
      <c r="J307" s="56">
        <f t="shared" si="578"/>
        <v>1553.7449999999999</v>
      </c>
      <c r="K307" s="108">
        <f t="shared" si="579"/>
        <v>228.66004415011034</v>
      </c>
      <c r="L307" s="194" t="s">
        <v>1983</v>
      </c>
      <c r="M307" s="304" t="s">
        <v>2306</v>
      </c>
    </row>
    <row r="308" spans="1:13" ht="15.75" customHeight="1" x14ac:dyDescent="0.25">
      <c r="A308" s="49" t="s">
        <v>341</v>
      </c>
      <c r="B308" s="50" t="s">
        <v>1319</v>
      </c>
      <c r="C308" s="47">
        <v>9.06</v>
      </c>
      <c r="D308" s="52">
        <v>1035.83</v>
      </c>
      <c r="E308" s="53">
        <f t="shared" si="573"/>
        <v>517.91499999999996</v>
      </c>
      <c r="F308" s="41">
        <f t="shared" si="574"/>
        <v>1553.7449999999999</v>
      </c>
      <c r="G308" s="53">
        <f t="shared" si="575"/>
        <v>1165.3087499999999</v>
      </c>
      <c r="H308" s="54">
        <f t="shared" si="576"/>
        <v>517.91499999999996</v>
      </c>
      <c r="I308" s="55">
        <f t="shared" si="577"/>
        <v>2071.66</v>
      </c>
      <c r="J308" s="56">
        <f t="shared" si="578"/>
        <v>1553.7449999999999</v>
      </c>
      <c r="K308" s="108">
        <f t="shared" si="579"/>
        <v>228.66004415011034</v>
      </c>
      <c r="L308" s="194" t="s">
        <v>2005</v>
      </c>
      <c r="M308" s="304"/>
    </row>
    <row r="309" spans="1:13" ht="15.75" customHeight="1" x14ac:dyDescent="0.25">
      <c r="A309" s="49" t="s">
        <v>342</v>
      </c>
      <c r="B309" s="50" t="s">
        <v>1452</v>
      </c>
      <c r="C309" s="47">
        <v>9.06</v>
      </c>
      <c r="D309" s="52">
        <v>1035.83</v>
      </c>
      <c r="E309" s="53">
        <f t="shared" si="573"/>
        <v>517.91499999999996</v>
      </c>
      <c r="F309" s="41">
        <f t="shared" si="574"/>
        <v>1553.7449999999999</v>
      </c>
      <c r="G309" s="53">
        <f t="shared" si="575"/>
        <v>1165.3087499999999</v>
      </c>
      <c r="H309" s="54">
        <f t="shared" si="576"/>
        <v>517.91499999999996</v>
      </c>
      <c r="I309" s="55">
        <f t="shared" si="577"/>
        <v>2071.66</v>
      </c>
      <c r="J309" s="56">
        <f t="shared" si="578"/>
        <v>1553.7449999999999</v>
      </c>
      <c r="K309" s="108">
        <f t="shared" si="579"/>
        <v>228.66004415011034</v>
      </c>
      <c r="L309" s="194" t="s">
        <v>2009</v>
      </c>
      <c r="M309" s="304" t="s">
        <v>2306</v>
      </c>
    </row>
    <row r="310" spans="1:13" ht="15.75" customHeight="1" x14ac:dyDescent="0.25">
      <c r="A310" s="49" t="s">
        <v>343</v>
      </c>
      <c r="B310" s="50" t="s">
        <v>2213</v>
      </c>
      <c r="C310" s="47">
        <v>9.06</v>
      </c>
      <c r="D310" s="52">
        <v>1035.83</v>
      </c>
      <c r="E310" s="53">
        <f t="shared" si="573"/>
        <v>517.91499999999996</v>
      </c>
      <c r="F310" s="41">
        <f t="shared" si="574"/>
        <v>1553.7449999999999</v>
      </c>
      <c r="G310" s="53">
        <f t="shared" si="575"/>
        <v>1165.3087499999999</v>
      </c>
      <c r="H310" s="54">
        <f t="shared" si="576"/>
        <v>517.91499999999996</v>
      </c>
      <c r="I310" s="55">
        <f t="shared" si="577"/>
        <v>2071.66</v>
      </c>
      <c r="J310" s="56">
        <f t="shared" si="578"/>
        <v>1553.7449999999999</v>
      </c>
      <c r="K310" s="108">
        <f t="shared" si="579"/>
        <v>228.66004415011034</v>
      </c>
      <c r="L310" s="194" t="s">
        <v>2000</v>
      </c>
      <c r="M310" s="304"/>
    </row>
    <row r="311" spans="1:13" ht="15.75" customHeight="1" x14ac:dyDescent="0.25">
      <c r="A311" s="49" t="s">
        <v>344</v>
      </c>
      <c r="B311" s="50" t="s">
        <v>345</v>
      </c>
      <c r="C311" s="47">
        <v>17.850000000000001</v>
      </c>
      <c r="D311" s="52">
        <v>2040.79</v>
      </c>
      <c r="E311" s="53">
        <f t="shared" si="573"/>
        <v>1020.395</v>
      </c>
      <c r="F311" s="41">
        <f t="shared" si="574"/>
        <v>3061.1849999999999</v>
      </c>
      <c r="G311" s="53">
        <f t="shared" si="575"/>
        <v>2295.8887500000001</v>
      </c>
      <c r="H311" s="54">
        <f t="shared" si="576"/>
        <v>1020.395</v>
      </c>
      <c r="I311" s="55">
        <f t="shared" si="577"/>
        <v>4081.58</v>
      </c>
      <c r="J311" s="56">
        <f t="shared" si="578"/>
        <v>3061.1849999999999</v>
      </c>
      <c r="K311" s="108">
        <f t="shared" si="579"/>
        <v>228.65994397759101</v>
      </c>
      <c r="L311" s="194" t="s">
        <v>1978</v>
      </c>
      <c r="M311" s="304"/>
    </row>
    <row r="312" spans="1:13" ht="15.75" customHeight="1" x14ac:dyDescent="0.25">
      <c r="A312" s="49"/>
      <c r="B312" s="50"/>
      <c r="C312" s="47"/>
      <c r="D312" s="47"/>
      <c r="E312" s="57"/>
      <c r="F312" s="47"/>
      <c r="G312" s="57"/>
      <c r="H312" s="58"/>
      <c r="I312" s="199"/>
      <c r="J312" s="59"/>
      <c r="K312" s="108"/>
      <c r="L312" s="194"/>
      <c r="M312" s="304"/>
    </row>
    <row r="313" spans="1:13" ht="15.75" customHeight="1" x14ac:dyDescent="0.25">
      <c r="A313" s="49" t="s">
        <v>346</v>
      </c>
      <c r="B313" s="50" t="s">
        <v>347</v>
      </c>
      <c r="C313" s="47">
        <v>11.69</v>
      </c>
      <c r="D313" s="52">
        <v>1147.4849999999999</v>
      </c>
      <c r="E313" s="53">
        <f t="shared" ref="E313" si="580">D313*50%</f>
        <v>573.74249999999995</v>
      </c>
      <c r="F313" s="41">
        <f t="shared" ref="F313" si="581">D313+E313</f>
        <v>1721.2275</v>
      </c>
      <c r="G313" s="53">
        <f t="shared" ref="G313" si="582">F313-(F313*25%)</f>
        <v>1290.920625</v>
      </c>
      <c r="H313" s="54">
        <f t="shared" ref="H313" si="583">D313*50%</f>
        <v>573.74249999999995</v>
      </c>
      <c r="I313" s="55">
        <f t="shared" ref="I313" si="584">D313+(H313*2)</f>
        <v>2294.9699999999998</v>
      </c>
      <c r="J313" s="56">
        <f t="shared" ref="J313" si="585">I313-(I313*25%)</f>
        <v>1721.2275</v>
      </c>
      <c r="K313" s="108">
        <f t="shared" ref="K313:K317" si="586">I313/C313</f>
        <v>196.3190761334474</v>
      </c>
      <c r="L313" s="194" t="s">
        <v>2005</v>
      </c>
      <c r="M313" s="304" t="s">
        <v>2306</v>
      </c>
    </row>
    <row r="314" spans="1:13" ht="15.75" customHeight="1" x14ac:dyDescent="0.25">
      <c r="A314" s="49" t="s">
        <v>348</v>
      </c>
      <c r="B314" s="50" t="s">
        <v>347</v>
      </c>
      <c r="C314" s="47">
        <v>11.69</v>
      </c>
      <c r="D314" s="52">
        <v>1147.4849999999999</v>
      </c>
      <c r="E314" s="53">
        <f t="shared" ref="E314" si="587">D314*50%</f>
        <v>573.74249999999995</v>
      </c>
      <c r="F314" s="41">
        <f t="shared" ref="F314" si="588">D314+E314</f>
        <v>1721.2275</v>
      </c>
      <c r="G314" s="53">
        <f t="shared" ref="G314" si="589">F314-(F314*25%)</f>
        <v>1290.920625</v>
      </c>
      <c r="H314" s="54">
        <f t="shared" ref="H314" si="590">D314*50%</f>
        <v>573.74249999999995</v>
      </c>
      <c r="I314" s="55">
        <f t="shared" ref="I314" si="591">D314+(H314*2)</f>
        <v>2294.9699999999998</v>
      </c>
      <c r="J314" s="56">
        <f t="shared" ref="J314" si="592">I314-(I314*25%)</f>
        <v>1721.2275</v>
      </c>
      <c r="K314" s="108">
        <f t="shared" si="586"/>
        <v>196.3190761334474</v>
      </c>
      <c r="L314" s="194" t="s">
        <v>2005</v>
      </c>
      <c r="M314" s="304" t="s">
        <v>2306</v>
      </c>
    </row>
    <row r="315" spans="1:13" ht="15.75" customHeight="1" x14ac:dyDescent="0.25">
      <c r="A315" s="49" t="s">
        <v>349</v>
      </c>
      <c r="B315" s="50" t="s">
        <v>347</v>
      </c>
      <c r="C315" s="47">
        <v>11.7</v>
      </c>
      <c r="D315" s="52">
        <v>1147.47</v>
      </c>
      <c r="E315" s="53">
        <f t="shared" ref="E315:E317" si="593">D315*50%</f>
        <v>573.73500000000001</v>
      </c>
      <c r="F315" s="41">
        <f t="shared" ref="F315:F317" si="594">D315+E315</f>
        <v>1721.2049999999999</v>
      </c>
      <c r="G315" s="53">
        <f t="shared" ref="G315:G317" si="595">F315-(F315*25%)</f>
        <v>1290.9037499999999</v>
      </c>
      <c r="H315" s="54">
        <f t="shared" ref="H315:H317" si="596">D315*50%</f>
        <v>573.73500000000001</v>
      </c>
      <c r="I315" s="55">
        <f t="shared" ref="I315:I317" si="597">D315+(H315*2)</f>
        <v>2294.94</v>
      </c>
      <c r="J315" s="56">
        <f t="shared" ref="J315:J317" si="598">I315-(I315*25%)</f>
        <v>1721.2049999999999</v>
      </c>
      <c r="K315" s="108">
        <f t="shared" si="586"/>
        <v>196.14871794871797</v>
      </c>
      <c r="L315" s="194" t="s">
        <v>2005</v>
      </c>
      <c r="M315" s="304" t="s">
        <v>2306</v>
      </c>
    </row>
    <row r="316" spans="1:13" ht="15.75" customHeight="1" x14ac:dyDescent="0.25">
      <c r="A316" s="49" t="s">
        <v>350</v>
      </c>
      <c r="B316" s="50" t="s">
        <v>347</v>
      </c>
      <c r="C316" s="47">
        <v>11.69</v>
      </c>
      <c r="D316" s="52">
        <v>1147.4849999999999</v>
      </c>
      <c r="E316" s="53">
        <f t="shared" si="593"/>
        <v>573.74249999999995</v>
      </c>
      <c r="F316" s="41">
        <f t="shared" si="594"/>
        <v>1721.2275</v>
      </c>
      <c r="G316" s="53">
        <f t="shared" si="595"/>
        <v>1290.920625</v>
      </c>
      <c r="H316" s="54">
        <f t="shared" si="596"/>
        <v>573.74249999999995</v>
      </c>
      <c r="I316" s="55">
        <f t="shared" si="597"/>
        <v>2294.9699999999998</v>
      </c>
      <c r="J316" s="56">
        <f t="shared" si="598"/>
        <v>1721.2275</v>
      </c>
      <c r="K316" s="108">
        <f t="shared" si="586"/>
        <v>196.3190761334474</v>
      </c>
      <c r="L316" s="194" t="s">
        <v>2005</v>
      </c>
      <c r="M316" s="304" t="s">
        <v>2306</v>
      </c>
    </row>
    <row r="317" spans="1:13" ht="15.75" customHeight="1" x14ac:dyDescent="0.25">
      <c r="A317" s="49" t="s">
        <v>351</v>
      </c>
      <c r="B317" s="50" t="s">
        <v>347</v>
      </c>
      <c r="C317" s="47">
        <v>7.48</v>
      </c>
      <c r="D317" s="52">
        <v>1562.72</v>
      </c>
      <c r="E317" s="53">
        <f t="shared" si="593"/>
        <v>781.36</v>
      </c>
      <c r="F317" s="41">
        <f t="shared" si="594"/>
        <v>2344.08</v>
      </c>
      <c r="G317" s="53">
        <f t="shared" si="595"/>
        <v>1758.06</v>
      </c>
      <c r="H317" s="54">
        <f t="shared" si="596"/>
        <v>781.36</v>
      </c>
      <c r="I317" s="55">
        <f t="shared" si="597"/>
        <v>3125.44</v>
      </c>
      <c r="J317" s="56">
        <f t="shared" si="598"/>
        <v>2344.08</v>
      </c>
      <c r="K317" s="108">
        <f t="shared" si="586"/>
        <v>417.83957219251334</v>
      </c>
      <c r="L317" s="194" t="s">
        <v>2005</v>
      </c>
      <c r="M317" s="304" t="s">
        <v>2306</v>
      </c>
    </row>
    <row r="318" spans="1:13" ht="15.75" customHeight="1" x14ac:dyDescent="0.25">
      <c r="A318" s="65"/>
      <c r="B318" s="65"/>
      <c r="C318" s="57"/>
      <c r="D318" s="57"/>
      <c r="E318" s="57"/>
      <c r="F318" s="47"/>
      <c r="G318" s="57"/>
      <c r="H318" s="58"/>
      <c r="I318" s="199"/>
      <c r="J318" s="59"/>
      <c r="K318" s="108"/>
      <c r="L318" s="194"/>
      <c r="M318" s="304"/>
    </row>
    <row r="319" spans="1:13" ht="15.75" customHeight="1" x14ac:dyDescent="0.25">
      <c r="A319" s="49" t="s">
        <v>352</v>
      </c>
      <c r="B319" s="231" t="s">
        <v>1889</v>
      </c>
      <c r="C319" s="47">
        <v>31.36</v>
      </c>
      <c r="D319" s="52">
        <v>4271.2349999999997</v>
      </c>
      <c r="E319" s="53">
        <f t="shared" ref="E319:E328" si="599">D319*50%</f>
        <v>2135.6174999999998</v>
      </c>
      <c r="F319" s="41">
        <f t="shared" ref="F319:F328" si="600">D319+E319</f>
        <v>6406.8524999999991</v>
      </c>
      <c r="G319" s="53">
        <f t="shared" ref="G319:G328" si="601">F319-(F319*25%)</f>
        <v>4805.1393749999988</v>
      </c>
      <c r="H319" s="54">
        <f t="shared" ref="H319:H328" si="602">D319*50%</f>
        <v>2135.6174999999998</v>
      </c>
      <c r="I319" s="55">
        <f t="shared" ref="I319:I328" si="603">D319+(H319*2)</f>
        <v>8542.4699999999993</v>
      </c>
      <c r="J319" s="56">
        <f t="shared" ref="J319:J328" si="604">I319-(I319*25%)</f>
        <v>6406.8524999999991</v>
      </c>
      <c r="K319" s="108">
        <f t="shared" ref="K319:K328" si="605">I319/C319</f>
        <v>272.4001913265306</v>
      </c>
      <c r="L319" s="194" t="s">
        <v>2006</v>
      </c>
      <c r="M319" s="304"/>
    </row>
    <row r="320" spans="1:13" ht="15.75" customHeight="1" x14ac:dyDescent="0.25">
      <c r="A320" s="49" t="s">
        <v>353</v>
      </c>
      <c r="B320" s="231" t="s">
        <v>1889</v>
      </c>
      <c r="C320" s="47">
        <v>16.52</v>
      </c>
      <c r="D320" s="52">
        <v>1787.635</v>
      </c>
      <c r="E320" s="53">
        <f t="shared" si="599"/>
        <v>893.8175</v>
      </c>
      <c r="F320" s="41">
        <f t="shared" si="600"/>
        <v>2681.4524999999999</v>
      </c>
      <c r="G320" s="53">
        <f t="shared" si="601"/>
        <v>2011.089375</v>
      </c>
      <c r="H320" s="54">
        <f t="shared" si="602"/>
        <v>893.8175</v>
      </c>
      <c r="I320" s="55">
        <f t="shared" si="603"/>
        <v>3575.27</v>
      </c>
      <c r="J320" s="56">
        <f t="shared" si="604"/>
        <v>2681.4524999999999</v>
      </c>
      <c r="K320" s="108">
        <f t="shared" si="605"/>
        <v>216.42070217917677</v>
      </c>
      <c r="L320" s="194" t="s">
        <v>2006</v>
      </c>
      <c r="M320" s="304"/>
    </row>
    <row r="321" spans="1:13" ht="15.75" customHeight="1" x14ac:dyDescent="0.25">
      <c r="A321" s="49" t="s">
        <v>354</v>
      </c>
      <c r="B321" s="50" t="s">
        <v>2148</v>
      </c>
      <c r="C321" s="47">
        <v>23.46</v>
      </c>
      <c r="D321" s="52">
        <v>2538.61</v>
      </c>
      <c r="E321" s="53">
        <f t="shared" si="599"/>
        <v>1269.3050000000001</v>
      </c>
      <c r="F321" s="41">
        <f t="shared" si="600"/>
        <v>3807.915</v>
      </c>
      <c r="G321" s="53">
        <f t="shared" si="601"/>
        <v>2855.9362499999997</v>
      </c>
      <c r="H321" s="54">
        <f t="shared" si="602"/>
        <v>1269.3050000000001</v>
      </c>
      <c r="I321" s="55">
        <f t="shared" si="603"/>
        <v>5077.22</v>
      </c>
      <c r="J321" s="56">
        <f t="shared" si="604"/>
        <v>3807.915</v>
      </c>
      <c r="K321" s="108">
        <f t="shared" si="605"/>
        <v>216.42028985507247</v>
      </c>
      <c r="L321" s="194" t="s">
        <v>2005</v>
      </c>
      <c r="M321" s="304" t="s">
        <v>2306</v>
      </c>
    </row>
    <row r="322" spans="1:13" ht="15.75" customHeight="1" x14ac:dyDescent="0.25">
      <c r="A322" s="49" t="s">
        <v>355</v>
      </c>
      <c r="B322" s="231" t="s">
        <v>1889</v>
      </c>
      <c r="C322" s="47">
        <v>16.52</v>
      </c>
      <c r="D322" s="174">
        <v>1787.63</v>
      </c>
      <c r="E322" s="53">
        <f t="shared" si="599"/>
        <v>893.81500000000005</v>
      </c>
      <c r="F322" s="41">
        <f t="shared" si="600"/>
        <v>2681.4450000000002</v>
      </c>
      <c r="G322" s="53">
        <f t="shared" si="601"/>
        <v>2011.0837500000002</v>
      </c>
      <c r="H322" s="54">
        <f t="shared" si="602"/>
        <v>893.81500000000005</v>
      </c>
      <c r="I322" s="55">
        <f t="shared" si="603"/>
        <v>3575.26</v>
      </c>
      <c r="J322" s="56">
        <f t="shared" si="604"/>
        <v>2681.4450000000002</v>
      </c>
      <c r="K322" s="108">
        <f t="shared" si="605"/>
        <v>216.42009685230025</v>
      </c>
      <c r="L322" s="194" t="s">
        <v>2005</v>
      </c>
      <c r="M322" s="304"/>
    </row>
    <row r="323" spans="1:13" ht="15.75" customHeight="1" x14ac:dyDescent="0.25">
      <c r="A323" s="49" t="s">
        <v>356</v>
      </c>
      <c r="B323" s="50" t="s">
        <v>2147</v>
      </c>
      <c r="C323" s="47">
        <v>16.52</v>
      </c>
      <c r="D323" s="52">
        <v>1787.63</v>
      </c>
      <c r="E323" s="53">
        <f t="shared" si="599"/>
        <v>893.81500000000005</v>
      </c>
      <c r="F323" s="41">
        <f t="shared" si="600"/>
        <v>2681.4450000000002</v>
      </c>
      <c r="G323" s="53">
        <f t="shared" si="601"/>
        <v>2011.0837500000002</v>
      </c>
      <c r="H323" s="54">
        <f t="shared" si="602"/>
        <v>893.81500000000005</v>
      </c>
      <c r="I323" s="55">
        <f t="shared" si="603"/>
        <v>3575.26</v>
      </c>
      <c r="J323" s="56">
        <f t="shared" si="604"/>
        <v>2681.4450000000002</v>
      </c>
      <c r="K323" s="108">
        <f t="shared" si="605"/>
        <v>216.42009685230025</v>
      </c>
      <c r="L323" s="194" t="s">
        <v>1978</v>
      </c>
      <c r="M323" s="304" t="s">
        <v>2306</v>
      </c>
    </row>
    <row r="324" spans="1:13" ht="15.75" customHeight="1" x14ac:dyDescent="0.25">
      <c r="A324" s="49" t="s">
        <v>357</v>
      </c>
      <c r="B324" s="50" t="s">
        <v>358</v>
      </c>
      <c r="C324" s="47">
        <v>23</v>
      </c>
      <c r="D324" s="52">
        <v>2488.83</v>
      </c>
      <c r="E324" s="53">
        <f t="shared" si="599"/>
        <v>1244.415</v>
      </c>
      <c r="F324" s="41">
        <f t="shared" si="600"/>
        <v>3733.2449999999999</v>
      </c>
      <c r="G324" s="53">
        <f t="shared" si="601"/>
        <v>2799.9337500000001</v>
      </c>
      <c r="H324" s="54">
        <f t="shared" si="602"/>
        <v>1244.415</v>
      </c>
      <c r="I324" s="55">
        <f t="shared" si="603"/>
        <v>4977.66</v>
      </c>
      <c r="J324" s="56">
        <f t="shared" si="604"/>
        <v>3733.2449999999999</v>
      </c>
      <c r="K324" s="108">
        <f t="shared" si="605"/>
        <v>216.42</v>
      </c>
      <c r="L324" s="194" t="s">
        <v>2005</v>
      </c>
      <c r="M324" s="304" t="s">
        <v>2306</v>
      </c>
    </row>
    <row r="325" spans="1:13" ht="15.75" customHeight="1" x14ac:dyDescent="0.25">
      <c r="A325" s="49" t="s">
        <v>359</v>
      </c>
      <c r="B325" s="50" t="s">
        <v>2147</v>
      </c>
      <c r="C325" s="47">
        <v>13.57</v>
      </c>
      <c r="D325" s="52">
        <v>1848.23</v>
      </c>
      <c r="E325" s="53">
        <f t="shared" si="599"/>
        <v>924.11500000000001</v>
      </c>
      <c r="F325" s="41">
        <f t="shared" si="600"/>
        <v>2772.3450000000003</v>
      </c>
      <c r="G325" s="53">
        <f t="shared" si="601"/>
        <v>2079.25875</v>
      </c>
      <c r="H325" s="54">
        <f t="shared" si="602"/>
        <v>924.11500000000001</v>
      </c>
      <c r="I325" s="55">
        <f t="shared" si="603"/>
        <v>3696.46</v>
      </c>
      <c r="J325" s="56">
        <f t="shared" si="604"/>
        <v>2772.3450000000003</v>
      </c>
      <c r="K325" s="108">
        <f t="shared" si="605"/>
        <v>272.3994104642594</v>
      </c>
      <c r="L325" s="194" t="s">
        <v>1978</v>
      </c>
      <c r="M325" s="304" t="s">
        <v>2306</v>
      </c>
    </row>
    <row r="326" spans="1:13" ht="15.75" customHeight="1" x14ac:dyDescent="0.25">
      <c r="A326" s="49" t="s">
        <v>360</v>
      </c>
      <c r="B326" s="50" t="s">
        <v>361</v>
      </c>
      <c r="C326" s="47">
        <v>11.73</v>
      </c>
      <c r="D326" s="52">
        <v>1597.63</v>
      </c>
      <c r="E326" s="53">
        <f t="shared" si="599"/>
        <v>798.81500000000005</v>
      </c>
      <c r="F326" s="41">
        <f t="shared" si="600"/>
        <v>2396.4450000000002</v>
      </c>
      <c r="G326" s="53">
        <f t="shared" si="601"/>
        <v>1797.3337500000002</v>
      </c>
      <c r="H326" s="54">
        <f t="shared" si="602"/>
        <v>798.81500000000005</v>
      </c>
      <c r="I326" s="55">
        <f t="shared" si="603"/>
        <v>3195.26</v>
      </c>
      <c r="J326" s="56">
        <f t="shared" si="604"/>
        <v>2396.4450000000002</v>
      </c>
      <c r="K326" s="108">
        <f t="shared" si="605"/>
        <v>272.4006820119352</v>
      </c>
      <c r="L326" s="194" t="s">
        <v>2005</v>
      </c>
      <c r="M326" s="304" t="s">
        <v>2306</v>
      </c>
    </row>
    <row r="327" spans="1:13" ht="15.75" customHeight="1" x14ac:dyDescent="0.25">
      <c r="A327" s="49" t="s">
        <v>362</v>
      </c>
      <c r="B327" s="50" t="s">
        <v>2103</v>
      </c>
      <c r="C327" s="47">
        <v>12.09</v>
      </c>
      <c r="D327" s="52">
        <v>1382.25</v>
      </c>
      <c r="E327" s="53">
        <f t="shared" si="599"/>
        <v>691.125</v>
      </c>
      <c r="F327" s="41">
        <f t="shared" si="600"/>
        <v>2073.375</v>
      </c>
      <c r="G327" s="53">
        <f t="shared" si="601"/>
        <v>1555.03125</v>
      </c>
      <c r="H327" s="54">
        <f t="shared" si="602"/>
        <v>691.125</v>
      </c>
      <c r="I327" s="55">
        <f t="shared" si="603"/>
        <v>2764.5</v>
      </c>
      <c r="J327" s="56">
        <f t="shared" si="604"/>
        <v>2073.375</v>
      </c>
      <c r="K327" s="108">
        <f t="shared" si="605"/>
        <v>228.66004962779158</v>
      </c>
      <c r="L327" s="194" t="s">
        <v>2005</v>
      </c>
      <c r="M327" s="304" t="s">
        <v>2306</v>
      </c>
    </row>
    <row r="328" spans="1:13" ht="15.75" customHeight="1" x14ac:dyDescent="0.25">
      <c r="A328" s="49" t="s">
        <v>363</v>
      </c>
      <c r="B328" s="50" t="s">
        <v>364</v>
      </c>
      <c r="C328" s="47">
        <v>14.95</v>
      </c>
      <c r="D328" s="52">
        <v>1615.05</v>
      </c>
      <c r="E328" s="53">
        <f t="shared" si="599"/>
        <v>807.52499999999998</v>
      </c>
      <c r="F328" s="41">
        <f t="shared" si="600"/>
        <v>2422.5749999999998</v>
      </c>
      <c r="G328" s="53">
        <f t="shared" si="601"/>
        <v>1816.9312499999999</v>
      </c>
      <c r="H328" s="54">
        <f t="shared" si="602"/>
        <v>807.52499999999998</v>
      </c>
      <c r="I328" s="55">
        <f t="shared" si="603"/>
        <v>3230.1</v>
      </c>
      <c r="J328" s="56">
        <f t="shared" si="604"/>
        <v>2422.5749999999998</v>
      </c>
      <c r="K328" s="108">
        <f t="shared" si="605"/>
        <v>216.06020066889633</v>
      </c>
      <c r="L328" s="194" t="s">
        <v>2005</v>
      </c>
      <c r="M328" s="304" t="s">
        <v>2306</v>
      </c>
    </row>
    <row r="329" spans="1:13" ht="15.75" customHeight="1" x14ac:dyDescent="0.25">
      <c r="A329" s="65"/>
      <c r="B329" s="65"/>
      <c r="C329" s="57"/>
      <c r="D329" s="57"/>
      <c r="E329" s="57"/>
      <c r="F329" s="47"/>
      <c r="G329" s="57"/>
      <c r="H329" s="58"/>
      <c r="I329" s="199"/>
      <c r="J329" s="59"/>
      <c r="K329" s="108"/>
      <c r="L329" s="194"/>
      <c r="M329" s="304"/>
    </row>
    <row r="330" spans="1:13" ht="15.75" customHeight="1" x14ac:dyDescent="0.25">
      <c r="A330" s="49" t="s">
        <v>365</v>
      </c>
      <c r="B330" s="50" t="s">
        <v>1809</v>
      </c>
      <c r="C330" s="47">
        <v>30.98</v>
      </c>
      <c r="D330" s="52">
        <v>5019.04</v>
      </c>
      <c r="E330" s="53">
        <f t="shared" ref="E330:E337" si="606">D330*50%</f>
        <v>2509.52</v>
      </c>
      <c r="F330" s="41">
        <f t="shared" ref="F330:F337" si="607">D330+E330</f>
        <v>7528.5599999999995</v>
      </c>
      <c r="G330" s="53">
        <f t="shared" ref="G330:G337" si="608">F330-(F330*25%)</f>
        <v>5646.42</v>
      </c>
      <c r="H330" s="54">
        <f t="shared" ref="H330:H337" si="609">D330*50%</f>
        <v>2509.52</v>
      </c>
      <c r="I330" s="55">
        <f t="shared" ref="I330:I337" si="610">D330+(H330*2)</f>
        <v>10038.08</v>
      </c>
      <c r="J330" s="56">
        <f t="shared" ref="J330:J337" si="611">I330-(I330*25%)</f>
        <v>7528.5599999999995</v>
      </c>
      <c r="K330" s="108">
        <f t="shared" ref="K330:K337" si="612">I330/C330</f>
        <v>324.01807617817946</v>
      </c>
      <c r="L330" s="194" t="s">
        <v>2010</v>
      </c>
      <c r="M330" s="304"/>
    </row>
    <row r="331" spans="1:13" ht="15.75" customHeight="1" x14ac:dyDescent="0.25">
      <c r="A331" s="49" t="s">
        <v>366</v>
      </c>
      <c r="B331" s="50" t="s">
        <v>1773</v>
      </c>
      <c r="C331" s="47">
        <v>53.12</v>
      </c>
      <c r="D331" s="52">
        <v>3545.355</v>
      </c>
      <c r="E331" s="53">
        <f t="shared" si="606"/>
        <v>1772.6775</v>
      </c>
      <c r="F331" s="41">
        <f t="shared" si="607"/>
        <v>5318.0325000000003</v>
      </c>
      <c r="G331" s="53">
        <f t="shared" si="608"/>
        <v>3988.524375</v>
      </c>
      <c r="H331" s="54">
        <f t="shared" si="609"/>
        <v>1772.6775</v>
      </c>
      <c r="I331" s="55">
        <f t="shared" si="610"/>
        <v>7090.71</v>
      </c>
      <c r="J331" s="56">
        <f t="shared" si="611"/>
        <v>5318.0325000000003</v>
      </c>
      <c r="K331" s="108">
        <f t="shared" si="612"/>
        <v>133.48475150602411</v>
      </c>
      <c r="L331" s="194" t="s">
        <v>2010</v>
      </c>
      <c r="M331" s="304"/>
    </row>
    <row r="332" spans="1:13" ht="15.75" customHeight="1" x14ac:dyDescent="0.25">
      <c r="A332" s="49" t="s">
        <v>367</v>
      </c>
      <c r="B332" s="50" t="s">
        <v>1418</v>
      </c>
      <c r="C332" s="47">
        <v>22</v>
      </c>
      <c r="D332" s="52">
        <v>2936.67</v>
      </c>
      <c r="E332" s="53">
        <f t="shared" si="606"/>
        <v>1468.335</v>
      </c>
      <c r="F332" s="41">
        <f t="shared" si="607"/>
        <v>4405.0050000000001</v>
      </c>
      <c r="G332" s="53">
        <f t="shared" si="608"/>
        <v>3303.7537499999999</v>
      </c>
      <c r="H332" s="54">
        <f t="shared" si="609"/>
        <v>1468.335</v>
      </c>
      <c r="I332" s="55">
        <f t="shared" si="610"/>
        <v>5873.34</v>
      </c>
      <c r="J332" s="56">
        <f t="shared" si="611"/>
        <v>4405.0050000000001</v>
      </c>
      <c r="K332" s="108">
        <f t="shared" si="612"/>
        <v>266.97000000000003</v>
      </c>
      <c r="L332" s="194" t="s">
        <v>1978</v>
      </c>
      <c r="M332" s="304"/>
    </row>
    <row r="333" spans="1:13" ht="15.75" customHeight="1" x14ac:dyDescent="0.25">
      <c r="A333" s="49" t="s">
        <v>368</v>
      </c>
      <c r="B333" s="50" t="s">
        <v>1765</v>
      </c>
      <c r="C333" s="47">
        <v>26.68</v>
      </c>
      <c r="D333" s="52">
        <v>4115.95</v>
      </c>
      <c r="E333" s="53">
        <f t="shared" si="606"/>
        <v>2057.9749999999999</v>
      </c>
      <c r="F333" s="41">
        <f t="shared" si="607"/>
        <v>6173.9249999999993</v>
      </c>
      <c r="G333" s="53">
        <f t="shared" si="608"/>
        <v>4630.4437499999995</v>
      </c>
      <c r="H333" s="54">
        <f t="shared" si="609"/>
        <v>2057.9749999999999</v>
      </c>
      <c r="I333" s="55">
        <f t="shared" si="610"/>
        <v>8231.9</v>
      </c>
      <c r="J333" s="56">
        <f t="shared" si="611"/>
        <v>6173.9249999999993</v>
      </c>
      <c r="K333" s="108">
        <f t="shared" si="612"/>
        <v>308.54197901049474</v>
      </c>
      <c r="L333" s="194" t="s">
        <v>2010</v>
      </c>
      <c r="M333" s="304"/>
    </row>
    <row r="334" spans="1:13" ht="15.75" customHeight="1" x14ac:dyDescent="0.25">
      <c r="A334" s="49" t="s">
        <v>369</v>
      </c>
      <c r="B334" s="50" t="s">
        <v>1809</v>
      </c>
      <c r="C334" s="47">
        <v>30.98</v>
      </c>
      <c r="D334" s="47">
        <v>5019.04</v>
      </c>
      <c r="E334" s="53">
        <f t="shared" si="606"/>
        <v>2509.52</v>
      </c>
      <c r="F334" s="41">
        <f t="shared" si="607"/>
        <v>7528.5599999999995</v>
      </c>
      <c r="G334" s="53">
        <f t="shared" si="608"/>
        <v>5646.42</v>
      </c>
      <c r="H334" s="54">
        <f t="shared" si="609"/>
        <v>2509.52</v>
      </c>
      <c r="I334" s="55">
        <f t="shared" si="610"/>
        <v>10038.08</v>
      </c>
      <c r="J334" s="56">
        <f t="shared" si="611"/>
        <v>7528.5599999999995</v>
      </c>
      <c r="K334" s="108">
        <f t="shared" si="612"/>
        <v>324.01807617817946</v>
      </c>
      <c r="L334" s="194" t="s">
        <v>1988</v>
      </c>
      <c r="M334" s="304"/>
    </row>
    <row r="335" spans="1:13" ht="15.75" customHeight="1" x14ac:dyDescent="0.25">
      <c r="A335" s="49" t="s">
        <v>370</v>
      </c>
      <c r="B335" s="50" t="s">
        <v>1774</v>
      </c>
      <c r="C335" s="47"/>
      <c r="D335" s="47">
        <v>3545.355</v>
      </c>
      <c r="E335" s="53">
        <f t="shared" si="606"/>
        <v>1772.6775</v>
      </c>
      <c r="F335" s="41">
        <f t="shared" si="607"/>
        <v>5318.0325000000003</v>
      </c>
      <c r="G335" s="53">
        <f t="shared" si="608"/>
        <v>3988.524375</v>
      </c>
      <c r="H335" s="54">
        <f t="shared" si="609"/>
        <v>1772.6775</v>
      </c>
      <c r="I335" s="55">
        <f t="shared" si="610"/>
        <v>7090.71</v>
      </c>
      <c r="J335" s="56">
        <f t="shared" si="611"/>
        <v>5318.0325000000003</v>
      </c>
      <c r="K335" s="108"/>
      <c r="L335" s="194" t="s">
        <v>2010</v>
      </c>
      <c r="M335" s="304"/>
    </row>
    <row r="336" spans="1:13" ht="15.75" customHeight="1" x14ac:dyDescent="0.25">
      <c r="A336" s="49" t="s">
        <v>371</v>
      </c>
      <c r="B336" s="50" t="s">
        <v>1418</v>
      </c>
      <c r="C336" s="47">
        <v>22</v>
      </c>
      <c r="D336" s="52">
        <v>2936.67</v>
      </c>
      <c r="E336" s="53">
        <f t="shared" si="606"/>
        <v>1468.335</v>
      </c>
      <c r="F336" s="41">
        <f t="shared" si="607"/>
        <v>4405.0050000000001</v>
      </c>
      <c r="G336" s="53">
        <f t="shared" si="608"/>
        <v>3303.7537499999999</v>
      </c>
      <c r="H336" s="54">
        <f t="shared" si="609"/>
        <v>1468.335</v>
      </c>
      <c r="I336" s="55">
        <f t="shared" si="610"/>
        <v>5873.34</v>
      </c>
      <c r="J336" s="56">
        <f t="shared" si="611"/>
        <v>4405.0050000000001</v>
      </c>
      <c r="K336" s="108">
        <f t="shared" si="612"/>
        <v>266.97000000000003</v>
      </c>
      <c r="L336" s="194" t="s">
        <v>1978</v>
      </c>
      <c r="M336" s="304"/>
    </row>
    <row r="337" spans="1:13" ht="15.75" customHeight="1" x14ac:dyDescent="0.25">
      <c r="A337" s="49" t="s">
        <v>372</v>
      </c>
      <c r="B337" s="50" t="s">
        <v>1765</v>
      </c>
      <c r="C337" s="47">
        <v>26.68</v>
      </c>
      <c r="D337" s="47">
        <v>4115.95</v>
      </c>
      <c r="E337" s="53">
        <f t="shared" si="606"/>
        <v>2057.9749999999999</v>
      </c>
      <c r="F337" s="41">
        <f t="shared" si="607"/>
        <v>6173.9249999999993</v>
      </c>
      <c r="G337" s="53">
        <f t="shared" si="608"/>
        <v>4630.4437499999995</v>
      </c>
      <c r="H337" s="54">
        <f t="shared" si="609"/>
        <v>2057.9749999999999</v>
      </c>
      <c r="I337" s="55">
        <f t="shared" si="610"/>
        <v>8231.9</v>
      </c>
      <c r="J337" s="56">
        <f t="shared" si="611"/>
        <v>6173.9249999999993</v>
      </c>
      <c r="K337" s="108">
        <f t="shared" si="612"/>
        <v>308.54197901049474</v>
      </c>
      <c r="L337" s="194" t="s">
        <v>2010</v>
      </c>
      <c r="M337" s="304"/>
    </row>
    <row r="338" spans="1:13" ht="15.75" customHeight="1" x14ac:dyDescent="0.25">
      <c r="A338" s="65"/>
      <c r="B338" s="65"/>
      <c r="C338" s="57"/>
      <c r="D338" s="57"/>
      <c r="E338" s="57"/>
      <c r="F338" s="47"/>
      <c r="G338" s="57"/>
      <c r="H338" s="58"/>
      <c r="I338" s="199"/>
      <c r="J338" s="59"/>
      <c r="K338" s="108"/>
      <c r="L338" s="194"/>
      <c r="M338" s="304"/>
    </row>
    <row r="339" spans="1:13" ht="15.75" customHeight="1" x14ac:dyDescent="0.25">
      <c r="A339" s="49" t="s">
        <v>373</v>
      </c>
      <c r="B339" s="50" t="s">
        <v>374</v>
      </c>
      <c r="C339" s="47">
        <v>25.74</v>
      </c>
      <c r="D339" s="52">
        <v>2780.69</v>
      </c>
      <c r="E339" s="53">
        <f t="shared" ref="E339:E341" si="613">D339*50%</f>
        <v>1390.345</v>
      </c>
      <c r="F339" s="41">
        <f t="shared" ref="F339:F341" si="614">D339+E339</f>
        <v>4171.0349999999999</v>
      </c>
      <c r="G339" s="53">
        <f t="shared" ref="G339:G341" si="615">F339-(F339*25%)</f>
        <v>3128.2762499999999</v>
      </c>
      <c r="H339" s="54">
        <f t="shared" ref="H339:H341" si="616">D339*50%</f>
        <v>1390.345</v>
      </c>
      <c r="I339" s="55">
        <f t="shared" ref="I339:I341" si="617">D339+(H339*2)</f>
        <v>5561.38</v>
      </c>
      <c r="J339" s="56">
        <f t="shared" ref="J339:J341" si="618">I339-(I339*25%)</f>
        <v>4171.0349999999999</v>
      </c>
      <c r="K339" s="108">
        <f t="shared" ref="K339:K341" si="619">I339/C339</f>
        <v>216.05982905982907</v>
      </c>
      <c r="L339" s="194" t="s">
        <v>2005</v>
      </c>
      <c r="M339" s="304" t="s">
        <v>2306</v>
      </c>
    </row>
    <row r="340" spans="1:13" ht="15.75" customHeight="1" x14ac:dyDescent="0.25">
      <c r="A340" s="49" t="s">
        <v>375</v>
      </c>
      <c r="B340" s="50" t="s">
        <v>376</v>
      </c>
      <c r="C340" s="47">
        <v>43.03</v>
      </c>
      <c r="D340" s="52">
        <v>4648.53</v>
      </c>
      <c r="E340" s="53">
        <f t="shared" si="613"/>
        <v>2324.2649999999999</v>
      </c>
      <c r="F340" s="41">
        <f t="shared" si="614"/>
        <v>6972.7950000000001</v>
      </c>
      <c r="G340" s="53">
        <f t="shared" si="615"/>
        <v>5229.5962500000005</v>
      </c>
      <c r="H340" s="54">
        <f t="shared" si="616"/>
        <v>2324.2649999999999</v>
      </c>
      <c r="I340" s="55">
        <f t="shared" si="617"/>
        <v>9297.06</v>
      </c>
      <c r="J340" s="56">
        <f t="shared" si="618"/>
        <v>6972.7950000000001</v>
      </c>
      <c r="K340" s="108">
        <f t="shared" si="619"/>
        <v>216.05995816871948</v>
      </c>
      <c r="L340" s="194" t="s">
        <v>2005</v>
      </c>
      <c r="M340" s="304" t="s">
        <v>2306</v>
      </c>
    </row>
    <row r="341" spans="1:13" ht="15.75" customHeight="1" x14ac:dyDescent="0.25">
      <c r="A341" s="49" t="s">
        <v>377</v>
      </c>
      <c r="B341" s="50" t="s">
        <v>378</v>
      </c>
      <c r="C341" s="47">
        <v>14.52</v>
      </c>
      <c r="D341" s="52">
        <v>1660.07</v>
      </c>
      <c r="E341" s="53">
        <f t="shared" si="613"/>
        <v>830.03499999999997</v>
      </c>
      <c r="F341" s="41">
        <f t="shared" si="614"/>
        <v>2490.105</v>
      </c>
      <c r="G341" s="53">
        <f t="shared" si="615"/>
        <v>1867.5787500000001</v>
      </c>
      <c r="H341" s="54">
        <f t="shared" si="616"/>
        <v>830.03499999999997</v>
      </c>
      <c r="I341" s="55">
        <f t="shared" si="617"/>
        <v>3320.14</v>
      </c>
      <c r="J341" s="56">
        <f t="shared" si="618"/>
        <v>2490.105</v>
      </c>
      <c r="K341" s="108">
        <f t="shared" si="619"/>
        <v>228.65977961432506</v>
      </c>
      <c r="L341" s="194" t="s">
        <v>2005</v>
      </c>
      <c r="M341" s="304" t="s">
        <v>2306</v>
      </c>
    </row>
    <row r="342" spans="1:13" ht="15.75" customHeight="1" x14ac:dyDescent="0.25">
      <c r="A342" s="49"/>
      <c r="B342" s="50"/>
      <c r="C342" s="47"/>
      <c r="D342" s="52"/>
      <c r="E342" s="57"/>
      <c r="F342" s="47"/>
      <c r="G342" s="57"/>
      <c r="H342" s="58"/>
      <c r="I342" s="199"/>
      <c r="J342" s="59"/>
      <c r="K342" s="108"/>
      <c r="L342" s="194"/>
      <c r="M342" s="304"/>
    </row>
    <row r="343" spans="1:13" ht="15.75" customHeight="1" x14ac:dyDescent="0.25">
      <c r="A343" s="49" t="s">
        <v>379</v>
      </c>
      <c r="B343" s="50" t="s">
        <v>2297</v>
      </c>
      <c r="C343" s="47">
        <v>15.75</v>
      </c>
      <c r="D343" s="52">
        <v>1800.6949999999999</v>
      </c>
      <c r="E343" s="53">
        <f t="shared" ref="E343:E348" si="620">D343*50%</f>
        <v>900.34749999999997</v>
      </c>
      <c r="F343" s="41">
        <f t="shared" ref="F343:F348" si="621">D343+E343</f>
        <v>2701.0425</v>
      </c>
      <c r="G343" s="53">
        <f t="shared" ref="G343:G348" si="622">F343-(F343*25%)</f>
        <v>2025.7818750000001</v>
      </c>
      <c r="H343" s="54">
        <f t="shared" ref="H343:H348" si="623">D343*50%</f>
        <v>900.34749999999997</v>
      </c>
      <c r="I343" s="55">
        <f t="shared" ref="I343:I348" si="624">D343+(H343*2)</f>
        <v>3601.39</v>
      </c>
      <c r="J343" s="56">
        <f t="shared" ref="J343:J348" si="625">I343-(I343*25%)</f>
        <v>2701.0425</v>
      </c>
      <c r="K343" s="108">
        <f t="shared" ref="K343:K348" si="626">I343/C343</f>
        <v>228.65968253968254</v>
      </c>
      <c r="L343" s="194" t="s">
        <v>2005</v>
      </c>
      <c r="M343" s="304" t="s">
        <v>2306</v>
      </c>
    </row>
    <row r="344" spans="1:13" ht="15.75" customHeight="1" x14ac:dyDescent="0.25">
      <c r="A344" s="49" t="s">
        <v>380</v>
      </c>
      <c r="B344" s="50" t="s">
        <v>1567</v>
      </c>
      <c r="C344" s="47">
        <v>18.87</v>
      </c>
      <c r="D344" s="52">
        <v>2038.5350000000001</v>
      </c>
      <c r="E344" s="53">
        <f t="shared" si="620"/>
        <v>1019.2675</v>
      </c>
      <c r="F344" s="41">
        <f t="shared" si="621"/>
        <v>3057.8025000000002</v>
      </c>
      <c r="G344" s="53">
        <f t="shared" si="622"/>
        <v>2293.3518750000003</v>
      </c>
      <c r="H344" s="54">
        <f t="shared" si="623"/>
        <v>1019.2675</v>
      </c>
      <c r="I344" s="55">
        <f t="shared" si="624"/>
        <v>4077.07</v>
      </c>
      <c r="J344" s="56">
        <f t="shared" si="625"/>
        <v>3057.8025000000002</v>
      </c>
      <c r="K344" s="108">
        <f t="shared" si="626"/>
        <v>216.06094329623741</v>
      </c>
      <c r="L344" s="194" t="s">
        <v>1978</v>
      </c>
      <c r="M344" s="304" t="s">
        <v>2306</v>
      </c>
    </row>
    <row r="345" spans="1:13" ht="15.75" customHeight="1" x14ac:dyDescent="0.25">
      <c r="A345" s="49" t="s">
        <v>381</v>
      </c>
      <c r="B345" s="50" t="s">
        <v>444</v>
      </c>
      <c r="C345" s="173" t="s">
        <v>1883</v>
      </c>
      <c r="D345" s="52">
        <v>3187.52</v>
      </c>
      <c r="E345" s="53">
        <f t="shared" si="620"/>
        <v>1593.76</v>
      </c>
      <c r="F345" s="41">
        <f t="shared" si="621"/>
        <v>4781.28</v>
      </c>
      <c r="G345" s="53">
        <f t="shared" si="622"/>
        <v>3585.96</v>
      </c>
      <c r="H345" s="54">
        <f t="shared" si="623"/>
        <v>1593.76</v>
      </c>
      <c r="I345" s="55">
        <f t="shared" si="624"/>
        <v>6375.04</v>
      </c>
      <c r="J345" s="56">
        <f t="shared" si="625"/>
        <v>4781.28</v>
      </c>
      <c r="K345" s="108"/>
      <c r="L345" s="194" t="s">
        <v>2005</v>
      </c>
      <c r="M345" s="304" t="s">
        <v>2306</v>
      </c>
    </row>
    <row r="346" spans="1:13" ht="15.75" customHeight="1" x14ac:dyDescent="0.25">
      <c r="A346" s="49" t="s">
        <v>383</v>
      </c>
      <c r="B346" s="50" t="s">
        <v>2297</v>
      </c>
      <c r="C346" s="47">
        <v>15.75</v>
      </c>
      <c r="D346" s="47">
        <v>1800.6949999999999</v>
      </c>
      <c r="E346" s="53">
        <f t="shared" si="620"/>
        <v>900.34749999999997</v>
      </c>
      <c r="F346" s="41">
        <f t="shared" si="621"/>
        <v>2701.0425</v>
      </c>
      <c r="G346" s="53">
        <f t="shared" si="622"/>
        <v>2025.7818750000001</v>
      </c>
      <c r="H346" s="54">
        <f t="shared" si="623"/>
        <v>900.34749999999997</v>
      </c>
      <c r="I346" s="55">
        <f t="shared" si="624"/>
        <v>3601.39</v>
      </c>
      <c r="J346" s="56">
        <f t="shared" si="625"/>
        <v>2701.0425</v>
      </c>
      <c r="K346" s="108">
        <f t="shared" si="626"/>
        <v>228.65968253968254</v>
      </c>
      <c r="L346" s="194" t="s">
        <v>2005</v>
      </c>
      <c r="M346" s="304" t="s">
        <v>2306</v>
      </c>
    </row>
    <row r="347" spans="1:13" ht="15.75" customHeight="1" x14ac:dyDescent="0.25">
      <c r="A347" s="49" t="s">
        <v>384</v>
      </c>
      <c r="B347" s="50" t="s">
        <v>1598</v>
      </c>
      <c r="C347" s="47">
        <v>20.100000000000001</v>
      </c>
      <c r="D347" s="52">
        <v>2171.4</v>
      </c>
      <c r="E347" s="53">
        <f t="shared" si="620"/>
        <v>1085.7</v>
      </c>
      <c r="F347" s="41">
        <f t="shared" si="621"/>
        <v>3257.1000000000004</v>
      </c>
      <c r="G347" s="53">
        <f t="shared" si="622"/>
        <v>2442.8250000000003</v>
      </c>
      <c r="H347" s="54">
        <f t="shared" si="623"/>
        <v>1085.7</v>
      </c>
      <c r="I347" s="55">
        <f t="shared" si="624"/>
        <v>4342.8</v>
      </c>
      <c r="J347" s="56">
        <f t="shared" si="625"/>
        <v>3257.1000000000004</v>
      </c>
      <c r="K347" s="108">
        <f t="shared" si="626"/>
        <v>216.0597014925373</v>
      </c>
      <c r="L347" s="194" t="s">
        <v>2009</v>
      </c>
      <c r="M347" s="304" t="s">
        <v>2306</v>
      </c>
    </row>
    <row r="348" spans="1:13" ht="15.75" customHeight="1" x14ac:dyDescent="0.25">
      <c r="A348" s="49" t="s">
        <v>385</v>
      </c>
      <c r="B348" s="50" t="s">
        <v>386</v>
      </c>
      <c r="C348" s="47">
        <v>17.399999999999999</v>
      </c>
      <c r="D348" s="52">
        <v>1989.34</v>
      </c>
      <c r="E348" s="53">
        <f t="shared" si="620"/>
        <v>994.67</v>
      </c>
      <c r="F348" s="41">
        <f t="shared" si="621"/>
        <v>2984.0099999999998</v>
      </c>
      <c r="G348" s="53">
        <f t="shared" si="622"/>
        <v>2238.0074999999997</v>
      </c>
      <c r="H348" s="54">
        <f t="shared" si="623"/>
        <v>994.67</v>
      </c>
      <c r="I348" s="55">
        <f t="shared" si="624"/>
        <v>3978.68</v>
      </c>
      <c r="J348" s="56">
        <f t="shared" si="625"/>
        <v>2984.0099999999998</v>
      </c>
      <c r="K348" s="108">
        <f t="shared" si="626"/>
        <v>228.65977011494255</v>
      </c>
      <c r="L348" s="194" t="s">
        <v>2005</v>
      </c>
      <c r="M348" s="304" t="s">
        <v>2306</v>
      </c>
    </row>
    <row r="349" spans="1:13" ht="15.75" customHeight="1" x14ac:dyDescent="0.25">
      <c r="A349" s="49"/>
      <c r="B349" s="50"/>
      <c r="C349" s="47"/>
      <c r="D349" s="52"/>
      <c r="E349" s="57"/>
      <c r="F349" s="47"/>
      <c r="G349" s="57"/>
      <c r="H349" s="58"/>
      <c r="I349" s="199"/>
      <c r="J349" s="59"/>
      <c r="K349" s="108"/>
      <c r="L349" s="194"/>
      <c r="M349" s="304"/>
    </row>
    <row r="350" spans="1:13" ht="15.75" customHeight="1" x14ac:dyDescent="0.25">
      <c r="A350" s="49" t="s">
        <v>387</v>
      </c>
      <c r="B350" s="50" t="s">
        <v>1560</v>
      </c>
      <c r="C350" s="47">
        <v>14.79</v>
      </c>
      <c r="D350" s="47">
        <v>1629.52</v>
      </c>
      <c r="E350" s="53">
        <f t="shared" ref="E350:E359" si="627">D350*50%</f>
        <v>814.76</v>
      </c>
      <c r="F350" s="41">
        <f t="shared" ref="F350:F359" si="628">D350+E350</f>
        <v>2444.2799999999997</v>
      </c>
      <c r="G350" s="53">
        <f t="shared" ref="G350:G359" si="629">F350-(F350*25%)</f>
        <v>1833.2099999999998</v>
      </c>
      <c r="H350" s="54">
        <f t="shared" ref="H350:H359" si="630">D350*50%</f>
        <v>814.76</v>
      </c>
      <c r="I350" s="55">
        <f t="shared" ref="I350:I359" si="631">D350+(H350*2)</f>
        <v>3259.04</v>
      </c>
      <c r="J350" s="56">
        <f t="shared" ref="J350:J359" si="632">I350-(I350*25%)</f>
        <v>2444.2799999999997</v>
      </c>
      <c r="K350" s="108">
        <f t="shared" ref="K350:K359" si="633">I350/C350</f>
        <v>220.35429344151456</v>
      </c>
      <c r="L350" s="194" t="s">
        <v>2005</v>
      </c>
      <c r="M350" s="304" t="s">
        <v>2306</v>
      </c>
    </row>
    <row r="351" spans="1:13" ht="15.75" customHeight="1" x14ac:dyDescent="0.25">
      <c r="A351" s="49" t="s">
        <v>388</v>
      </c>
      <c r="B351" s="50" t="s">
        <v>1560</v>
      </c>
      <c r="C351" s="47">
        <v>14.8</v>
      </c>
      <c r="D351" s="47">
        <v>1629.52</v>
      </c>
      <c r="E351" s="53">
        <f t="shared" si="627"/>
        <v>814.76</v>
      </c>
      <c r="F351" s="41">
        <f t="shared" si="628"/>
        <v>2444.2799999999997</v>
      </c>
      <c r="G351" s="53">
        <f t="shared" si="629"/>
        <v>1833.2099999999998</v>
      </c>
      <c r="H351" s="54">
        <f t="shared" si="630"/>
        <v>814.76</v>
      </c>
      <c r="I351" s="55">
        <f t="shared" si="631"/>
        <v>3259.04</v>
      </c>
      <c r="J351" s="56">
        <f t="shared" si="632"/>
        <v>2444.2799999999997</v>
      </c>
      <c r="K351" s="108">
        <f t="shared" si="633"/>
        <v>220.2054054054054</v>
      </c>
      <c r="L351" s="194" t="s">
        <v>2005</v>
      </c>
      <c r="M351" s="304" t="s">
        <v>2306</v>
      </c>
    </row>
    <row r="352" spans="1:13" x14ac:dyDescent="0.25">
      <c r="A352" s="49" t="s">
        <v>389</v>
      </c>
      <c r="B352" s="50" t="s">
        <v>1718</v>
      </c>
      <c r="C352" s="47">
        <v>16.12</v>
      </c>
      <c r="D352" s="52">
        <v>2562.11</v>
      </c>
      <c r="E352" s="53">
        <f t="shared" si="627"/>
        <v>1281.0550000000001</v>
      </c>
      <c r="F352" s="41">
        <f t="shared" si="628"/>
        <v>3843.165</v>
      </c>
      <c r="G352" s="53">
        <f t="shared" si="629"/>
        <v>2882.3737499999997</v>
      </c>
      <c r="H352" s="54">
        <f t="shared" si="630"/>
        <v>1281.0550000000001</v>
      </c>
      <c r="I352" s="55">
        <f t="shared" si="631"/>
        <v>5124.22</v>
      </c>
      <c r="J352" s="56">
        <f t="shared" si="632"/>
        <v>3843.165</v>
      </c>
      <c r="K352" s="108">
        <f t="shared" si="633"/>
        <v>317.87965260545906</v>
      </c>
      <c r="L352" s="194" t="s">
        <v>2011</v>
      </c>
      <c r="M352" s="304" t="s">
        <v>2305</v>
      </c>
    </row>
    <row r="353" spans="1:13" ht="15.75" customHeight="1" x14ac:dyDescent="0.25">
      <c r="A353" s="49" t="s">
        <v>390</v>
      </c>
      <c r="B353" s="50" t="s">
        <v>2033</v>
      </c>
      <c r="C353" s="47">
        <v>15.98</v>
      </c>
      <c r="D353" s="52">
        <v>2429.12</v>
      </c>
      <c r="E353" s="53">
        <f t="shared" si="627"/>
        <v>1214.56</v>
      </c>
      <c r="F353" s="41">
        <f t="shared" si="628"/>
        <v>3643.68</v>
      </c>
      <c r="G353" s="53">
        <f t="shared" si="629"/>
        <v>2732.7599999999998</v>
      </c>
      <c r="H353" s="54">
        <f t="shared" si="630"/>
        <v>1214.56</v>
      </c>
      <c r="I353" s="55">
        <f t="shared" si="631"/>
        <v>4858.24</v>
      </c>
      <c r="J353" s="56">
        <f t="shared" si="632"/>
        <v>3643.68</v>
      </c>
      <c r="K353" s="108">
        <f t="shared" si="633"/>
        <v>304.02002503128909</v>
      </c>
      <c r="L353" s="194" t="s">
        <v>2012</v>
      </c>
      <c r="M353" s="304" t="s">
        <v>2305</v>
      </c>
    </row>
    <row r="354" spans="1:13" ht="15.75" customHeight="1" x14ac:dyDescent="0.25">
      <c r="A354" s="49" t="s">
        <v>391</v>
      </c>
      <c r="B354" s="50" t="s">
        <v>1853</v>
      </c>
      <c r="C354" s="47">
        <v>19.649999999999999</v>
      </c>
      <c r="D354" s="52">
        <v>2554.1350000000002</v>
      </c>
      <c r="E354" s="53">
        <f t="shared" si="627"/>
        <v>1277.0675000000001</v>
      </c>
      <c r="F354" s="41">
        <f t="shared" si="628"/>
        <v>3831.2025000000003</v>
      </c>
      <c r="G354" s="53">
        <f t="shared" si="629"/>
        <v>2873.4018750000005</v>
      </c>
      <c r="H354" s="54">
        <f t="shared" si="630"/>
        <v>1277.0675000000001</v>
      </c>
      <c r="I354" s="55">
        <f t="shared" si="631"/>
        <v>5108.2700000000004</v>
      </c>
      <c r="J354" s="56">
        <f t="shared" si="632"/>
        <v>3831.2025000000003</v>
      </c>
      <c r="K354" s="108">
        <f t="shared" si="633"/>
        <v>259.96284987277357</v>
      </c>
      <c r="L354" s="194" t="s">
        <v>1991</v>
      </c>
      <c r="M354" s="304" t="s">
        <v>2305</v>
      </c>
    </row>
    <row r="355" spans="1:13" ht="15.75" customHeight="1" x14ac:dyDescent="0.25">
      <c r="A355" s="49" t="s">
        <v>392</v>
      </c>
      <c r="B355" s="50" t="s">
        <v>393</v>
      </c>
      <c r="C355" s="47">
        <v>19.48</v>
      </c>
      <c r="D355" s="52">
        <v>2532.7849999999999</v>
      </c>
      <c r="E355" s="53">
        <f t="shared" si="627"/>
        <v>1266.3924999999999</v>
      </c>
      <c r="F355" s="41">
        <f t="shared" si="628"/>
        <v>3799.1774999999998</v>
      </c>
      <c r="G355" s="53">
        <f t="shared" si="629"/>
        <v>2849.3831249999998</v>
      </c>
      <c r="H355" s="54">
        <f t="shared" si="630"/>
        <v>1266.3924999999999</v>
      </c>
      <c r="I355" s="55">
        <f t="shared" si="631"/>
        <v>5065.57</v>
      </c>
      <c r="J355" s="56">
        <f t="shared" si="632"/>
        <v>3799.1774999999998</v>
      </c>
      <c r="K355" s="108">
        <f t="shared" si="633"/>
        <v>260.03952772073922</v>
      </c>
      <c r="L355" s="194" t="s">
        <v>2004</v>
      </c>
      <c r="M355" s="304" t="s">
        <v>2305</v>
      </c>
    </row>
    <row r="356" spans="1:13" ht="15.75" customHeight="1" x14ac:dyDescent="0.25">
      <c r="A356" s="49" t="s">
        <v>394</v>
      </c>
      <c r="B356" s="50" t="s">
        <v>1853</v>
      </c>
      <c r="C356" s="47">
        <v>19.64</v>
      </c>
      <c r="D356" s="47">
        <v>2554.1350000000002</v>
      </c>
      <c r="E356" s="53">
        <f t="shared" si="627"/>
        <v>1277.0675000000001</v>
      </c>
      <c r="F356" s="41">
        <f t="shared" si="628"/>
        <v>3831.2025000000003</v>
      </c>
      <c r="G356" s="53">
        <f t="shared" si="629"/>
        <v>2873.4018750000005</v>
      </c>
      <c r="H356" s="54">
        <f t="shared" si="630"/>
        <v>1277.0675000000001</v>
      </c>
      <c r="I356" s="55">
        <f t="shared" si="631"/>
        <v>5108.2700000000004</v>
      </c>
      <c r="J356" s="56">
        <f t="shared" si="632"/>
        <v>3831.2025000000003</v>
      </c>
      <c r="K356" s="108">
        <f t="shared" si="633"/>
        <v>260.09521384928718</v>
      </c>
      <c r="L356" s="194" t="s">
        <v>1991</v>
      </c>
      <c r="M356" s="304" t="s">
        <v>2305</v>
      </c>
    </row>
    <row r="357" spans="1:13" ht="15.75" customHeight="1" x14ac:dyDescent="0.25">
      <c r="A357" s="49" t="s">
        <v>395</v>
      </c>
      <c r="B357" s="50" t="s">
        <v>396</v>
      </c>
      <c r="C357" s="47">
        <v>19.48</v>
      </c>
      <c r="D357" s="47">
        <v>2532.7849999999999</v>
      </c>
      <c r="E357" s="53">
        <f t="shared" si="627"/>
        <v>1266.3924999999999</v>
      </c>
      <c r="F357" s="41">
        <f t="shared" si="628"/>
        <v>3799.1774999999998</v>
      </c>
      <c r="G357" s="53">
        <f t="shared" si="629"/>
        <v>2849.3831249999998</v>
      </c>
      <c r="H357" s="54">
        <f t="shared" si="630"/>
        <v>1266.3924999999999</v>
      </c>
      <c r="I357" s="55">
        <f t="shared" si="631"/>
        <v>5065.57</v>
      </c>
      <c r="J357" s="56">
        <f t="shared" si="632"/>
        <v>3799.1774999999998</v>
      </c>
      <c r="K357" s="108">
        <f t="shared" si="633"/>
        <v>260.03952772073922</v>
      </c>
      <c r="L357" s="194" t="s">
        <v>2004</v>
      </c>
      <c r="M357" s="304"/>
    </row>
    <row r="358" spans="1:13" ht="15.75" customHeight="1" x14ac:dyDescent="0.25">
      <c r="A358" s="49" t="s">
        <v>397</v>
      </c>
      <c r="B358" s="50" t="s">
        <v>1666</v>
      </c>
      <c r="C358" s="47">
        <v>20</v>
      </c>
      <c r="D358" s="52">
        <v>2286.6</v>
      </c>
      <c r="E358" s="53">
        <f t="shared" si="627"/>
        <v>1143.3</v>
      </c>
      <c r="F358" s="41">
        <f t="shared" si="628"/>
        <v>3429.8999999999996</v>
      </c>
      <c r="G358" s="53">
        <f t="shared" si="629"/>
        <v>2572.4249999999997</v>
      </c>
      <c r="H358" s="54">
        <f t="shared" si="630"/>
        <v>1143.3</v>
      </c>
      <c r="I358" s="55">
        <f t="shared" si="631"/>
        <v>4573.2</v>
      </c>
      <c r="J358" s="56">
        <f t="shared" si="632"/>
        <v>3429.8999999999996</v>
      </c>
      <c r="K358" s="108">
        <f t="shared" si="633"/>
        <v>228.66</v>
      </c>
      <c r="L358" s="194" t="s">
        <v>2005</v>
      </c>
      <c r="M358" s="304" t="s">
        <v>2306</v>
      </c>
    </row>
    <row r="359" spans="1:13" ht="15.75" customHeight="1" x14ac:dyDescent="0.25">
      <c r="A359" s="49" t="s">
        <v>398</v>
      </c>
      <c r="B359" s="50" t="s">
        <v>2210</v>
      </c>
      <c r="C359" s="47">
        <v>20.8</v>
      </c>
      <c r="D359" s="52">
        <v>3305.95</v>
      </c>
      <c r="E359" s="53">
        <f t="shared" si="627"/>
        <v>1652.9749999999999</v>
      </c>
      <c r="F359" s="41">
        <f t="shared" si="628"/>
        <v>4958.9249999999993</v>
      </c>
      <c r="G359" s="53">
        <f t="shared" si="629"/>
        <v>3719.1937499999995</v>
      </c>
      <c r="H359" s="54">
        <f t="shared" si="630"/>
        <v>1652.9749999999999</v>
      </c>
      <c r="I359" s="55">
        <f t="shared" si="631"/>
        <v>6611.9</v>
      </c>
      <c r="J359" s="56">
        <f t="shared" si="632"/>
        <v>4958.9249999999993</v>
      </c>
      <c r="K359" s="108">
        <f t="shared" si="633"/>
        <v>317.87980769230768</v>
      </c>
      <c r="L359" s="194" t="s">
        <v>1991</v>
      </c>
      <c r="M359" s="304" t="s">
        <v>2305</v>
      </c>
    </row>
    <row r="360" spans="1:13" ht="15.75" customHeight="1" x14ac:dyDescent="0.25">
      <c r="A360" s="65"/>
      <c r="B360" s="65"/>
      <c r="C360" s="57"/>
      <c r="D360" s="57"/>
      <c r="E360" s="57"/>
      <c r="F360" s="47"/>
      <c r="G360" s="57"/>
      <c r="H360" s="58"/>
      <c r="I360" s="199"/>
      <c r="J360" s="59"/>
      <c r="K360" s="108"/>
      <c r="L360" s="194"/>
      <c r="M360" s="304"/>
    </row>
    <row r="361" spans="1:13" ht="15.75" customHeight="1" x14ac:dyDescent="0.25">
      <c r="A361" s="49" t="s">
        <v>399</v>
      </c>
      <c r="B361" s="50" t="s">
        <v>400</v>
      </c>
      <c r="C361" s="47">
        <v>10.029999999999999</v>
      </c>
      <c r="D361" s="52">
        <v>1147.1099999999999</v>
      </c>
      <c r="E361" s="53">
        <f t="shared" ref="E361:E363" si="634">D361*50%</f>
        <v>573.55499999999995</v>
      </c>
      <c r="F361" s="41">
        <f t="shared" ref="F361:F363" si="635">D361+E361</f>
        <v>1720.665</v>
      </c>
      <c r="G361" s="53">
        <f t="shared" ref="G361:G363" si="636">F361-(F361*25%)</f>
        <v>1290.49875</v>
      </c>
      <c r="H361" s="54">
        <f t="shared" ref="H361:H363" si="637">D361*50%</f>
        <v>573.55499999999995</v>
      </c>
      <c r="I361" s="55">
        <f t="shared" ref="I361:I363" si="638">D361+(H361*2)</f>
        <v>2294.2199999999998</v>
      </c>
      <c r="J361" s="56">
        <f t="shared" ref="J361:J363" si="639">I361-(I361*25%)</f>
        <v>1720.665</v>
      </c>
      <c r="K361" s="108">
        <f t="shared" ref="K361:K363" si="640">I361/C361</f>
        <v>228.7357926221336</v>
      </c>
      <c r="L361" s="194" t="s">
        <v>1978</v>
      </c>
      <c r="M361" s="304" t="s">
        <v>2306</v>
      </c>
    </row>
    <row r="362" spans="1:13" ht="15.75" customHeight="1" x14ac:dyDescent="0.25">
      <c r="A362" s="49" t="s">
        <v>401</v>
      </c>
      <c r="B362" s="50" t="s">
        <v>400</v>
      </c>
      <c r="C362" s="47">
        <v>10.029999999999999</v>
      </c>
      <c r="D362" s="52">
        <v>1147.1099999999999</v>
      </c>
      <c r="E362" s="53">
        <f t="shared" si="634"/>
        <v>573.55499999999995</v>
      </c>
      <c r="F362" s="41">
        <f t="shared" si="635"/>
        <v>1720.665</v>
      </c>
      <c r="G362" s="53">
        <f t="shared" si="636"/>
        <v>1290.49875</v>
      </c>
      <c r="H362" s="54">
        <f t="shared" si="637"/>
        <v>573.55499999999995</v>
      </c>
      <c r="I362" s="55">
        <f t="shared" si="638"/>
        <v>2294.2199999999998</v>
      </c>
      <c r="J362" s="56">
        <f t="shared" si="639"/>
        <v>1720.665</v>
      </c>
      <c r="K362" s="108">
        <f t="shared" si="640"/>
        <v>228.7357926221336</v>
      </c>
      <c r="L362" s="194" t="s">
        <v>1978</v>
      </c>
      <c r="M362" s="304" t="s">
        <v>2306</v>
      </c>
    </row>
    <row r="363" spans="1:13" ht="15.75" customHeight="1" x14ac:dyDescent="0.25">
      <c r="A363" s="49" t="s">
        <v>402</v>
      </c>
      <c r="B363" s="50" t="s">
        <v>400</v>
      </c>
      <c r="C363" s="47">
        <v>10.039999999999999</v>
      </c>
      <c r="D363" s="52">
        <v>1147.1099999999999</v>
      </c>
      <c r="E363" s="53">
        <f t="shared" si="634"/>
        <v>573.55499999999995</v>
      </c>
      <c r="F363" s="41">
        <f t="shared" si="635"/>
        <v>1720.665</v>
      </c>
      <c r="G363" s="53">
        <f t="shared" si="636"/>
        <v>1290.49875</v>
      </c>
      <c r="H363" s="54">
        <f t="shared" si="637"/>
        <v>573.55499999999995</v>
      </c>
      <c r="I363" s="55">
        <f t="shared" si="638"/>
        <v>2294.2199999999998</v>
      </c>
      <c r="J363" s="56">
        <f t="shared" si="639"/>
        <v>1720.665</v>
      </c>
      <c r="K363" s="108">
        <f t="shared" si="640"/>
        <v>228.50796812749005</v>
      </c>
      <c r="L363" s="194" t="s">
        <v>1978</v>
      </c>
      <c r="M363" s="304" t="s">
        <v>2306</v>
      </c>
    </row>
    <row r="364" spans="1:13" ht="15.75" customHeight="1" x14ac:dyDescent="0.25">
      <c r="A364" s="49"/>
      <c r="B364" s="50"/>
      <c r="C364" s="47"/>
      <c r="D364" s="52"/>
      <c r="E364" s="57"/>
      <c r="F364" s="47"/>
      <c r="G364" s="57"/>
      <c r="H364" s="58"/>
      <c r="I364" s="199"/>
      <c r="J364" s="59"/>
      <c r="K364" s="108"/>
      <c r="L364" s="194"/>
      <c r="M364" s="304"/>
    </row>
    <row r="365" spans="1:13" ht="15.75" customHeight="1" x14ac:dyDescent="0.25">
      <c r="A365" s="49" t="s">
        <v>406</v>
      </c>
      <c r="B365" s="50" t="s">
        <v>407</v>
      </c>
      <c r="C365" s="47">
        <v>31.81</v>
      </c>
      <c r="D365" s="52">
        <v>6175.27</v>
      </c>
      <c r="E365" s="53">
        <f t="shared" ref="E365:E374" si="641">D365*50%</f>
        <v>3087.6350000000002</v>
      </c>
      <c r="F365" s="41">
        <f t="shared" ref="F365:F374" si="642">D365+E365</f>
        <v>9262.9050000000007</v>
      </c>
      <c r="G365" s="53">
        <f t="shared" ref="G365:G374" si="643">F365-(F365*25%)</f>
        <v>6947.1787500000009</v>
      </c>
      <c r="H365" s="54">
        <f t="shared" ref="H365:H374" si="644">D365*50%</f>
        <v>3087.6350000000002</v>
      </c>
      <c r="I365" s="55">
        <f t="shared" ref="I365:I374" si="645">D365+(H365*2)</f>
        <v>12350.54</v>
      </c>
      <c r="J365" s="56">
        <f t="shared" ref="J365:J374" si="646">I365-(I365*25%)</f>
        <v>9262.9050000000007</v>
      </c>
      <c r="K365" s="108">
        <f t="shared" ref="K365:K374" si="647">I365/C365</f>
        <v>388.25966677145556</v>
      </c>
      <c r="L365" s="194" t="s">
        <v>1978</v>
      </c>
      <c r="M365" s="304" t="s">
        <v>2305</v>
      </c>
    </row>
    <row r="366" spans="1:13" ht="15.75" customHeight="1" x14ac:dyDescent="0.25">
      <c r="A366" s="49" t="s">
        <v>408</v>
      </c>
      <c r="B366" s="50" t="s">
        <v>1775</v>
      </c>
      <c r="C366" s="47">
        <v>49.28</v>
      </c>
      <c r="D366" s="52">
        <v>3289.07</v>
      </c>
      <c r="E366" s="53">
        <f t="shared" si="641"/>
        <v>1644.5350000000001</v>
      </c>
      <c r="F366" s="41">
        <f t="shared" si="642"/>
        <v>4933.6050000000005</v>
      </c>
      <c r="G366" s="53">
        <f t="shared" si="643"/>
        <v>3700.2037500000006</v>
      </c>
      <c r="H366" s="54">
        <f t="shared" si="644"/>
        <v>1644.5350000000001</v>
      </c>
      <c r="I366" s="55">
        <f t="shared" si="645"/>
        <v>6578.14</v>
      </c>
      <c r="J366" s="56">
        <f t="shared" si="646"/>
        <v>4933.6050000000005</v>
      </c>
      <c r="K366" s="108">
        <f t="shared" si="647"/>
        <v>133.48498376623377</v>
      </c>
      <c r="L366" s="194" t="s">
        <v>1988</v>
      </c>
      <c r="M366" s="304" t="s">
        <v>2305</v>
      </c>
    </row>
    <row r="367" spans="1:13" ht="15.75" customHeight="1" x14ac:dyDescent="0.25">
      <c r="A367" s="49" t="s">
        <v>409</v>
      </c>
      <c r="B367" s="50" t="s">
        <v>2111</v>
      </c>
      <c r="C367" s="47">
        <v>25.65</v>
      </c>
      <c r="D367" s="52">
        <v>2939.56</v>
      </c>
      <c r="E367" s="53">
        <f t="shared" si="641"/>
        <v>1469.78</v>
      </c>
      <c r="F367" s="41">
        <f t="shared" si="642"/>
        <v>4409.34</v>
      </c>
      <c r="G367" s="53">
        <f t="shared" si="643"/>
        <v>3307.0050000000001</v>
      </c>
      <c r="H367" s="54">
        <f t="shared" si="644"/>
        <v>1469.78</v>
      </c>
      <c r="I367" s="55">
        <f t="shared" si="645"/>
        <v>5879.12</v>
      </c>
      <c r="J367" s="56">
        <f t="shared" si="646"/>
        <v>4409.34</v>
      </c>
      <c r="K367" s="108">
        <f t="shared" si="647"/>
        <v>229.20545808966861</v>
      </c>
      <c r="L367" s="194" t="s">
        <v>1978</v>
      </c>
      <c r="M367" s="304" t="s">
        <v>2306</v>
      </c>
    </row>
    <row r="368" spans="1:13" ht="15.75" customHeight="1" x14ac:dyDescent="0.25">
      <c r="A368" s="49" t="s">
        <v>410</v>
      </c>
      <c r="B368" s="50" t="s">
        <v>1775</v>
      </c>
      <c r="C368" s="47"/>
      <c r="D368" s="47">
        <v>3289.07</v>
      </c>
      <c r="E368" s="53">
        <f t="shared" si="641"/>
        <v>1644.5350000000001</v>
      </c>
      <c r="F368" s="41">
        <f t="shared" si="642"/>
        <v>4933.6050000000005</v>
      </c>
      <c r="G368" s="53">
        <f t="shared" si="643"/>
        <v>3700.2037500000006</v>
      </c>
      <c r="H368" s="54">
        <f t="shared" si="644"/>
        <v>1644.5350000000001</v>
      </c>
      <c r="I368" s="55">
        <f t="shared" si="645"/>
        <v>6578.14</v>
      </c>
      <c r="J368" s="56">
        <f t="shared" si="646"/>
        <v>4933.6050000000005</v>
      </c>
      <c r="K368" s="108"/>
      <c r="L368" s="194" t="s">
        <v>1988</v>
      </c>
      <c r="M368" s="304"/>
    </row>
    <row r="369" spans="1:13" ht="15.75" customHeight="1" x14ac:dyDescent="0.25">
      <c r="A369" s="49" t="s">
        <v>411</v>
      </c>
      <c r="B369" s="50" t="s">
        <v>412</v>
      </c>
      <c r="C369" s="47">
        <v>14.07</v>
      </c>
      <c r="D369" s="52">
        <v>2236.2800000000002</v>
      </c>
      <c r="E369" s="53">
        <f t="shared" si="641"/>
        <v>1118.1400000000001</v>
      </c>
      <c r="F369" s="41">
        <f t="shared" si="642"/>
        <v>3354.42</v>
      </c>
      <c r="G369" s="53">
        <f t="shared" si="643"/>
        <v>2515.8150000000001</v>
      </c>
      <c r="H369" s="54">
        <f t="shared" si="644"/>
        <v>1118.1400000000001</v>
      </c>
      <c r="I369" s="55">
        <f t="shared" si="645"/>
        <v>4472.5600000000004</v>
      </c>
      <c r="J369" s="56">
        <f t="shared" si="646"/>
        <v>3354.42</v>
      </c>
      <c r="K369" s="108">
        <f t="shared" si="647"/>
        <v>317.87917555081737</v>
      </c>
      <c r="L369" s="194" t="s">
        <v>1978</v>
      </c>
      <c r="M369" s="304"/>
    </row>
    <row r="370" spans="1:13" x14ac:dyDescent="0.25">
      <c r="A370" s="49" t="s">
        <v>413</v>
      </c>
      <c r="B370" s="50" t="s">
        <v>414</v>
      </c>
      <c r="C370" s="47">
        <v>14.57</v>
      </c>
      <c r="D370" s="52">
        <v>2236.2800000000002</v>
      </c>
      <c r="E370" s="53">
        <f t="shared" si="641"/>
        <v>1118.1400000000001</v>
      </c>
      <c r="F370" s="41">
        <f t="shared" si="642"/>
        <v>3354.42</v>
      </c>
      <c r="G370" s="53">
        <f t="shared" si="643"/>
        <v>2515.8150000000001</v>
      </c>
      <c r="H370" s="54">
        <f t="shared" si="644"/>
        <v>1118.1400000000001</v>
      </c>
      <c r="I370" s="55">
        <f t="shared" si="645"/>
        <v>4472.5600000000004</v>
      </c>
      <c r="J370" s="56">
        <f t="shared" si="646"/>
        <v>3354.42</v>
      </c>
      <c r="K370" s="108">
        <f t="shared" si="647"/>
        <v>306.97048730267676</v>
      </c>
      <c r="L370" s="194" t="s">
        <v>1985</v>
      </c>
      <c r="M370" s="304" t="s">
        <v>2305</v>
      </c>
    </row>
    <row r="371" spans="1:13" ht="15.75" customHeight="1" x14ac:dyDescent="0.25">
      <c r="A371" s="49" t="s">
        <v>415</v>
      </c>
      <c r="B371" s="50" t="s">
        <v>1736</v>
      </c>
      <c r="C371" s="47">
        <v>11.65</v>
      </c>
      <c r="D371" s="52">
        <v>1478.21</v>
      </c>
      <c r="E371" s="53">
        <f t="shared" si="641"/>
        <v>739.10500000000002</v>
      </c>
      <c r="F371" s="41">
        <f t="shared" si="642"/>
        <v>2217.3150000000001</v>
      </c>
      <c r="G371" s="53">
        <f t="shared" si="643"/>
        <v>1662.9862499999999</v>
      </c>
      <c r="H371" s="54">
        <f t="shared" si="644"/>
        <v>739.10500000000002</v>
      </c>
      <c r="I371" s="55">
        <f t="shared" si="645"/>
        <v>2956.42</v>
      </c>
      <c r="J371" s="56">
        <f t="shared" si="646"/>
        <v>2217.3150000000001</v>
      </c>
      <c r="K371" s="108">
        <f t="shared" si="647"/>
        <v>253.76995708154507</v>
      </c>
      <c r="L371" s="194" t="s">
        <v>2157</v>
      </c>
      <c r="M371" s="304" t="s">
        <v>2305</v>
      </c>
    </row>
    <row r="372" spans="1:13" ht="15.75" customHeight="1" x14ac:dyDescent="0.25">
      <c r="A372" s="49" t="s">
        <v>416</v>
      </c>
      <c r="B372" s="50" t="s">
        <v>1736</v>
      </c>
      <c r="C372" s="47">
        <v>11.65</v>
      </c>
      <c r="D372" s="47">
        <v>1478.21</v>
      </c>
      <c r="E372" s="53">
        <f t="shared" si="641"/>
        <v>739.10500000000002</v>
      </c>
      <c r="F372" s="41">
        <f t="shared" si="642"/>
        <v>2217.3150000000001</v>
      </c>
      <c r="G372" s="53">
        <f t="shared" si="643"/>
        <v>1662.9862499999999</v>
      </c>
      <c r="H372" s="54">
        <f t="shared" si="644"/>
        <v>739.10500000000002</v>
      </c>
      <c r="I372" s="55">
        <f t="shared" si="645"/>
        <v>2956.42</v>
      </c>
      <c r="J372" s="56">
        <f t="shared" si="646"/>
        <v>2217.3150000000001</v>
      </c>
      <c r="K372" s="108">
        <f t="shared" si="647"/>
        <v>253.76995708154507</v>
      </c>
      <c r="L372" s="194" t="s">
        <v>2157</v>
      </c>
      <c r="M372" s="304" t="s">
        <v>2305</v>
      </c>
    </row>
    <row r="373" spans="1:13" ht="15.75" customHeight="1" x14ac:dyDescent="0.25">
      <c r="A373" s="49" t="s">
        <v>417</v>
      </c>
      <c r="B373" s="50" t="s">
        <v>1870</v>
      </c>
      <c r="C373" s="47">
        <v>13.4</v>
      </c>
      <c r="D373" s="52">
        <v>1700.26</v>
      </c>
      <c r="E373" s="53">
        <f t="shared" si="641"/>
        <v>850.13</v>
      </c>
      <c r="F373" s="41">
        <f t="shared" si="642"/>
        <v>2550.39</v>
      </c>
      <c r="G373" s="53">
        <f t="shared" si="643"/>
        <v>1912.7925</v>
      </c>
      <c r="H373" s="54">
        <f t="shared" si="644"/>
        <v>850.13</v>
      </c>
      <c r="I373" s="55">
        <f t="shared" si="645"/>
        <v>3400.52</v>
      </c>
      <c r="J373" s="56">
        <f t="shared" si="646"/>
        <v>2550.39</v>
      </c>
      <c r="K373" s="108">
        <f t="shared" si="647"/>
        <v>253.77014925373135</v>
      </c>
      <c r="L373" s="194" t="s">
        <v>2158</v>
      </c>
      <c r="M373" s="304"/>
    </row>
    <row r="374" spans="1:13" ht="15.75" customHeight="1" x14ac:dyDescent="0.25">
      <c r="A374" s="49" t="s">
        <v>418</v>
      </c>
      <c r="B374" s="50" t="s">
        <v>1870</v>
      </c>
      <c r="C374" s="47">
        <v>13.4</v>
      </c>
      <c r="D374" s="47">
        <v>1700.26</v>
      </c>
      <c r="E374" s="53">
        <f t="shared" si="641"/>
        <v>850.13</v>
      </c>
      <c r="F374" s="41">
        <f t="shared" si="642"/>
        <v>2550.39</v>
      </c>
      <c r="G374" s="53">
        <f t="shared" si="643"/>
        <v>1912.7925</v>
      </c>
      <c r="H374" s="54">
        <f t="shared" si="644"/>
        <v>850.13</v>
      </c>
      <c r="I374" s="55">
        <f t="shared" si="645"/>
        <v>3400.52</v>
      </c>
      <c r="J374" s="56">
        <f t="shared" si="646"/>
        <v>2550.39</v>
      </c>
      <c r="K374" s="108">
        <f t="shared" si="647"/>
        <v>253.77014925373135</v>
      </c>
      <c r="L374" s="194" t="s">
        <v>2158</v>
      </c>
      <c r="M374" s="304"/>
    </row>
    <row r="375" spans="1:13" ht="15.75" customHeight="1" x14ac:dyDescent="0.25">
      <c r="A375" s="65"/>
      <c r="B375" s="65"/>
      <c r="C375" s="57"/>
      <c r="D375" s="57"/>
      <c r="E375" s="57"/>
      <c r="F375" s="47"/>
      <c r="G375" s="57"/>
      <c r="H375" s="58"/>
      <c r="I375" s="199"/>
      <c r="J375" s="59"/>
      <c r="K375" s="108"/>
      <c r="L375" s="194"/>
      <c r="M375" s="304"/>
    </row>
    <row r="376" spans="1:13" ht="15.75" customHeight="1" x14ac:dyDescent="0.25">
      <c r="A376" s="49" t="s">
        <v>419</v>
      </c>
      <c r="B376" s="50" t="s">
        <v>1432</v>
      </c>
      <c r="C376" s="47">
        <v>42</v>
      </c>
      <c r="D376" s="52">
        <v>4669.5600000000004</v>
      </c>
      <c r="E376" s="53">
        <f t="shared" ref="E376:E387" si="648">D376*50%</f>
        <v>2334.7800000000002</v>
      </c>
      <c r="F376" s="41">
        <f t="shared" ref="F376:F387" si="649">D376+E376</f>
        <v>7004.34</v>
      </c>
      <c r="G376" s="53">
        <f t="shared" ref="G376:G387" si="650">F376-(F376*25%)</f>
        <v>5253.2550000000001</v>
      </c>
      <c r="H376" s="54">
        <f t="shared" ref="H376:H387" si="651">D376*50%</f>
        <v>2334.7800000000002</v>
      </c>
      <c r="I376" s="55">
        <f t="shared" ref="I376:I387" si="652">D376+(H376*2)</f>
        <v>9339.1200000000008</v>
      </c>
      <c r="J376" s="56">
        <f t="shared" ref="J376:J387" si="653">I376-(I376*25%)</f>
        <v>7004.34</v>
      </c>
      <c r="K376" s="108">
        <f t="shared" ref="K376:K387" si="654">I376/C376</f>
        <v>222.36</v>
      </c>
      <c r="L376" s="194" t="s">
        <v>2159</v>
      </c>
      <c r="M376" s="304"/>
    </row>
    <row r="377" spans="1:13" ht="15.75" customHeight="1" x14ac:dyDescent="0.25">
      <c r="A377" s="49" t="s">
        <v>420</v>
      </c>
      <c r="B377" s="50" t="s">
        <v>1432</v>
      </c>
      <c r="C377" s="47">
        <v>42</v>
      </c>
      <c r="D377" s="47">
        <v>4669.5600000000004</v>
      </c>
      <c r="E377" s="53">
        <f t="shared" si="648"/>
        <v>2334.7800000000002</v>
      </c>
      <c r="F377" s="41">
        <f t="shared" si="649"/>
        <v>7004.34</v>
      </c>
      <c r="G377" s="53">
        <f t="shared" si="650"/>
        <v>5253.2550000000001</v>
      </c>
      <c r="H377" s="54">
        <f t="shared" si="651"/>
        <v>2334.7800000000002</v>
      </c>
      <c r="I377" s="55">
        <f t="shared" si="652"/>
        <v>9339.1200000000008</v>
      </c>
      <c r="J377" s="56">
        <f t="shared" si="653"/>
        <v>7004.34</v>
      </c>
      <c r="K377" s="108">
        <f t="shared" si="654"/>
        <v>222.36</v>
      </c>
      <c r="L377" s="194" t="s">
        <v>2159</v>
      </c>
      <c r="M377" s="304"/>
    </row>
    <row r="378" spans="1:13" ht="15.75" customHeight="1" x14ac:dyDescent="0.25">
      <c r="A378" s="49" t="s">
        <v>421</v>
      </c>
      <c r="B378" s="50" t="s">
        <v>1704</v>
      </c>
      <c r="C378" s="47">
        <v>28.35</v>
      </c>
      <c r="D378" s="52">
        <v>3306.96</v>
      </c>
      <c r="E378" s="53">
        <f t="shared" si="648"/>
        <v>1653.48</v>
      </c>
      <c r="F378" s="41">
        <f t="shared" si="649"/>
        <v>4960.4400000000005</v>
      </c>
      <c r="G378" s="53">
        <f t="shared" si="650"/>
        <v>3720.3300000000004</v>
      </c>
      <c r="H378" s="54">
        <f t="shared" si="651"/>
        <v>1653.48</v>
      </c>
      <c r="I378" s="55">
        <f t="shared" si="652"/>
        <v>6613.92</v>
      </c>
      <c r="J378" s="56">
        <f t="shared" si="653"/>
        <v>4960.4400000000005</v>
      </c>
      <c r="K378" s="108">
        <f t="shared" si="654"/>
        <v>233.29523809523809</v>
      </c>
      <c r="L378" s="274" t="s">
        <v>1978</v>
      </c>
      <c r="M378" s="304" t="s">
        <v>2306</v>
      </c>
    </row>
    <row r="379" spans="1:13" ht="15.75" customHeight="1" x14ac:dyDescent="0.25">
      <c r="A379" s="49" t="s">
        <v>422</v>
      </c>
      <c r="B379" s="50" t="s">
        <v>1833</v>
      </c>
      <c r="C379" s="47">
        <v>28.35</v>
      </c>
      <c r="D379" s="47">
        <v>3306.9650000000001</v>
      </c>
      <c r="E379" s="53">
        <f t="shared" si="648"/>
        <v>1653.4825000000001</v>
      </c>
      <c r="F379" s="41">
        <f t="shared" si="649"/>
        <v>4960.4475000000002</v>
      </c>
      <c r="G379" s="53">
        <f t="shared" si="650"/>
        <v>3720.3356250000002</v>
      </c>
      <c r="H379" s="54">
        <f t="shared" si="651"/>
        <v>1653.4825000000001</v>
      </c>
      <c r="I379" s="55">
        <f t="shared" si="652"/>
        <v>6613.93</v>
      </c>
      <c r="J379" s="56">
        <f t="shared" si="653"/>
        <v>4960.4475000000002</v>
      </c>
      <c r="K379" s="108">
        <f t="shared" si="654"/>
        <v>233.29559082892416</v>
      </c>
      <c r="L379" s="275" t="s">
        <v>2163</v>
      </c>
      <c r="M379" s="304" t="s">
        <v>2306</v>
      </c>
    </row>
    <row r="380" spans="1:13" ht="15.75" customHeight="1" x14ac:dyDescent="0.25">
      <c r="A380" s="49" t="s">
        <v>424</v>
      </c>
      <c r="B380" s="50" t="s">
        <v>425</v>
      </c>
      <c r="C380" s="47">
        <v>15.16</v>
      </c>
      <c r="D380" s="52">
        <v>1923.575</v>
      </c>
      <c r="E380" s="53">
        <f t="shared" si="648"/>
        <v>961.78750000000002</v>
      </c>
      <c r="F380" s="41">
        <f t="shared" si="649"/>
        <v>2885.3625000000002</v>
      </c>
      <c r="G380" s="53">
        <f t="shared" si="650"/>
        <v>2164.0218750000004</v>
      </c>
      <c r="H380" s="54">
        <f t="shared" si="651"/>
        <v>961.78750000000002</v>
      </c>
      <c r="I380" s="55">
        <f t="shared" si="652"/>
        <v>3847.15</v>
      </c>
      <c r="J380" s="56">
        <f t="shared" si="653"/>
        <v>2885.3625000000002</v>
      </c>
      <c r="K380" s="108">
        <f t="shared" si="654"/>
        <v>253.76978891820582</v>
      </c>
      <c r="L380" s="274" t="s">
        <v>2160</v>
      </c>
      <c r="M380" s="304" t="s">
        <v>2305</v>
      </c>
    </row>
    <row r="381" spans="1:13" ht="15.75" customHeight="1" x14ac:dyDescent="0.25">
      <c r="A381" s="49" t="s">
        <v>426</v>
      </c>
      <c r="B381" s="50" t="s">
        <v>427</v>
      </c>
      <c r="C381" s="47">
        <v>15.16</v>
      </c>
      <c r="D381" s="52">
        <v>1923.575</v>
      </c>
      <c r="E381" s="53">
        <f t="shared" si="648"/>
        <v>961.78750000000002</v>
      </c>
      <c r="F381" s="41">
        <f t="shared" si="649"/>
        <v>2885.3625000000002</v>
      </c>
      <c r="G381" s="53">
        <f t="shared" si="650"/>
        <v>2164.0218750000004</v>
      </c>
      <c r="H381" s="54">
        <f t="shared" si="651"/>
        <v>961.78750000000002</v>
      </c>
      <c r="I381" s="55">
        <f t="shared" si="652"/>
        <v>3847.15</v>
      </c>
      <c r="J381" s="56">
        <f t="shared" si="653"/>
        <v>2885.3625000000002</v>
      </c>
      <c r="K381" s="108">
        <f t="shared" si="654"/>
        <v>253.76978891820582</v>
      </c>
      <c r="L381" s="194" t="s">
        <v>2160</v>
      </c>
      <c r="M381" s="304" t="s">
        <v>2305</v>
      </c>
    </row>
    <row r="382" spans="1:13" x14ac:dyDescent="0.25">
      <c r="A382" s="49" t="s">
        <v>428</v>
      </c>
      <c r="B382" s="50" t="s">
        <v>1449</v>
      </c>
      <c r="C382" s="47">
        <v>25.25</v>
      </c>
      <c r="D382" s="52">
        <v>3204.5749999999998</v>
      </c>
      <c r="E382" s="53">
        <f t="shared" si="648"/>
        <v>1602.2874999999999</v>
      </c>
      <c r="F382" s="41">
        <f t="shared" si="649"/>
        <v>4806.8624999999993</v>
      </c>
      <c r="G382" s="53">
        <f t="shared" si="650"/>
        <v>3605.1468749999995</v>
      </c>
      <c r="H382" s="54">
        <f t="shared" si="651"/>
        <v>1602.2874999999999</v>
      </c>
      <c r="I382" s="55">
        <f t="shared" si="652"/>
        <v>6409.15</v>
      </c>
      <c r="J382" s="56">
        <f t="shared" si="653"/>
        <v>4806.8624999999993</v>
      </c>
      <c r="K382" s="108">
        <f t="shared" si="654"/>
        <v>253.82772277227721</v>
      </c>
      <c r="L382" s="194" t="s">
        <v>2161</v>
      </c>
      <c r="M382" s="304" t="s">
        <v>2305</v>
      </c>
    </row>
    <row r="383" spans="1:13" x14ac:dyDescent="0.25">
      <c r="A383" s="49" t="s">
        <v>429</v>
      </c>
      <c r="B383" s="50" t="s">
        <v>1449</v>
      </c>
      <c r="C383" s="47">
        <v>25.26</v>
      </c>
      <c r="D383" s="47">
        <v>3204.5749999999998</v>
      </c>
      <c r="E383" s="53">
        <f t="shared" si="648"/>
        <v>1602.2874999999999</v>
      </c>
      <c r="F383" s="41">
        <f t="shared" si="649"/>
        <v>4806.8624999999993</v>
      </c>
      <c r="G383" s="53">
        <f t="shared" si="650"/>
        <v>3605.1468749999995</v>
      </c>
      <c r="H383" s="54">
        <f t="shared" si="651"/>
        <v>1602.2874999999999</v>
      </c>
      <c r="I383" s="55">
        <f t="shared" si="652"/>
        <v>6409.15</v>
      </c>
      <c r="J383" s="56">
        <f t="shared" si="653"/>
        <v>4806.8624999999993</v>
      </c>
      <c r="K383" s="108">
        <f t="shared" si="654"/>
        <v>253.72723673792555</v>
      </c>
      <c r="L383" s="194" t="s">
        <v>2161</v>
      </c>
      <c r="M383" s="304" t="s">
        <v>2305</v>
      </c>
    </row>
    <row r="384" spans="1:13" ht="15.75" customHeight="1" x14ac:dyDescent="0.25">
      <c r="A384" s="49" t="s">
        <v>430</v>
      </c>
      <c r="B384" s="50" t="s">
        <v>423</v>
      </c>
      <c r="C384" s="47">
        <v>28.35</v>
      </c>
      <c r="D384" s="47">
        <v>3306.9650000000001</v>
      </c>
      <c r="E384" s="53">
        <f t="shared" si="648"/>
        <v>1653.4825000000001</v>
      </c>
      <c r="F384" s="41">
        <f t="shared" si="649"/>
        <v>4960.4475000000002</v>
      </c>
      <c r="G384" s="53">
        <f t="shared" si="650"/>
        <v>3720.3356250000002</v>
      </c>
      <c r="H384" s="54">
        <f t="shared" si="651"/>
        <v>1653.4825000000001</v>
      </c>
      <c r="I384" s="55">
        <f t="shared" si="652"/>
        <v>6613.93</v>
      </c>
      <c r="J384" s="56">
        <f t="shared" si="653"/>
        <v>4960.4475000000002</v>
      </c>
      <c r="K384" s="108">
        <f t="shared" si="654"/>
        <v>233.29559082892416</v>
      </c>
      <c r="L384" s="194" t="s">
        <v>2162</v>
      </c>
      <c r="M384" s="304" t="s">
        <v>2306</v>
      </c>
    </row>
    <row r="385" spans="1:13" ht="15.75" customHeight="1" x14ac:dyDescent="0.25">
      <c r="A385" s="49" t="s">
        <v>431</v>
      </c>
      <c r="B385" s="50" t="s">
        <v>423</v>
      </c>
      <c r="C385" s="47">
        <v>28.35</v>
      </c>
      <c r="D385" s="47">
        <v>3306.96</v>
      </c>
      <c r="E385" s="53">
        <f t="shared" si="648"/>
        <v>1653.48</v>
      </c>
      <c r="F385" s="41">
        <f t="shared" si="649"/>
        <v>4960.4400000000005</v>
      </c>
      <c r="G385" s="53">
        <f t="shared" si="650"/>
        <v>3720.3300000000004</v>
      </c>
      <c r="H385" s="54">
        <f t="shared" si="651"/>
        <v>1653.48</v>
      </c>
      <c r="I385" s="55">
        <f t="shared" si="652"/>
        <v>6613.92</v>
      </c>
      <c r="J385" s="56">
        <f t="shared" si="653"/>
        <v>4960.4400000000005</v>
      </c>
      <c r="K385" s="108">
        <f t="shared" si="654"/>
        <v>233.29523809523809</v>
      </c>
      <c r="L385" s="275" t="s">
        <v>2163</v>
      </c>
      <c r="M385" s="304" t="s">
        <v>2306</v>
      </c>
    </row>
    <row r="386" spans="1:13" ht="15.75" customHeight="1" x14ac:dyDescent="0.25">
      <c r="A386" s="49" t="s">
        <v>432</v>
      </c>
      <c r="B386" s="50" t="s">
        <v>423</v>
      </c>
      <c r="C386" s="47">
        <v>16.11</v>
      </c>
      <c r="D386" s="47">
        <v>1794</v>
      </c>
      <c r="E386" s="53">
        <f t="shared" si="648"/>
        <v>897</v>
      </c>
      <c r="F386" s="41">
        <f t="shared" si="649"/>
        <v>2691</v>
      </c>
      <c r="G386" s="53">
        <f t="shared" si="650"/>
        <v>2018.25</v>
      </c>
      <c r="H386" s="54">
        <f t="shared" si="651"/>
        <v>897</v>
      </c>
      <c r="I386" s="55">
        <f t="shared" si="652"/>
        <v>3588</v>
      </c>
      <c r="J386" s="56">
        <f t="shared" si="653"/>
        <v>2691</v>
      </c>
      <c r="K386" s="108">
        <f t="shared" si="654"/>
        <v>222.71880819366854</v>
      </c>
      <c r="L386" s="275" t="s">
        <v>2163</v>
      </c>
      <c r="M386" s="304" t="s">
        <v>2306</v>
      </c>
    </row>
    <row r="387" spans="1:13" x14ac:dyDescent="0.25">
      <c r="A387" s="49" t="s">
        <v>433</v>
      </c>
      <c r="B387" s="50" t="s">
        <v>1331</v>
      </c>
      <c r="C387" s="47">
        <v>26.25</v>
      </c>
      <c r="D387" s="52">
        <v>3825.67</v>
      </c>
      <c r="E387" s="53">
        <f t="shared" si="648"/>
        <v>1912.835</v>
      </c>
      <c r="F387" s="41">
        <f t="shared" si="649"/>
        <v>5738.5050000000001</v>
      </c>
      <c r="G387" s="53">
        <f t="shared" si="650"/>
        <v>4303.8787499999999</v>
      </c>
      <c r="H387" s="54">
        <f t="shared" si="651"/>
        <v>1912.835</v>
      </c>
      <c r="I387" s="55">
        <f t="shared" si="652"/>
        <v>7651.34</v>
      </c>
      <c r="J387" s="56">
        <f t="shared" si="653"/>
        <v>5738.5050000000001</v>
      </c>
      <c r="K387" s="108">
        <f t="shared" si="654"/>
        <v>291.47961904761905</v>
      </c>
      <c r="L387" s="194" t="s">
        <v>1985</v>
      </c>
      <c r="M387" s="304" t="s">
        <v>2305</v>
      </c>
    </row>
    <row r="388" spans="1:13" ht="15.75" customHeight="1" x14ac:dyDescent="0.25">
      <c r="A388" s="49"/>
      <c r="B388" s="50"/>
      <c r="C388" s="47"/>
      <c r="D388" s="52"/>
      <c r="E388" s="57"/>
      <c r="F388" s="47"/>
      <c r="G388" s="57"/>
      <c r="H388" s="58"/>
      <c r="I388" s="199"/>
      <c r="J388" s="59"/>
      <c r="K388" s="108"/>
      <c r="L388" s="194"/>
      <c r="M388" s="304"/>
    </row>
    <row r="389" spans="1:13" ht="15.75" customHeight="1" x14ac:dyDescent="0.25">
      <c r="A389" s="49" t="s">
        <v>434</v>
      </c>
      <c r="B389" s="50" t="s">
        <v>1799</v>
      </c>
      <c r="C389" s="47">
        <v>17.600000000000001</v>
      </c>
      <c r="D389" s="52">
        <v>2012.21</v>
      </c>
      <c r="E389" s="53">
        <f t="shared" ref="E389:E392" si="655">D389*50%</f>
        <v>1006.105</v>
      </c>
      <c r="F389" s="41">
        <f t="shared" ref="F389:F392" si="656">D389+E389</f>
        <v>3018.3150000000001</v>
      </c>
      <c r="G389" s="53">
        <f t="shared" ref="G389:G392" si="657">F389-(F389*25%)</f>
        <v>2263.7362499999999</v>
      </c>
      <c r="H389" s="54">
        <f t="shared" ref="H389:H392" si="658">D389*50%</f>
        <v>1006.105</v>
      </c>
      <c r="I389" s="55">
        <f t="shared" ref="I389:I392" si="659">D389+(H389*2)</f>
        <v>4024.42</v>
      </c>
      <c r="J389" s="56">
        <f t="shared" ref="J389:J392" si="660">I389-(I389*25%)</f>
        <v>3018.3150000000001</v>
      </c>
      <c r="K389" s="108">
        <f t="shared" ref="K389:K392" si="661">I389/C389</f>
        <v>228.66022727272727</v>
      </c>
      <c r="L389" s="194" t="s">
        <v>2008</v>
      </c>
      <c r="M389" s="304"/>
    </row>
    <row r="390" spans="1:13" ht="15.75" customHeight="1" x14ac:dyDescent="0.25">
      <c r="A390" s="49" t="s">
        <v>435</v>
      </c>
      <c r="B390" s="50" t="s">
        <v>436</v>
      </c>
      <c r="C390" s="47">
        <v>18.77</v>
      </c>
      <c r="D390" s="52">
        <v>2090.5050000000001</v>
      </c>
      <c r="E390" s="53">
        <f t="shared" si="655"/>
        <v>1045.2525000000001</v>
      </c>
      <c r="F390" s="41">
        <f t="shared" si="656"/>
        <v>3135.7575000000002</v>
      </c>
      <c r="G390" s="53">
        <f t="shared" si="657"/>
        <v>2351.8181250000002</v>
      </c>
      <c r="H390" s="54">
        <f t="shared" si="658"/>
        <v>1045.2525000000001</v>
      </c>
      <c r="I390" s="55">
        <f t="shared" si="659"/>
        <v>4181.01</v>
      </c>
      <c r="J390" s="56">
        <f t="shared" si="660"/>
        <v>3135.7575000000002</v>
      </c>
      <c r="K390" s="108">
        <f t="shared" si="661"/>
        <v>222.74960042621206</v>
      </c>
      <c r="L390" s="194" t="s">
        <v>2005</v>
      </c>
      <c r="M390" s="304" t="s">
        <v>2306</v>
      </c>
    </row>
    <row r="391" spans="1:13" ht="15.75" customHeight="1" x14ac:dyDescent="0.25">
      <c r="A391" s="49" t="s">
        <v>437</v>
      </c>
      <c r="B391" s="50" t="s">
        <v>438</v>
      </c>
      <c r="C391" s="47">
        <v>18.5</v>
      </c>
      <c r="D391" s="52">
        <v>2115.105</v>
      </c>
      <c r="E391" s="53">
        <f t="shared" si="655"/>
        <v>1057.5525</v>
      </c>
      <c r="F391" s="41">
        <f t="shared" si="656"/>
        <v>3172.6575000000003</v>
      </c>
      <c r="G391" s="53">
        <f t="shared" si="657"/>
        <v>2379.493125</v>
      </c>
      <c r="H391" s="54">
        <f t="shared" si="658"/>
        <v>1057.5525</v>
      </c>
      <c r="I391" s="55">
        <f t="shared" si="659"/>
        <v>4230.21</v>
      </c>
      <c r="J391" s="56">
        <f t="shared" si="660"/>
        <v>3172.6575000000003</v>
      </c>
      <c r="K391" s="108">
        <f t="shared" si="661"/>
        <v>228.66</v>
      </c>
      <c r="L391" s="194" t="s">
        <v>2005</v>
      </c>
      <c r="M391" s="304" t="s">
        <v>2306</v>
      </c>
    </row>
    <row r="392" spans="1:13" ht="15.75" customHeight="1" x14ac:dyDescent="0.25">
      <c r="A392" s="49" t="s">
        <v>439</v>
      </c>
      <c r="B392" s="50" t="s">
        <v>440</v>
      </c>
      <c r="C392" s="47">
        <v>18.5</v>
      </c>
      <c r="D392" s="47">
        <v>2115.105</v>
      </c>
      <c r="E392" s="53">
        <f t="shared" si="655"/>
        <v>1057.5525</v>
      </c>
      <c r="F392" s="41">
        <f t="shared" si="656"/>
        <v>3172.6575000000003</v>
      </c>
      <c r="G392" s="53">
        <f t="shared" si="657"/>
        <v>2379.493125</v>
      </c>
      <c r="H392" s="54">
        <f t="shared" si="658"/>
        <v>1057.5525</v>
      </c>
      <c r="I392" s="55">
        <f t="shared" si="659"/>
        <v>4230.21</v>
      </c>
      <c r="J392" s="56">
        <f t="shared" si="660"/>
        <v>3172.6575000000003</v>
      </c>
      <c r="K392" s="108">
        <f t="shared" si="661"/>
        <v>228.66</v>
      </c>
      <c r="L392" s="194" t="s">
        <v>2005</v>
      </c>
      <c r="M392" s="304" t="s">
        <v>2306</v>
      </c>
    </row>
    <row r="393" spans="1:13" ht="15.75" customHeight="1" x14ac:dyDescent="0.25">
      <c r="A393" s="49"/>
      <c r="B393" s="50"/>
      <c r="C393" s="47"/>
      <c r="D393" s="52"/>
      <c r="E393" s="57"/>
      <c r="F393" s="47"/>
      <c r="G393" s="57"/>
      <c r="H393" s="58"/>
      <c r="I393" s="199"/>
      <c r="J393" s="59"/>
      <c r="K393" s="108"/>
      <c r="L393" s="194"/>
      <c r="M393" s="304"/>
    </row>
    <row r="394" spans="1:13" ht="15.75" customHeight="1" x14ac:dyDescent="0.25">
      <c r="A394" s="49" t="s">
        <v>441</v>
      </c>
      <c r="B394" s="50" t="s">
        <v>2034</v>
      </c>
      <c r="C394" s="47">
        <v>21.42</v>
      </c>
      <c r="D394" s="52">
        <v>2448.9499999999998</v>
      </c>
      <c r="E394" s="53">
        <f t="shared" ref="E394:E396" si="662">D394*50%</f>
        <v>1224.4749999999999</v>
      </c>
      <c r="F394" s="41">
        <f t="shared" ref="F394:F396" si="663">D394+E394</f>
        <v>3673.4249999999997</v>
      </c>
      <c r="G394" s="53">
        <f t="shared" ref="G394:G396" si="664">F394-(F394*25%)</f>
        <v>2755.0687499999999</v>
      </c>
      <c r="H394" s="54">
        <f t="shared" ref="H394:H396" si="665">D394*50%</f>
        <v>1224.4749999999999</v>
      </c>
      <c r="I394" s="55">
        <f t="shared" ref="I394:I396" si="666">D394+(H394*2)</f>
        <v>4897.8999999999996</v>
      </c>
      <c r="J394" s="56">
        <f t="shared" ref="J394:J396" si="667">I394-(I394*25%)</f>
        <v>3673.4249999999997</v>
      </c>
      <c r="K394" s="108">
        <f t="shared" ref="K394:K396" si="668">I394/C394</f>
        <v>228.66013071895421</v>
      </c>
      <c r="L394" s="194" t="s">
        <v>2005</v>
      </c>
      <c r="M394" s="304"/>
    </row>
    <row r="395" spans="1:13" ht="15.75" customHeight="1" x14ac:dyDescent="0.25">
      <c r="A395" s="49" t="s">
        <v>442</v>
      </c>
      <c r="B395" s="50" t="s">
        <v>2034</v>
      </c>
      <c r="C395" s="47">
        <v>21.42</v>
      </c>
      <c r="D395" s="52">
        <v>2448.9499999999998</v>
      </c>
      <c r="E395" s="53">
        <f t="shared" si="662"/>
        <v>1224.4749999999999</v>
      </c>
      <c r="F395" s="41">
        <f t="shared" si="663"/>
        <v>3673.4249999999997</v>
      </c>
      <c r="G395" s="53">
        <f t="shared" si="664"/>
        <v>2755.0687499999999</v>
      </c>
      <c r="H395" s="54">
        <f t="shared" si="665"/>
        <v>1224.4749999999999</v>
      </c>
      <c r="I395" s="55">
        <f t="shared" si="666"/>
        <v>4897.8999999999996</v>
      </c>
      <c r="J395" s="56">
        <f t="shared" si="667"/>
        <v>3673.4249999999997</v>
      </c>
      <c r="K395" s="108">
        <f t="shared" si="668"/>
        <v>228.66013071895421</v>
      </c>
      <c r="L395" s="194" t="s">
        <v>2005</v>
      </c>
      <c r="M395" s="304" t="s">
        <v>2306</v>
      </c>
    </row>
    <row r="396" spans="1:13" ht="15.75" customHeight="1" x14ac:dyDescent="0.25">
      <c r="A396" s="49" t="s">
        <v>443</v>
      </c>
      <c r="B396" s="50" t="s">
        <v>382</v>
      </c>
      <c r="C396" s="47">
        <v>19.2</v>
      </c>
      <c r="D396" s="52">
        <v>2195.14</v>
      </c>
      <c r="E396" s="53">
        <f t="shared" si="662"/>
        <v>1097.57</v>
      </c>
      <c r="F396" s="41">
        <f t="shared" si="663"/>
        <v>3292.71</v>
      </c>
      <c r="G396" s="53">
        <f t="shared" si="664"/>
        <v>2469.5325000000003</v>
      </c>
      <c r="H396" s="54">
        <f t="shared" si="665"/>
        <v>1097.57</v>
      </c>
      <c r="I396" s="55">
        <f t="shared" si="666"/>
        <v>4390.28</v>
      </c>
      <c r="J396" s="56">
        <f t="shared" si="667"/>
        <v>3292.71</v>
      </c>
      <c r="K396" s="108">
        <f t="shared" si="668"/>
        <v>228.66041666666666</v>
      </c>
      <c r="L396" s="194" t="s">
        <v>2005</v>
      </c>
      <c r="M396" s="304" t="s">
        <v>2306</v>
      </c>
    </row>
    <row r="397" spans="1:13" ht="15.75" customHeight="1" x14ac:dyDescent="0.25">
      <c r="A397" s="65"/>
      <c r="B397" s="65"/>
      <c r="C397" s="57"/>
      <c r="D397" s="57"/>
      <c r="E397" s="57"/>
      <c r="F397" s="47"/>
      <c r="G397" s="57"/>
      <c r="H397" s="58"/>
      <c r="I397" s="199"/>
      <c r="J397" s="59"/>
      <c r="K397" s="108"/>
      <c r="L397" s="194"/>
      <c r="M397" s="304"/>
    </row>
    <row r="398" spans="1:13" ht="15.75" customHeight="1" x14ac:dyDescent="0.25">
      <c r="A398" s="49" t="s">
        <v>445</v>
      </c>
      <c r="B398" s="50" t="s">
        <v>446</v>
      </c>
      <c r="C398" s="47">
        <v>42.37</v>
      </c>
      <c r="D398" s="52">
        <v>2877.105</v>
      </c>
      <c r="E398" s="53">
        <f t="shared" ref="E398:E401" si="669">D398*50%</f>
        <v>1438.5525</v>
      </c>
      <c r="F398" s="41">
        <f t="shared" ref="F398:F401" si="670">D398+E398</f>
        <v>4315.6575000000003</v>
      </c>
      <c r="G398" s="53">
        <f t="shared" ref="G398:G401" si="671">F398-(F398*25%)</f>
        <v>3236.743125</v>
      </c>
      <c r="H398" s="54">
        <f t="shared" ref="H398:H401" si="672">D398*50%</f>
        <v>1438.5525</v>
      </c>
      <c r="I398" s="55">
        <f t="shared" ref="I398:I401" si="673">D398+(H398*2)</f>
        <v>5754.21</v>
      </c>
      <c r="J398" s="56">
        <f t="shared" ref="J398:J401" si="674">I398-(I398*25%)</f>
        <v>4315.6575000000003</v>
      </c>
      <c r="K398" s="108">
        <f t="shared" ref="K398:K401" si="675">I398/C398</f>
        <v>135.80859098418694</v>
      </c>
      <c r="L398" s="194" t="s">
        <v>1978</v>
      </c>
      <c r="M398" s="304"/>
    </row>
    <row r="399" spans="1:13" ht="15.75" customHeight="1" x14ac:dyDescent="0.25">
      <c r="A399" s="49" t="s">
        <v>447</v>
      </c>
      <c r="B399" s="50" t="s">
        <v>446</v>
      </c>
      <c r="C399" s="47">
        <v>14.07</v>
      </c>
      <c r="D399" s="52">
        <v>2877.105</v>
      </c>
      <c r="E399" s="53">
        <f t="shared" si="669"/>
        <v>1438.5525</v>
      </c>
      <c r="F399" s="41">
        <f t="shared" si="670"/>
        <v>4315.6575000000003</v>
      </c>
      <c r="G399" s="53">
        <f t="shared" si="671"/>
        <v>3236.743125</v>
      </c>
      <c r="H399" s="54">
        <f t="shared" si="672"/>
        <v>1438.5525</v>
      </c>
      <c r="I399" s="55">
        <f t="shared" si="673"/>
        <v>5754.21</v>
      </c>
      <c r="J399" s="56">
        <f t="shared" si="674"/>
        <v>4315.6575000000003</v>
      </c>
      <c r="K399" s="108">
        <f t="shared" si="675"/>
        <v>408.97014925373134</v>
      </c>
      <c r="L399" s="194" t="s">
        <v>1978</v>
      </c>
      <c r="M399" s="304"/>
    </row>
    <row r="400" spans="1:13" ht="15.75" customHeight="1" x14ac:dyDescent="0.25">
      <c r="A400" s="49" t="s">
        <v>448</v>
      </c>
      <c r="B400" s="50" t="s">
        <v>1684</v>
      </c>
      <c r="C400" s="47">
        <v>17</v>
      </c>
      <c r="D400" s="52">
        <v>1943.61</v>
      </c>
      <c r="E400" s="53">
        <f t="shared" si="669"/>
        <v>971.80499999999995</v>
      </c>
      <c r="F400" s="41">
        <f t="shared" si="670"/>
        <v>2915.415</v>
      </c>
      <c r="G400" s="53">
        <f t="shared" si="671"/>
        <v>2186.5612499999997</v>
      </c>
      <c r="H400" s="54">
        <f t="shared" si="672"/>
        <v>971.80499999999995</v>
      </c>
      <c r="I400" s="55">
        <f t="shared" si="673"/>
        <v>3887.22</v>
      </c>
      <c r="J400" s="56">
        <f t="shared" si="674"/>
        <v>2915.415</v>
      </c>
      <c r="K400" s="108">
        <f t="shared" si="675"/>
        <v>228.66</v>
      </c>
      <c r="L400" s="194" t="s">
        <v>2005</v>
      </c>
      <c r="M400" s="304" t="s">
        <v>2306</v>
      </c>
    </row>
    <row r="401" spans="1:13" x14ac:dyDescent="0.25">
      <c r="A401" s="49" t="s">
        <v>449</v>
      </c>
      <c r="B401" s="50" t="s">
        <v>1867</v>
      </c>
      <c r="C401" s="47">
        <v>16.059999999999999</v>
      </c>
      <c r="D401" s="52">
        <v>2552.58</v>
      </c>
      <c r="E401" s="53">
        <f t="shared" si="669"/>
        <v>1276.29</v>
      </c>
      <c r="F401" s="41">
        <f t="shared" si="670"/>
        <v>3828.87</v>
      </c>
      <c r="G401" s="53">
        <f t="shared" si="671"/>
        <v>2871.6525000000001</v>
      </c>
      <c r="H401" s="54">
        <f t="shared" si="672"/>
        <v>1276.29</v>
      </c>
      <c r="I401" s="55">
        <f t="shared" si="673"/>
        <v>5105.16</v>
      </c>
      <c r="J401" s="56">
        <f t="shared" si="674"/>
        <v>3828.87</v>
      </c>
      <c r="K401" s="108">
        <f t="shared" si="675"/>
        <v>317.8804483188045</v>
      </c>
      <c r="L401" s="194" t="s">
        <v>1985</v>
      </c>
      <c r="M401" s="304"/>
    </row>
    <row r="402" spans="1:13" ht="15.75" customHeight="1" x14ac:dyDescent="0.25">
      <c r="A402" s="49"/>
      <c r="B402" s="50"/>
      <c r="C402" s="47"/>
      <c r="D402" s="52"/>
      <c r="E402" s="57"/>
      <c r="F402" s="47"/>
      <c r="G402" s="57"/>
      <c r="H402" s="58"/>
      <c r="I402" s="199"/>
      <c r="J402" s="59"/>
      <c r="K402" s="108"/>
      <c r="L402" s="194"/>
      <c r="M402" s="304"/>
    </row>
    <row r="403" spans="1:13" ht="15.75" customHeight="1" x14ac:dyDescent="0.25">
      <c r="A403" s="49" t="s">
        <v>450</v>
      </c>
      <c r="B403" s="50" t="s">
        <v>1466</v>
      </c>
      <c r="C403" s="47">
        <v>15.25</v>
      </c>
      <c r="D403" s="52">
        <v>2033.24</v>
      </c>
      <c r="E403" s="53">
        <f t="shared" ref="E403:E410" si="676">D403*50%</f>
        <v>1016.62</v>
      </c>
      <c r="F403" s="41">
        <f t="shared" ref="F403:F410" si="677">D403+E403</f>
        <v>3049.86</v>
      </c>
      <c r="G403" s="53">
        <f t="shared" ref="G403:G410" si="678">F403-(F403*25%)</f>
        <v>2287.395</v>
      </c>
      <c r="H403" s="54">
        <f t="shared" ref="H403:H410" si="679">D403*50%</f>
        <v>1016.62</v>
      </c>
      <c r="I403" s="55">
        <f t="shared" ref="I403:I410" si="680">D403+(H403*2)</f>
        <v>4066.48</v>
      </c>
      <c r="J403" s="56">
        <f t="shared" ref="J403:J410" si="681">I403-(I403*25%)</f>
        <v>3049.86</v>
      </c>
      <c r="K403" s="108">
        <f t="shared" ref="K403:K410" si="682">I403/C403</f>
        <v>266.6544262295082</v>
      </c>
      <c r="L403" s="194" t="s">
        <v>1978</v>
      </c>
      <c r="M403" s="304" t="s">
        <v>2305</v>
      </c>
    </row>
    <row r="404" spans="1:13" ht="15.75" customHeight="1" x14ac:dyDescent="0.25">
      <c r="A404" s="49" t="s">
        <v>451</v>
      </c>
      <c r="B404" s="50" t="s">
        <v>1890</v>
      </c>
      <c r="C404" s="47">
        <v>15.25</v>
      </c>
      <c r="D404" s="47">
        <v>2033.24</v>
      </c>
      <c r="E404" s="53">
        <f t="shared" si="676"/>
        <v>1016.62</v>
      </c>
      <c r="F404" s="41">
        <f t="shared" si="677"/>
        <v>3049.86</v>
      </c>
      <c r="G404" s="53">
        <f t="shared" si="678"/>
        <v>2287.395</v>
      </c>
      <c r="H404" s="54">
        <f t="shared" si="679"/>
        <v>1016.62</v>
      </c>
      <c r="I404" s="55">
        <f t="shared" si="680"/>
        <v>4066.48</v>
      </c>
      <c r="J404" s="56">
        <f t="shared" si="681"/>
        <v>3049.86</v>
      </c>
      <c r="K404" s="108">
        <f t="shared" si="682"/>
        <v>266.6544262295082</v>
      </c>
      <c r="L404" s="194" t="s">
        <v>1978</v>
      </c>
      <c r="M404" s="304" t="s">
        <v>2305</v>
      </c>
    </row>
    <row r="405" spans="1:13" ht="15.75" customHeight="1" x14ac:dyDescent="0.25">
      <c r="A405" s="49" t="s">
        <v>452</v>
      </c>
      <c r="B405" s="50" t="s">
        <v>1421</v>
      </c>
      <c r="C405" s="47">
        <v>6.02</v>
      </c>
      <c r="D405" s="52">
        <v>878.08</v>
      </c>
      <c r="E405" s="53">
        <f t="shared" si="676"/>
        <v>439.04</v>
      </c>
      <c r="F405" s="41">
        <f t="shared" si="677"/>
        <v>1317.1200000000001</v>
      </c>
      <c r="G405" s="53">
        <f t="shared" si="678"/>
        <v>987.84000000000015</v>
      </c>
      <c r="H405" s="54">
        <f t="shared" si="679"/>
        <v>439.04</v>
      </c>
      <c r="I405" s="55">
        <f t="shared" si="680"/>
        <v>1756.16</v>
      </c>
      <c r="J405" s="56">
        <f t="shared" si="681"/>
        <v>1317.1200000000001</v>
      </c>
      <c r="K405" s="108">
        <f t="shared" si="682"/>
        <v>291.72093023255815</v>
      </c>
      <c r="L405" s="194" t="s">
        <v>1978</v>
      </c>
      <c r="M405" s="304" t="s">
        <v>2305</v>
      </c>
    </row>
    <row r="406" spans="1:13" ht="15.75" customHeight="1" x14ac:dyDescent="0.25">
      <c r="A406" s="49" t="s">
        <v>454</v>
      </c>
      <c r="B406" s="50" t="s">
        <v>1421</v>
      </c>
      <c r="C406" s="47">
        <v>6.03</v>
      </c>
      <c r="D406" s="52">
        <v>878.08</v>
      </c>
      <c r="E406" s="53">
        <f t="shared" si="676"/>
        <v>439.04</v>
      </c>
      <c r="F406" s="41">
        <f t="shared" si="677"/>
        <v>1317.1200000000001</v>
      </c>
      <c r="G406" s="53">
        <f t="shared" si="678"/>
        <v>987.84000000000015</v>
      </c>
      <c r="H406" s="54">
        <f t="shared" si="679"/>
        <v>439.04</v>
      </c>
      <c r="I406" s="55">
        <f t="shared" si="680"/>
        <v>1756.16</v>
      </c>
      <c r="J406" s="56">
        <f t="shared" si="681"/>
        <v>1317.1200000000001</v>
      </c>
      <c r="K406" s="108">
        <f t="shared" si="682"/>
        <v>291.23714759535653</v>
      </c>
      <c r="L406" s="194" t="s">
        <v>1978</v>
      </c>
      <c r="M406" s="304" t="s">
        <v>2305</v>
      </c>
    </row>
    <row r="407" spans="1:13" ht="15.75" customHeight="1" x14ac:dyDescent="0.25">
      <c r="A407" s="49" t="s">
        <v>455</v>
      </c>
      <c r="B407" s="50" t="s">
        <v>1450</v>
      </c>
      <c r="C407" s="47">
        <v>15.25</v>
      </c>
      <c r="D407" s="47">
        <v>2033.2449999999999</v>
      </c>
      <c r="E407" s="53">
        <f t="shared" si="676"/>
        <v>1016.6224999999999</v>
      </c>
      <c r="F407" s="41">
        <f t="shared" si="677"/>
        <v>3049.8674999999998</v>
      </c>
      <c r="G407" s="53">
        <f t="shared" si="678"/>
        <v>2287.4006249999998</v>
      </c>
      <c r="H407" s="54">
        <f t="shared" si="679"/>
        <v>1016.6224999999999</v>
      </c>
      <c r="I407" s="55">
        <f t="shared" si="680"/>
        <v>4066.49</v>
      </c>
      <c r="J407" s="56">
        <f t="shared" si="681"/>
        <v>3049.8674999999998</v>
      </c>
      <c r="K407" s="108">
        <f t="shared" si="682"/>
        <v>266.65508196721311</v>
      </c>
      <c r="L407" s="194" t="s">
        <v>1978</v>
      </c>
      <c r="M407" s="304" t="s">
        <v>2305</v>
      </c>
    </row>
    <row r="408" spans="1:13" ht="15.75" customHeight="1" x14ac:dyDescent="0.25">
      <c r="A408" s="49" t="s">
        <v>456</v>
      </c>
      <c r="B408" s="50" t="s">
        <v>1891</v>
      </c>
      <c r="C408" s="47">
        <v>15.25</v>
      </c>
      <c r="D408" s="47">
        <v>2033.2449999999999</v>
      </c>
      <c r="E408" s="53">
        <f t="shared" si="676"/>
        <v>1016.6224999999999</v>
      </c>
      <c r="F408" s="41">
        <f t="shared" si="677"/>
        <v>3049.8674999999998</v>
      </c>
      <c r="G408" s="53">
        <f t="shared" si="678"/>
        <v>2287.4006249999998</v>
      </c>
      <c r="H408" s="54">
        <f t="shared" si="679"/>
        <v>1016.6224999999999</v>
      </c>
      <c r="I408" s="55">
        <f t="shared" si="680"/>
        <v>4066.49</v>
      </c>
      <c r="J408" s="56">
        <f t="shared" si="681"/>
        <v>3049.8674999999998</v>
      </c>
      <c r="K408" s="108">
        <f t="shared" si="682"/>
        <v>266.65508196721311</v>
      </c>
      <c r="L408" s="194" t="s">
        <v>1978</v>
      </c>
      <c r="M408" s="304" t="s">
        <v>2305</v>
      </c>
    </row>
    <row r="409" spans="1:13" ht="15.75" customHeight="1" x14ac:dyDescent="0.25">
      <c r="A409" s="49" t="s">
        <v>457</v>
      </c>
      <c r="B409" s="50" t="s">
        <v>1621</v>
      </c>
      <c r="C409" s="47">
        <v>35.049999999999997</v>
      </c>
      <c r="D409" s="52">
        <v>5327.6</v>
      </c>
      <c r="E409" s="53">
        <f t="shared" si="676"/>
        <v>2663.8</v>
      </c>
      <c r="F409" s="41">
        <f t="shared" si="677"/>
        <v>7991.4000000000005</v>
      </c>
      <c r="G409" s="53">
        <f t="shared" si="678"/>
        <v>5993.55</v>
      </c>
      <c r="H409" s="54">
        <f t="shared" si="679"/>
        <v>2663.8</v>
      </c>
      <c r="I409" s="55">
        <f t="shared" si="680"/>
        <v>10655.2</v>
      </c>
      <c r="J409" s="56">
        <f t="shared" si="681"/>
        <v>7991.4000000000005</v>
      </c>
      <c r="K409" s="108">
        <f t="shared" si="682"/>
        <v>304.00000000000006</v>
      </c>
      <c r="L409" s="194" t="s">
        <v>1978</v>
      </c>
      <c r="M409" s="304"/>
    </row>
    <row r="410" spans="1:13" ht="15.75" customHeight="1" x14ac:dyDescent="0.25">
      <c r="A410" s="49" t="s">
        <v>458</v>
      </c>
      <c r="B410" s="50" t="s">
        <v>1361</v>
      </c>
      <c r="C410" s="47">
        <v>14.58</v>
      </c>
      <c r="D410" s="52">
        <v>2124.89</v>
      </c>
      <c r="E410" s="53">
        <f t="shared" si="676"/>
        <v>1062.4449999999999</v>
      </c>
      <c r="F410" s="41">
        <f t="shared" si="677"/>
        <v>3187.335</v>
      </c>
      <c r="G410" s="53">
        <f t="shared" si="678"/>
        <v>2390.5012500000003</v>
      </c>
      <c r="H410" s="54">
        <f t="shared" si="679"/>
        <v>1062.4449999999999</v>
      </c>
      <c r="I410" s="55">
        <f t="shared" si="680"/>
        <v>4249.78</v>
      </c>
      <c r="J410" s="56">
        <f t="shared" si="681"/>
        <v>3187.335</v>
      </c>
      <c r="K410" s="108">
        <f t="shared" si="682"/>
        <v>291.48010973936897</v>
      </c>
      <c r="L410" s="194" t="s">
        <v>1978</v>
      </c>
      <c r="M410" s="304" t="s">
        <v>2305</v>
      </c>
    </row>
    <row r="411" spans="1:13" ht="15.75" customHeight="1" x14ac:dyDescent="0.25">
      <c r="A411" s="49"/>
      <c r="B411" s="50"/>
      <c r="C411" s="47"/>
      <c r="D411" s="52"/>
      <c r="E411" s="57"/>
      <c r="F411" s="47"/>
      <c r="G411" s="57"/>
      <c r="H411" s="58"/>
      <c r="I411" s="199"/>
      <c r="J411" s="59"/>
      <c r="K411" s="108"/>
      <c r="L411" s="194"/>
      <c r="M411" s="304"/>
    </row>
    <row r="412" spans="1:13" ht="15.75" customHeight="1" x14ac:dyDescent="0.25">
      <c r="A412" s="49" t="s">
        <v>459</v>
      </c>
      <c r="B412" s="50" t="s">
        <v>2291</v>
      </c>
      <c r="C412" s="47">
        <v>18.21</v>
      </c>
      <c r="D412" s="52">
        <v>2081.9499999999998</v>
      </c>
      <c r="E412" s="53">
        <f t="shared" ref="E412:E417" si="683">D412*50%</f>
        <v>1040.9749999999999</v>
      </c>
      <c r="F412" s="41">
        <f t="shared" ref="F412:F417" si="684">D412+E412</f>
        <v>3122.9249999999997</v>
      </c>
      <c r="G412" s="53">
        <f t="shared" ref="G412:G417" si="685">F412-(F412*25%)</f>
        <v>2342.1937499999999</v>
      </c>
      <c r="H412" s="54">
        <f t="shared" ref="H412:H417" si="686">D412*50%</f>
        <v>1040.9749999999999</v>
      </c>
      <c r="I412" s="55">
        <f t="shared" ref="I412:I417" si="687">D412+(H412*2)</f>
        <v>4163.8999999999996</v>
      </c>
      <c r="J412" s="56">
        <f t="shared" ref="J412:J417" si="688">I412-(I412*25%)</f>
        <v>3122.9249999999997</v>
      </c>
      <c r="K412" s="108">
        <f t="shared" ref="K412:K417" si="689">I412/C412</f>
        <v>228.66007688083468</v>
      </c>
      <c r="L412" s="194" t="s">
        <v>2005</v>
      </c>
      <c r="M412" s="304"/>
    </row>
    <row r="413" spans="1:13" ht="15.75" customHeight="1" x14ac:dyDescent="0.25">
      <c r="A413" s="49" t="s">
        <v>460</v>
      </c>
      <c r="B413" s="50" t="s">
        <v>1671</v>
      </c>
      <c r="C413" s="47">
        <v>23.1</v>
      </c>
      <c r="D413" s="52">
        <v>3366.59</v>
      </c>
      <c r="E413" s="53">
        <f t="shared" si="683"/>
        <v>1683.2950000000001</v>
      </c>
      <c r="F413" s="41">
        <f t="shared" si="684"/>
        <v>5049.8850000000002</v>
      </c>
      <c r="G413" s="53">
        <f t="shared" si="685"/>
        <v>3787.4137500000002</v>
      </c>
      <c r="H413" s="54">
        <f t="shared" si="686"/>
        <v>1683.2950000000001</v>
      </c>
      <c r="I413" s="55">
        <f t="shared" si="687"/>
        <v>6733.18</v>
      </c>
      <c r="J413" s="56">
        <f t="shared" si="688"/>
        <v>5049.8850000000002</v>
      </c>
      <c r="K413" s="108">
        <f t="shared" si="689"/>
        <v>291.47965367965367</v>
      </c>
      <c r="L413" s="194" t="s">
        <v>1991</v>
      </c>
      <c r="M413" s="304"/>
    </row>
    <row r="414" spans="1:13" ht="15.75" customHeight="1" x14ac:dyDescent="0.25">
      <c r="A414" s="49" t="s">
        <v>461</v>
      </c>
      <c r="B414" s="50" t="s">
        <v>1345</v>
      </c>
      <c r="C414" s="47">
        <v>20.09</v>
      </c>
      <c r="D414" s="52">
        <v>2296.89</v>
      </c>
      <c r="E414" s="53">
        <f t="shared" si="683"/>
        <v>1148.4449999999999</v>
      </c>
      <c r="F414" s="41">
        <f t="shared" si="684"/>
        <v>3445.335</v>
      </c>
      <c r="G414" s="53">
        <f t="shared" si="685"/>
        <v>2584.0012500000003</v>
      </c>
      <c r="H414" s="54">
        <f t="shared" si="686"/>
        <v>1148.4449999999999</v>
      </c>
      <c r="I414" s="55">
        <f t="shared" si="687"/>
        <v>4593.78</v>
      </c>
      <c r="J414" s="56">
        <f t="shared" si="688"/>
        <v>3445.335</v>
      </c>
      <c r="K414" s="108">
        <f t="shared" si="689"/>
        <v>228.66002986560477</v>
      </c>
      <c r="L414" s="194" t="s">
        <v>1991</v>
      </c>
      <c r="M414" s="304"/>
    </row>
    <row r="415" spans="1:13" ht="15.75" customHeight="1" x14ac:dyDescent="0.25">
      <c r="A415" s="49" t="s">
        <v>462</v>
      </c>
      <c r="B415" s="50" t="s">
        <v>2291</v>
      </c>
      <c r="C415" s="47">
        <v>25.83</v>
      </c>
      <c r="D415" s="52">
        <v>3972.7</v>
      </c>
      <c r="E415" s="53">
        <f t="shared" si="683"/>
        <v>1986.35</v>
      </c>
      <c r="F415" s="41">
        <f t="shared" si="684"/>
        <v>5959.0499999999993</v>
      </c>
      <c r="G415" s="53">
        <f t="shared" si="685"/>
        <v>4469.2874999999995</v>
      </c>
      <c r="H415" s="54">
        <f t="shared" si="686"/>
        <v>1986.35</v>
      </c>
      <c r="I415" s="55">
        <f t="shared" si="687"/>
        <v>7945.4</v>
      </c>
      <c r="J415" s="56">
        <f t="shared" si="688"/>
        <v>5959.0499999999993</v>
      </c>
      <c r="K415" s="108">
        <f t="shared" si="689"/>
        <v>307.60356174990324</v>
      </c>
      <c r="L415" s="194" t="s">
        <v>1991</v>
      </c>
      <c r="M415" s="304"/>
    </row>
    <row r="416" spans="1:13" ht="15.75" customHeight="1" x14ac:dyDescent="0.25">
      <c r="A416" s="49" t="s">
        <v>463</v>
      </c>
      <c r="B416" s="50" t="s">
        <v>1345</v>
      </c>
      <c r="C416" s="47">
        <v>25.83</v>
      </c>
      <c r="D416" s="47">
        <v>3972.7</v>
      </c>
      <c r="E416" s="53">
        <f t="shared" si="683"/>
        <v>1986.35</v>
      </c>
      <c r="F416" s="41">
        <f t="shared" si="684"/>
        <v>5959.0499999999993</v>
      </c>
      <c r="G416" s="53">
        <f t="shared" si="685"/>
        <v>4469.2874999999995</v>
      </c>
      <c r="H416" s="54">
        <f t="shared" si="686"/>
        <v>1986.35</v>
      </c>
      <c r="I416" s="55">
        <f t="shared" si="687"/>
        <v>7945.4</v>
      </c>
      <c r="J416" s="56">
        <f t="shared" si="688"/>
        <v>5959.0499999999993</v>
      </c>
      <c r="K416" s="108">
        <f t="shared" si="689"/>
        <v>307.60356174990324</v>
      </c>
      <c r="L416" s="194" t="s">
        <v>1991</v>
      </c>
      <c r="M416" s="304"/>
    </row>
    <row r="417" spans="1:13" ht="15.75" customHeight="1" x14ac:dyDescent="0.25">
      <c r="A417" s="49" t="s">
        <v>464</v>
      </c>
      <c r="B417" s="50" t="s">
        <v>465</v>
      </c>
      <c r="C417" s="47">
        <v>32.42</v>
      </c>
      <c r="D417" s="47">
        <v>5453.29</v>
      </c>
      <c r="E417" s="53">
        <f t="shared" si="683"/>
        <v>2726.645</v>
      </c>
      <c r="F417" s="41">
        <f t="shared" si="684"/>
        <v>8179.9349999999995</v>
      </c>
      <c r="G417" s="53">
        <f t="shared" si="685"/>
        <v>6134.9512500000001</v>
      </c>
      <c r="H417" s="54">
        <f t="shared" si="686"/>
        <v>2726.645</v>
      </c>
      <c r="I417" s="55">
        <f t="shared" si="687"/>
        <v>10906.58</v>
      </c>
      <c r="J417" s="56">
        <f t="shared" si="688"/>
        <v>8179.9349999999995</v>
      </c>
      <c r="K417" s="108">
        <f t="shared" si="689"/>
        <v>336.41517581739663</v>
      </c>
      <c r="L417" s="276" t="s">
        <v>2164</v>
      </c>
      <c r="M417" s="304"/>
    </row>
    <row r="418" spans="1:13" ht="15.75" customHeight="1" x14ac:dyDescent="0.25">
      <c r="A418" s="65"/>
      <c r="B418" s="65"/>
      <c r="C418" s="57"/>
      <c r="D418" s="57"/>
      <c r="E418" s="57"/>
      <c r="F418" s="47"/>
      <c r="G418" s="57"/>
      <c r="H418" s="58"/>
      <c r="I418" s="199"/>
      <c r="J418" s="59"/>
      <c r="K418" s="108"/>
      <c r="L418" s="194"/>
      <c r="M418" s="304"/>
    </row>
    <row r="419" spans="1:13" ht="15.75" customHeight="1" x14ac:dyDescent="0.25">
      <c r="A419" s="49" t="s">
        <v>466</v>
      </c>
      <c r="B419" s="50" t="s">
        <v>1433</v>
      </c>
      <c r="C419" s="47">
        <v>20.010000000000002</v>
      </c>
      <c r="D419" s="52">
        <v>2602.1550000000002</v>
      </c>
      <c r="E419" s="53">
        <f t="shared" ref="E419:E422" si="690">D419*50%</f>
        <v>1301.0775000000001</v>
      </c>
      <c r="F419" s="41">
        <f t="shared" ref="F419:F422" si="691">D419+E419</f>
        <v>3903.2325000000001</v>
      </c>
      <c r="G419" s="53">
        <f t="shared" ref="G419:G422" si="692">F419-(F419*25%)</f>
        <v>2927.4243750000001</v>
      </c>
      <c r="H419" s="54">
        <f t="shared" ref="H419:H422" si="693">D419*50%</f>
        <v>1301.0775000000001</v>
      </c>
      <c r="I419" s="55">
        <f t="shared" ref="I419:I422" si="694">D419+(H419*2)</f>
        <v>5204.3100000000004</v>
      </c>
      <c r="J419" s="56">
        <f t="shared" ref="J419:J422" si="695">I419-(I419*25%)</f>
        <v>3903.2325000000001</v>
      </c>
      <c r="K419" s="108">
        <f t="shared" ref="K419:K422" si="696">I419/C419</f>
        <v>260.08545727136431</v>
      </c>
      <c r="L419" s="194" t="s">
        <v>1978</v>
      </c>
      <c r="M419" s="304"/>
    </row>
    <row r="420" spans="1:13" ht="15.75" customHeight="1" x14ac:dyDescent="0.25">
      <c r="A420" s="49" t="s">
        <v>467</v>
      </c>
      <c r="B420" s="50" t="s">
        <v>1433</v>
      </c>
      <c r="C420" s="47">
        <v>20.010000000000002</v>
      </c>
      <c r="D420" s="47">
        <v>2602.1550000000002</v>
      </c>
      <c r="E420" s="53">
        <f t="shared" si="690"/>
        <v>1301.0775000000001</v>
      </c>
      <c r="F420" s="41">
        <f t="shared" si="691"/>
        <v>3903.2325000000001</v>
      </c>
      <c r="G420" s="53">
        <f t="shared" si="692"/>
        <v>2927.4243750000001</v>
      </c>
      <c r="H420" s="54">
        <f t="shared" si="693"/>
        <v>1301.0775000000001</v>
      </c>
      <c r="I420" s="55">
        <f t="shared" si="694"/>
        <v>5204.3100000000004</v>
      </c>
      <c r="J420" s="56">
        <f t="shared" si="695"/>
        <v>3903.2325000000001</v>
      </c>
      <c r="K420" s="108">
        <f t="shared" si="696"/>
        <v>260.08545727136431</v>
      </c>
      <c r="L420" s="194" t="s">
        <v>1978</v>
      </c>
      <c r="M420" s="304"/>
    </row>
    <row r="421" spans="1:13" ht="15.75" customHeight="1" x14ac:dyDescent="0.25">
      <c r="A421" s="49" t="s">
        <v>468</v>
      </c>
      <c r="B421" s="50" t="s">
        <v>1671</v>
      </c>
      <c r="C421" s="47">
        <v>14.77</v>
      </c>
      <c r="D421" s="52">
        <v>1688.65</v>
      </c>
      <c r="E421" s="53">
        <f t="shared" si="690"/>
        <v>844.32500000000005</v>
      </c>
      <c r="F421" s="41">
        <f t="shared" si="691"/>
        <v>2532.9750000000004</v>
      </c>
      <c r="G421" s="53">
        <f t="shared" si="692"/>
        <v>1899.7312500000003</v>
      </c>
      <c r="H421" s="54">
        <f t="shared" si="693"/>
        <v>844.32500000000005</v>
      </c>
      <c r="I421" s="55">
        <f t="shared" si="694"/>
        <v>3377.3</v>
      </c>
      <c r="J421" s="56">
        <f t="shared" si="695"/>
        <v>2532.9750000000004</v>
      </c>
      <c r="K421" s="108">
        <f t="shared" si="696"/>
        <v>228.65944482058228</v>
      </c>
      <c r="L421" s="194" t="s">
        <v>1991</v>
      </c>
      <c r="M421" s="304"/>
    </row>
    <row r="422" spans="1:13" ht="15.75" customHeight="1" x14ac:dyDescent="0.25">
      <c r="A422" s="49" t="s">
        <v>469</v>
      </c>
      <c r="B422" s="50"/>
      <c r="C422" s="47">
        <v>23.1</v>
      </c>
      <c r="D422" s="52">
        <v>3366.59</v>
      </c>
      <c r="E422" s="53">
        <f t="shared" si="690"/>
        <v>1683.2950000000001</v>
      </c>
      <c r="F422" s="41">
        <f t="shared" si="691"/>
        <v>5049.8850000000002</v>
      </c>
      <c r="G422" s="53">
        <f t="shared" si="692"/>
        <v>3787.4137500000002</v>
      </c>
      <c r="H422" s="54">
        <f t="shared" si="693"/>
        <v>1683.2950000000001</v>
      </c>
      <c r="I422" s="55">
        <f t="shared" si="694"/>
        <v>6733.18</v>
      </c>
      <c r="J422" s="56">
        <f t="shared" si="695"/>
        <v>5049.8850000000002</v>
      </c>
      <c r="K422" s="108">
        <f t="shared" si="696"/>
        <v>291.47965367965367</v>
      </c>
      <c r="L422" s="194"/>
      <c r="M422" s="304"/>
    </row>
    <row r="423" spans="1:13" ht="15.75" customHeight="1" x14ac:dyDescent="0.25">
      <c r="A423" s="65"/>
      <c r="B423" s="65"/>
      <c r="C423" s="57"/>
      <c r="D423" s="57"/>
      <c r="E423" s="57"/>
      <c r="F423" s="47"/>
      <c r="G423" s="57"/>
      <c r="H423" s="58"/>
      <c r="I423" s="199"/>
      <c r="J423" s="59"/>
      <c r="K423" s="108"/>
      <c r="L423" s="194"/>
      <c r="M423" s="304"/>
    </row>
    <row r="424" spans="1:13" x14ac:dyDescent="0.25">
      <c r="A424" s="49" t="s">
        <v>470</v>
      </c>
      <c r="B424" s="50" t="s">
        <v>1714</v>
      </c>
      <c r="C424" s="47">
        <v>13.23</v>
      </c>
      <c r="D424" s="52">
        <v>1777.875</v>
      </c>
      <c r="E424" s="53">
        <f t="shared" ref="E424:E431" si="697">D424*50%</f>
        <v>888.9375</v>
      </c>
      <c r="F424" s="41">
        <f t="shared" ref="F424:F431" si="698">D424+E424</f>
        <v>2666.8125</v>
      </c>
      <c r="G424" s="53">
        <f t="shared" ref="G424:G431" si="699">F424-(F424*25%)</f>
        <v>2000.109375</v>
      </c>
      <c r="H424" s="54">
        <f t="shared" ref="H424:H431" si="700">D424*50%</f>
        <v>888.9375</v>
      </c>
      <c r="I424" s="55">
        <f t="shared" ref="I424:I431" si="701">D424+(H424*2)</f>
        <v>3555.75</v>
      </c>
      <c r="J424" s="56">
        <f t="shared" ref="J424:J431" si="702">I424-(I424*25%)</f>
        <v>2666.8125</v>
      </c>
      <c r="K424" s="108">
        <f t="shared" ref="K424:K431" si="703">I424/C424</f>
        <v>268.7641723356009</v>
      </c>
      <c r="L424" s="194" t="s">
        <v>2165</v>
      </c>
      <c r="M424" s="304"/>
    </row>
    <row r="425" spans="1:13" ht="15.75" customHeight="1" x14ac:dyDescent="0.25">
      <c r="A425" s="49" t="s">
        <v>471</v>
      </c>
      <c r="B425" s="50" t="s">
        <v>2035</v>
      </c>
      <c r="C425" s="47">
        <v>9.9</v>
      </c>
      <c r="D425" s="52">
        <v>1386.39</v>
      </c>
      <c r="E425" s="53">
        <f t="shared" si="697"/>
        <v>693.19500000000005</v>
      </c>
      <c r="F425" s="41">
        <f t="shared" si="698"/>
        <v>2079.585</v>
      </c>
      <c r="G425" s="53">
        <f t="shared" si="699"/>
        <v>1559.68875</v>
      </c>
      <c r="H425" s="54">
        <f t="shared" si="700"/>
        <v>693.19500000000005</v>
      </c>
      <c r="I425" s="55">
        <f t="shared" si="701"/>
        <v>2772.78</v>
      </c>
      <c r="J425" s="56">
        <f t="shared" si="702"/>
        <v>2079.585</v>
      </c>
      <c r="K425" s="108">
        <f t="shared" si="703"/>
        <v>280.07878787878786</v>
      </c>
      <c r="L425" s="194" t="s">
        <v>2166</v>
      </c>
      <c r="M425" s="304" t="s">
        <v>2307</v>
      </c>
    </row>
    <row r="426" spans="1:13" ht="15.75" customHeight="1" x14ac:dyDescent="0.25">
      <c r="A426" s="49" t="s">
        <v>472</v>
      </c>
      <c r="B426" s="50" t="s">
        <v>1814</v>
      </c>
      <c r="C426" s="47">
        <v>9.9</v>
      </c>
      <c r="D426" s="52">
        <v>1386.39</v>
      </c>
      <c r="E426" s="53">
        <f t="shared" si="697"/>
        <v>693.19500000000005</v>
      </c>
      <c r="F426" s="41">
        <f t="shared" si="698"/>
        <v>2079.585</v>
      </c>
      <c r="G426" s="53">
        <f t="shared" si="699"/>
        <v>1559.68875</v>
      </c>
      <c r="H426" s="54">
        <f t="shared" si="700"/>
        <v>693.19500000000005</v>
      </c>
      <c r="I426" s="55">
        <f t="shared" si="701"/>
        <v>2772.78</v>
      </c>
      <c r="J426" s="56">
        <f t="shared" si="702"/>
        <v>2079.585</v>
      </c>
      <c r="K426" s="108">
        <f t="shared" si="703"/>
        <v>280.07878787878786</v>
      </c>
      <c r="L426" s="194" t="s">
        <v>1981</v>
      </c>
      <c r="M426" s="304" t="s">
        <v>2307</v>
      </c>
    </row>
    <row r="427" spans="1:13" ht="15.75" customHeight="1" x14ac:dyDescent="0.25">
      <c r="A427" s="49" t="s">
        <v>473</v>
      </c>
      <c r="B427" s="50" t="s">
        <v>1804</v>
      </c>
      <c r="C427" s="47">
        <v>7.95</v>
      </c>
      <c r="D427" s="52">
        <v>522.25699999999995</v>
      </c>
      <c r="E427" s="53">
        <f t="shared" si="697"/>
        <v>261.12849999999997</v>
      </c>
      <c r="F427" s="41">
        <f t="shared" si="698"/>
        <v>783.38549999999987</v>
      </c>
      <c r="G427" s="53">
        <f t="shared" si="699"/>
        <v>587.5391249999999</v>
      </c>
      <c r="H427" s="54">
        <f t="shared" si="700"/>
        <v>261.12849999999997</v>
      </c>
      <c r="I427" s="55">
        <f t="shared" si="701"/>
        <v>1044.5139999999999</v>
      </c>
      <c r="J427" s="56">
        <f t="shared" si="702"/>
        <v>783.38549999999987</v>
      </c>
      <c r="K427" s="108">
        <f t="shared" si="703"/>
        <v>131.38540880503143</v>
      </c>
      <c r="L427" s="194" t="s">
        <v>1981</v>
      </c>
      <c r="M427" s="304" t="s">
        <v>2307</v>
      </c>
    </row>
    <row r="428" spans="1:13" x14ac:dyDescent="0.25">
      <c r="A428" s="49" t="s">
        <v>474</v>
      </c>
      <c r="B428" s="50" t="s">
        <v>1714</v>
      </c>
      <c r="C428" s="47">
        <v>13.24</v>
      </c>
      <c r="D428" s="52">
        <v>1777.875</v>
      </c>
      <c r="E428" s="53">
        <f t="shared" si="697"/>
        <v>888.9375</v>
      </c>
      <c r="F428" s="41">
        <f t="shared" si="698"/>
        <v>2666.8125</v>
      </c>
      <c r="G428" s="53">
        <f t="shared" si="699"/>
        <v>2000.109375</v>
      </c>
      <c r="H428" s="54">
        <f t="shared" si="700"/>
        <v>888.9375</v>
      </c>
      <c r="I428" s="55">
        <f t="shared" si="701"/>
        <v>3555.75</v>
      </c>
      <c r="J428" s="56">
        <f t="shared" si="702"/>
        <v>2666.8125</v>
      </c>
      <c r="K428" s="108">
        <f t="shared" si="703"/>
        <v>268.56117824773412</v>
      </c>
      <c r="L428" s="194" t="s">
        <v>2165</v>
      </c>
      <c r="M428" s="304" t="s">
        <v>2307</v>
      </c>
    </row>
    <row r="429" spans="1:13" x14ac:dyDescent="0.25">
      <c r="A429" s="49" t="s">
        <v>475</v>
      </c>
      <c r="B429" s="50" t="s">
        <v>1714</v>
      </c>
      <c r="C429" s="47">
        <v>13.24</v>
      </c>
      <c r="D429" s="52">
        <v>1777.875</v>
      </c>
      <c r="E429" s="53">
        <f t="shared" si="697"/>
        <v>888.9375</v>
      </c>
      <c r="F429" s="41">
        <f t="shared" si="698"/>
        <v>2666.8125</v>
      </c>
      <c r="G429" s="53">
        <f t="shared" si="699"/>
        <v>2000.109375</v>
      </c>
      <c r="H429" s="54">
        <f t="shared" si="700"/>
        <v>888.9375</v>
      </c>
      <c r="I429" s="55">
        <f t="shared" si="701"/>
        <v>3555.75</v>
      </c>
      <c r="J429" s="56">
        <f t="shared" si="702"/>
        <v>2666.8125</v>
      </c>
      <c r="K429" s="108">
        <f t="shared" si="703"/>
        <v>268.56117824773412</v>
      </c>
      <c r="L429" s="194" t="s">
        <v>2165</v>
      </c>
      <c r="M429" s="304" t="s">
        <v>2307</v>
      </c>
    </row>
    <row r="430" spans="1:13" x14ac:dyDescent="0.25">
      <c r="A430" s="49" t="s">
        <v>476</v>
      </c>
      <c r="B430" s="50" t="s">
        <v>1714</v>
      </c>
      <c r="C430" s="47">
        <v>13.24</v>
      </c>
      <c r="D430" s="52">
        <v>1777.875</v>
      </c>
      <c r="E430" s="53">
        <f t="shared" si="697"/>
        <v>888.9375</v>
      </c>
      <c r="F430" s="41">
        <f t="shared" si="698"/>
        <v>2666.8125</v>
      </c>
      <c r="G430" s="53">
        <f t="shared" si="699"/>
        <v>2000.109375</v>
      </c>
      <c r="H430" s="54">
        <f t="shared" si="700"/>
        <v>888.9375</v>
      </c>
      <c r="I430" s="55">
        <f t="shared" si="701"/>
        <v>3555.75</v>
      </c>
      <c r="J430" s="56">
        <f t="shared" si="702"/>
        <v>2666.8125</v>
      </c>
      <c r="K430" s="108">
        <f t="shared" si="703"/>
        <v>268.56117824773412</v>
      </c>
      <c r="L430" s="194" t="s">
        <v>2165</v>
      </c>
      <c r="M430" s="304" t="s">
        <v>2307</v>
      </c>
    </row>
    <row r="431" spans="1:13" ht="15.75" customHeight="1" x14ac:dyDescent="0.25">
      <c r="A431" s="49" t="s">
        <v>477</v>
      </c>
      <c r="B431" s="50" t="s">
        <v>1803</v>
      </c>
      <c r="C431" s="47">
        <v>7.95</v>
      </c>
      <c r="D431" s="47">
        <v>522.25699999999995</v>
      </c>
      <c r="E431" s="53">
        <f t="shared" si="697"/>
        <v>261.12849999999997</v>
      </c>
      <c r="F431" s="41">
        <f t="shared" si="698"/>
        <v>783.38549999999987</v>
      </c>
      <c r="G431" s="53">
        <f t="shared" si="699"/>
        <v>587.5391249999999</v>
      </c>
      <c r="H431" s="54">
        <f t="shared" si="700"/>
        <v>261.12849999999997</v>
      </c>
      <c r="I431" s="55">
        <f t="shared" si="701"/>
        <v>1044.5139999999999</v>
      </c>
      <c r="J431" s="56">
        <f t="shared" si="702"/>
        <v>783.38549999999987</v>
      </c>
      <c r="K431" s="108">
        <f t="shared" si="703"/>
        <v>131.38540880503143</v>
      </c>
      <c r="L431" s="194" t="s">
        <v>1981</v>
      </c>
      <c r="M431" s="304" t="s">
        <v>2307</v>
      </c>
    </row>
    <row r="432" spans="1:13" ht="15.75" customHeight="1" x14ac:dyDescent="0.25">
      <c r="A432" s="49"/>
      <c r="B432" s="50"/>
      <c r="C432" s="47"/>
      <c r="D432" s="52"/>
      <c r="E432" s="57"/>
      <c r="F432" s="47"/>
      <c r="G432" s="57"/>
      <c r="H432" s="58"/>
      <c r="I432" s="199"/>
      <c r="J432" s="59"/>
      <c r="K432" s="108"/>
      <c r="L432" s="194"/>
      <c r="M432" s="304"/>
    </row>
    <row r="433" spans="1:13" ht="15.75" customHeight="1" x14ac:dyDescent="0.25">
      <c r="A433" s="49" t="s">
        <v>478</v>
      </c>
      <c r="B433" s="50" t="s">
        <v>479</v>
      </c>
      <c r="C433" s="47">
        <v>18.399999999999999</v>
      </c>
      <c r="D433" s="52">
        <v>2681.61</v>
      </c>
      <c r="E433" s="53">
        <f t="shared" ref="E433:E450" si="704">D433*50%</f>
        <v>1340.8050000000001</v>
      </c>
      <c r="F433" s="41">
        <f t="shared" ref="F433:F440" si="705">D433+E433</f>
        <v>4022.415</v>
      </c>
      <c r="G433" s="53">
        <f t="shared" ref="G433:G440" si="706">F433-(F433*25%)</f>
        <v>3016.8112499999997</v>
      </c>
      <c r="H433" s="54">
        <f t="shared" ref="H433:H440" si="707">D433*50%</f>
        <v>1340.8050000000001</v>
      </c>
      <c r="I433" s="55">
        <f t="shared" ref="I433:I440" si="708">D433+(H433*2)</f>
        <v>5363.22</v>
      </c>
      <c r="J433" s="56">
        <f t="shared" ref="J433:J440" si="709">I433-(I433*25%)</f>
        <v>4022.415</v>
      </c>
      <c r="K433" s="108">
        <f t="shared" ref="K433:K440" si="710">I433/C433</f>
        <v>291.47934782608701</v>
      </c>
      <c r="L433" s="194" t="s">
        <v>2167</v>
      </c>
      <c r="M433" s="304" t="s">
        <v>2307</v>
      </c>
    </row>
    <row r="434" spans="1:13" ht="15.75" customHeight="1" x14ac:dyDescent="0.25">
      <c r="A434" s="49" t="s">
        <v>480</v>
      </c>
      <c r="B434" s="50" t="s">
        <v>1717</v>
      </c>
      <c r="C434" s="47">
        <v>13.47</v>
      </c>
      <c r="D434" s="232">
        <v>1731.0150000000001</v>
      </c>
      <c r="E434" s="53">
        <f t="shared" si="704"/>
        <v>865.50750000000005</v>
      </c>
      <c r="F434" s="41">
        <f t="shared" si="705"/>
        <v>2596.5225</v>
      </c>
      <c r="G434" s="53">
        <f t="shared" si="706"/>
        <v>1947.391875</v>
      </c>
      <c r="H434" s="54">
        <f t="shared" si="707"/>
        <v>865.50750000000005</v>
      </c>
      <c r="I434" s="55">
        <f t="shared" si="708"/>
        <v>3462.03</v>
      </c>
      <c r="J434" s="56">
        <f t="shared" si="709"/>
        <v>2596.5225</v>
      </c>
      <c r="K434" s="108">
        <f t="shared" si="710"/>
        <v>257.01781737193767</v>
      </c>
      <c r="L434" s="194" t="s">
        <v>1991</v>
      </c>
      <c r="M434" s="304" t="s">
        <v>2307</v>
      </c>
    </row>
    <row r="435" spans="1:13" ht="15.75" customHeight="1" x14ac:dyDescent="0.25">
      <c r="A435" s="49" t="s">
        <v>481</v>
      </c>
      <c r="B435" s="50" t="s">
        <v>1717</v>
      </c>
      <c r="C435" s="47">
        <v>13.47</v>
      </c>
      <c r="D435" s="232">
        <v>1731.0150000000001</v>
      </c>
      <c r="E435" s="53">
        <f t="shared" si="704"/>
        <v>865.50750000000005</v>
      </c>
      <c r="F435" s="41">
        <f t="shared" si="705"/>
        <v>2596.5225</v>
      </c>
      <c r="G435" s="53">
        <f t="shared" si="706"/>
        <v>1947.391875</v>
      </c>
      <c r="H435" s="54">
        <f t="shared" si="707"/>
        <v>865.50750000000005</v>
      </c>
      <c r="I435" s="55">
        <f t="shared" si="708"/>
        <v>3462.03</v>
      </c>
      <c r="J435" s="56">
        <f t="shared" si="709"/>
        <v>2596.5225</v>
      </c>
      <c r="K435" s="108">
        <f t="shared" si="710"/>
        <v>257.01781737193767</v>
      </c>
      <c r="L435" s="194" t="s">
        <v>1991</v>
      </c>
      <c r="M435" s="304" t="s">
        <v>2307</v>
      </c>
    </row>
    <row r="436" spans="1:13" ht="15.75" customHeight="1" x14ac:dyDescent="0.25">
      <c r="A436" s="49" t="s">
        <v>483</v>
      </c>
      <c r="B436" s="50" t="s">
        <v>1776</v>
      </c>
      <c r="C436" s="47">
        <v>12</v>
      </c>
      <c r="D436" s="52">
        <v>1553.4</v>
      </c>
      <c r="E436" s="53">
        <f t="shared" si="704"/>
        <v>776.7</v>
      </c>
      <c r="F436" s="41">
        <f t="shared" si="705"/>
        <v>2330.1000000000004</v>
      </c>
      <c r="G436" s="53">
        <f t="shared" si="706"/>
        <v>1747.5750000000003</v>
      </c>
      <c r="H436" s="54">
        <f t="shared" si="707"/>
        <v>776.7</v>
      </c>
      <c r="I436" s="55">
        <f t="shared" si="708"/>
        <v>3106.8</v>
      </c>
      <c r="J436" s="56">
        <f t="shared" si="709"/>
        <v>2330.1000000000004</v>
      </c>
      <c r="K436" s="108">
        <f t="shared" si="710"/>
        <v>258.90000000000003</v>
      </c>
      <c r="L436" s="194" t="s">
        <v>2167</v>
      </c>
      <c r="M436" s="304"/>
    </row>
    <row r="437" spans="1:13" ht="15.75" customHeight="1" x14ac:dyDescent="0.25">
      <c r="A437" s="49" t="s">
        <v>484</v>
      </c>
      <c r="B437" s="50" t="s">
        <v>482</v>
      </c>
      <c r="C437" s="47">
        <v>13.47</v>
      </c>
      <c r="D437" s="232">
        <v>1731.0150000000001</v>
      </c>
      <c r="E437" s="53">
        <f t="shared" si="704"/>
        <v>865.50750000000005</v>
      </c>
      <c r="F437" s="41">
        <f t="shared" si="705"/>
        <v>2596.5225</v>
      </c>
      <c r="G437" s="53">
        <f t="shared" si="706"/>
        <v>1947.391875</v>
      </c>
      <c r="H437" s="54">
        <f t="shared" si="707"/>
        <v>865.50750000000005</v>
      </c>
      <c r="I437" s="55">
        <f t="shared" si="708"/>
        <v>3462.03</v>
      </c>
      <c r="J437" s="56">
        <f t="shared" si="709"/>
        <v>2596.5225</v>
      </c>
      <c r="K437" s="108">
        <f t="shared" si="710"/>
        <v>257.01781737193767</v>
      </c>
      <c r="L437" s="194" t="s">
        <v>1991</v>
      </c>
      <c r="M437" s="304" t="s">
        <v>2307</v>
      </c>
    </row>
    <row r="438" spans="1:13" ht="15.75" customHeight="1" x14ac:dyDescent="0.25">
      <c r="A438" s="49" t="s">
        <v>485</v>
      </c>
      <c r="B438" s="50" t="s">
        <v>482</v>
      </c>
      <c r="C438" s="47">
        <v>13.47</v>
      </c>
      <c r="D438" s="232">
        <v>1731.0150000000001</v>
      </c>
      <c r="E438" s="53">
        <f t="shared" si="704"/>
        <v>865.50750000000005</v>
      </c>
      <c r="F438" s="41">
        <f t="shared" si="705"/>
        <v>2596.5225</v>
      </c>
      <c r="G438" s="53">
        <f t="shared" si="706"/>
        <v>1947.391875</v>
      </c>
      <c r="H438" s="54">
        <f t="shared" si="707"/>
        <v>865.50750000000005</v>
      </c>
      <c r="I438" s="55">
        <f t="shared" si="708"/>
        <v>3462.03</v>
      </c>
      <c r="J438" s="56">
        <f t="shared" si="709"/>
        <v>2596.5225</v>
      </c>
      <c r="K438" s="108">
        <f t="shared" si="710"/>
        <v>257.01781737193767</v>
      </c>
      <c r="L438" s="194" t="s">
        <v>1991</v>
      </c>
      <c r="M438" s="304" t="s">
        <v>2307</v>
      </c>
    </row>
    <row r="439" spans="1:13" ht="15.75" customHeight="1" x14ac:dyDescent="0.25">
      <c r="A439" s="49" t="s">
        <v>486</v>
      </c>
      <c r="B439" s="50" t="s">
        <v>2292</v>
      </c>
      <c r="C439" s="47">
        <v>12</v>
      </c>
      <c r="D439" s="52">
        <v>1472.4</v>
      </c>
      <c r="E439" s="53">
        <f t="shared" si="704"/>
        <v>736.2</v>
      </c>
      <c r="F439" s="41">
        <f t="shared" si="705"/>
        <v>2208.6000000000004</v>
      </c>
      <c r="G439" s="53">
        <f t="shared" si="706"/>
        <v>1656.4500000000003</v>
      </c>
      <c r="H439" s="54">
        <f t="shared" si="707"/>
        <v>736.2</v>
      </c>
      <c r="I439" s="55">
        <f t="shared" si="708"/>
        <v>2944.8</v>
      </c>
      <c r="J439" s="56">
        <f t="shared" si="709"/>
        <v>2208.6000000000004</v>
      </c>
      <c r="K439" s="108">
        <f t="shared" si="710"/>
        <v>245.4</v>
      </c>
      <c r="L439" s="194" t="s">
        <v>2167</v>
      </c>
      <c r="M439" s="304"/>
    </row>
    <row r="440" spans="1:13" ht="15.75" customHeight="1" x14ac:dyDescent="0.25">
      <c r="A440" s="49" t="s">
        <v>487</v>
      </c>
      <c r="B440" s="50" t="s">
        <v>1425</v>
      </c>
      <c r="C440" s="47">
        <v>12</v>
      </c>
      <c r="D440" s="52">
        <v>1553.4</v>
      </c>
      <c r="E440" s="53">
        <f t="shared" si="704"/>
        <v>776.7</v>
      </c>
      <c r="F440" s="41">
        <f t="shared" si="705"/>
        <v>2330.1000000000004</v>
      </c>
      <c r="G440" s="53">
        <f t="shared" si="706"/>
        <v>1747.5750000000003</v>
      </c>
      <c r="H440" s="54">
        <f t="shared" si="707"/>
        <v>776.7</v>
      </c>
      <c r="I440" s="55">
        <f t="shared" si="708"/>
        <v>3106.8</v>
      </c>
      <c r="J440" s="56">
        <f t="shared" si="709"/>
        <v>2330.1000000000004</v>
      </c>
      <c r="K440" s="108">
        <f t="shared" si="710"/>
        <v>258.90000000000003</v>
      </c>
      <c r="L440" s="194" t="s">
        <v>2167</v>
      </c>
      <c r="M440" s="304" t="s">
        <v>2307</v>
      </c>
    </row>
    <row r="441" spans="1:13" ht="15.75" customHeight="1" x14ac:dyDescent="0.25">
      <c r="A441" s="49"/>
      <c r="B441" s="50"/>
      <c r="C441" s="47"/>
      <c r="D441" s="52"/>
      <c r="E441" s="57"/>
      <c r="F441" s="47"/>
      <c r="G441" s="57"/>
      <c r="H441" s="58"/>
      <c r="I441" s="199"/>
      <c r="J441" s="59"/>
      <c r="K441" s="108"/>
      <c r="L441" s="194"/>
      <c r="M441" s="304"/>
    </row>
    <row r="442" spans="1:13" ht="15.75" customHeight="1" x14ac:dyDescent="0.25">
      <c r="A442" s="49" t="s">
        <v>488</v>
      </c>
      <c r="B442" s="50" t="s">
        <v>1517</v>
      </c>
      <c r="C442" s="47">
        <v>15.27</v>
      </c>
      <c r="D442" s="52">
        <v>2225.44</v>
      </c>
      <c r="E442" s="53">
        <f t="shared" si="704"/>
        <v>1112.72</v>
      </c>
      <c r="F442" s="41">
        <f t="shared" ref="F442:F450" si="711">D442+E442</f>
        <v>3338.16</v>
      </c>
      <c r="G442" s="53">
        <f t="shared" ref="G442:G450" si="712">F442-(F442*25%)</f>
        <v>2503.62</v>
      </c>
      <c r="H442" s="54">
        <f t="shared" ref="H442:H450" si="713">D442*50%</f>
        <v>1112.72</v>
      </c>
      <c r="I442" s="55">
        <f t="shared" ref="I442:I450" si="714">D442+(H442*2)</f>
        <v>4450.88</v>
      </c>
      <c r="J442" s="56">
        <f t="shared" ref="J442:J450" si="715">I442-(I442*25%)</f>
        <v>3338.16</v>
      </c>
      <c r="K442" s="108">
        <f t="shared" ref="K442:K450" si="716">I442/C442</f>
        <v>291.47871643745907</v>
      </c>
      <c r="L442" s="194" t="s">
        <v>2167</v>
      </c>
      <c r="M442" s="304" t="s">
        <v>2307</v>
      </c>
    </row>
    <row r="443" spans="1:13" ht="15.75" customHeight="1" x14ac:dyDescent="0.25">
      <c r="A443" s="49" t="s">
        <v>489</v>
      </c>
      <c r="B443" s="50" t="s">
        <v>1681</v>
      </c>
      <c r="C443" s="47">
        <v>15.28</v>
      </c>
      <c r="D443" s="232">
        <v>2223.2649999999999</v>
      </c>
      <c r="E443" s="53">
        <f t="shared" si="704"/>
        <v>1111.6324999999999</v>
      </c>
      <c r="F443" s="41">
        <f t="shared" si="711"/>
        <v>3334.8975</v>
      </c>
      <c r="G443" s="53">
        <f t="shared" si="712"/>
        <v>2501.1731250000003</v>
      </c>
      <c r="H443" s="54">
        <f t="shared" si="713"/>
        <v>1111.6324999999999</v>
      </c>
      <c r="I443" s="55">
        <f t="shared" si="714"/>
        <v>4446.53</v>
      </c>
      <c r="J443" s="56">
        <f t="shared" si="715"/>
        <v>3334.8975</v>
      </c>
      <c r="K443" s="108">
        <f t="shared" si="716"/>
        <v>291.00327225130889</v>
      </c>
      <c r="L443" s="194" t="s">
        <v>2167</v>
      </c>
      <c r="M443" s="304" t="s">
        <v>2307</v>
      </c>
    </row>
    <row r="444" spans="1:13" ht="15.75" customHeight="1" x14ac:dyDescent="0.25">
      <c r="A444" s="49" t="s">
        <v>490</v>
      </c>
      <c r="B444" s="50" t="s">
        <v>491</v>
      </c>
      <c r="C444" s="47">
        <v>15.29</v>
      </c>
      <c r="D444" s="233">
        <v>2223.2649999999999</v>
      </c>
      <c r="E444" s="53">
        <f t="shared" si="704"/>
        <v>1111.6324999999999</v>
      </c>
      <c r="F444" s="41">
        <f t="shared" si="711"/>
        <v>3334.8975</v>
      </c>
      <c r="G444" s="53">
        <f t="shared" si="712"/>
        <v>2501.1731250000003</v>
      </c>
      <c r="H444" s="54">
        <f t="shared" si="713"/>
        <v>1111.6324999999999</v>
      </c>
      <c r="I444" s="55">
        <f t="shared" si="714"/>
        <v>4446.53</v>
      </c>
      <c r="J444" s="56">
        <f t="shared" si="715"/>
        <v>3334.8975</v>
      </c>
      <c r="K444" s="108">
        <f t="shared" si="716"/>
        <v>290.8129496402878</v>
      </c>
      <c r="L444" s="194" t="s">
        <v>2167</v>
      </c>
      <c r="M444" s="304" t="s">
        <v>2307</v>
      </c>
    </row>
    <row r="445" spans="1:13" ht="15.75" customHeight="1" x14ac:dyDescent="0.25">
      <c r="A445" s="49" t="s">
        <v>492</v>
      </c>
      <c r="B445" s="50" t="s">
        <v>1518</v>
      </c>
      <c r="C445" s="47">
        <v>9.6</v>
      </c>
      <c r="D445" s="52">
        <v>564.41999999999996</v>
      </c>
      <c r="E445" s="53">
        <f t="shared" si="704"/>
        <v>282.20999999999998</v>
      </c>
      <c r="F445" s="41">
        <f t="shared" si="711"/>
        <v>846.62999999999988</v>
      </c>
      <c r="G445" s="53">
        <f t="shared" si="712"/>
        <v>634.97249999999985</v>
      </c>
      <c r="H445" s="54">
        <f t="shared" si="713"/>
        <v>282.20999999999998</v>
      </c>
      <c r="I445" s="55">
        <f t="shared" si="714"/>
        <v>1128.8399999999999</v>
      </c>
      <c r="J445" s="56">
        <f t="shared" si="715"/>
        <v>846.62999999999988</v>
      </c>
      <c r="K445" s="108">
        <f t="shared" si="716"/>
        <v>117.58749999999999</v>
      </c>
      <c r="L445" s="194" t="s">
        <v>2167</v>
      </c>
      <c r="M445" s="304" t="s">
        <v>2307</v>
      </c>
    </row>
    <row r="446" spans="1:13" ht="15.75" customHeight="1" x14ac:dyDescent="0.25">
      <c r="A446" s="49" t="s">
        <v>493</v>
      </c>
      <c r="B446" s="50" t="s">
        <v>2263</v>
      </c>
      <c r="C446" s="47">
        <v>4.5999999999999996</v>
      </c>
      <c r="D446" s="52">
        <v>564.41999999999996</v>
      </c>
      <c r="E446" s="53">
        <f t="shared" si="704"/>
        <v>282.20999999999998</v>
      </c>
      <c r="F446" s="41">
        <f t="shared" si="711"/>
        <v>846.62999999999988</v>
      </c>
      <c r="G446" s="53">
        <f t="shared" si="712"/>
        <v>634.97249999999985</v>
      </c>
      <c r="H446" s="54">
        <f t="shared" si="713"/>
        <v>282.20999999999998</v>
      </c>
      <c r="I446" s="55">
        <f t="shared" si="714"/>
        <v>1128.8399999999999</v>
      </c>
      <c r="J446" s="56">
        <f t="shared" si="715"/>
        <v>846.62999999999988</v>
      </c>
      <c r="K446" s="108">
        <f t="shared" si="716"/>
        <v>245.4</v>
      </c>
      <c r="L446" s="194" t="s">
        <v>2167</v>
      </c>
      <c r="M446" s="304" t="s">
        <v>2307</v>
      </c>
    </row>
    <row r="447" spans="1:13" ht="15.75" customHeight="1" x14ac:dyDescent="0.25">
      <c r="A447" s="49" t="s">
        <v>494</v>
      </c>
      <c r="B447" s="50" t="s">
        <v>1475</v>
      </c>
      <c r="C447" s="47">
        <v>4.5999999999999996</v>
      </c>
      <c r="D447" s="52">
        <v>595.47</v>
      </c>
      <c r="E447" s="53">
        <f t="shared" si="704"/>
        <v>297.73500000000001</v>
      </c>
      <c r="F447" s="41">
        <f t="shared" si="711"/>
        <v>893.20500000000004</v>
      </c>
      <c r="G447" s="53">
        <f t="shared" si="712"/>
        <v>669.90375000000006</v>
      </c>
      <c r="H447" s="54">
        <f t="shared" si="713"/>
        <v>297.73500000000001</v>
      </c>
      <c r="I447" s="55">
        <f t="shared" si="714"/>
        <v>1190.94</v>
      </c>
      <c r="J447" s="56">
        <f t="shared" si="715"/>
        <v>893.20500000000004</v>
      </c>
      <c r="K447" s="108">
        <f t="shared" si="716"/>
        <v>258.90000000000003</v>
      </c>
      <c r="L447" s="194" t="s">
        <v>2167</v>
      </c>
      <c r="M447" s="304" t="s">
        <v>2307</v>
      </c>
    </row>
    <row r="448" spans="1:13" ht="15.75" customHeight="1" x14ac:dyDescent="0.25">
      <c r="A448" s="49" t="s">
        <v>496</v>
      </c>
      <c r="B448" s="50" t="s">
        <v>1475</v>
      </c>
      <c r="C448" s="47">
        <v>4.5999999999999996</v>
      </c>
      <c r="D448" s="52">
        <v>595.47</v>
      </c>
      <c r="E448" s="53">
        <f t="shared" si="704"/>
        <v>297.73500000000001</v>
      </c>
      <c r="F448" s="41">
        <f t="shared" si="711"/>
        <v>893.20500000000004</v>
      </c>
      <c r="G448" s="53">
        <f t="shared" si="712"/>
        <v>669.90375000000006</v>
      </c>
      <c r="H448" s="54">
        <f t="shared" si="713"/>
        <v>297.73500000000001</v>
      </c>
      <c r="I448" s="55">
        <f t="shared" si="714"/>
        <v>1190.94</v>
      </c>
      <c r="J448" s="56">
        <f t="shared" si="715"/>
        <v>893.20500000000004</v>
      </c>
      <c r="K448" s="108">
        <f t="shared" si="716"/>
        <v>258.90000000000003</v>
      </c>
      <c r="L448" s="194" t="s">
        <v>2167</v>
      </c>
      <c r="M448" s="304" t="s">
        <v>2307</v>
      </c>
    </row>
    <row r="449" spans="1:13" ht="15.75" customHeight="1" x14ac:dyDescent="0.25">
      <c r="A449" s="49" t="s">
        <v>497</v>
      </c>
      <c r="B449" s="50" t="s">
        <v>498</v>
      </c>
      <c r="C449" s="47">
        <v>4.5999999999999996</v>
      </c>
      <c r="D449" s="52">
        <v>564.41999999999996</v>
      </c>
      <c r="E449" s="53">
        <f t="shared" si="704"/>
        <v>282.20999999999998</v>
      </c>
      <c r="F449" s="41">
        <f t="shared" si="711"/>
        <v>846.62999999999988</v>
      </c>
      <c r="G449" s="53">
        <f t="shared" si="712"/>
        <v>634.97249999999985</v>
      </c>
      <c r="H449" s="54">
        <f t="shared" si="713"/>
        <v>282.20999999999998</v>
      </c>
      <c r="I449" s="55">
        <f t="shared" si="714"/>
        <v>1128.8399999999999</v>
      </c>
      <c r="J449" s="56">
        <f t="shared" si="715"/>
        <v>846.62999999999988</v>
      </c>
      <c r="K449" s="108">
        <f t="shared" si="716"/>
        <v>245.4</v>
      </c>
      <c r="L449" s="194" t="s">
        <v>2167</v>
      </c>
      <c r="M449" s="304"/>
    </row>
    <row r="450" spans="1:13" ht="15.75" customHeight="1" x14ac:dyDescent="0.25">
      <c r="A450" s="49" t="s">
        <v>499</v>
      </c>
      <c r="B450" s="50" t="s">
        <v>500</v>
      </c>
      <c r="C450" s="47">
        <v>4.5999999999999996</v>
      </c>
      <c r="D450" s="52">
        <v>564.41999999999996</v>
      </c>
      <c r="E450" s="53">
        <f t="shared" si="704"/>
        <v>282.20999999999998</v>
      </c>
      <c r="F450" s="41">
        <f t="shared" si="711"/>
        <v>846.62999999999988</v>
      </c>
      <c r="G450" s="53">
        <f t="shared" si="712"/>
        <v>634.97249999999985</v>
      </c>
      <c r="H450" s="54">
        <f t="shared" si="713"/>
        <v>282.20999999999998</v>
      </c>
      <c r="I450" s="55">
        <f t="shared" si="714"/>
        <v>1128.8399999999999</v>
      </c>
      <c r="J450" s="56">
        <f t="shared" si="715"/>
        <v>846.62999999999988</v>
      </c>
      <c r="K450" s="108">
        <f t="shared" si="716"/>
        <v>245.4</v>
      </c>
      <c r="L450" s="194" t="s">
        <v>2167</v>
      </c>
      <c r="M450" s="304"/>
    </row>
    <row r="451" spans="1:13" ht="15.75" customHeight="1" x14ac:dyDescent="0.25">
      <c r="A451" s="65"/>
      <c r="B451" s="65"/>
      <c r="C451" s="57"/>
      <c r="D451" s="57"/>
      <c r="E451" s="57"/>
      <c r="F451" s="47"/>
      <c r="G451" s="57"/>
      <c r="H451" s="58"/>
      <c r="I451" s="199"/>
      <c r="J451" s="59"/>
      <c r="K451" s="108"/>
      <c r="L451" s="194"/>
      <c r="M451" s="304"/>
    </row>
    <row r="452" spans="1:13" ht="15.75" customHeight="1" x14ac:dyDescent="0.25">
      <c r="A452" s="49" t="s">
        <v>501</v>
      </c>
      <c r="B452" s="50" t="s">
        <v>1451</v>
      </c>
      <c r="C452" s="47">
        <v>12.35</v>
      </c>
      <c r="D452" s="52">
        <v>1656.9</v>
      </c>
      <c r="E452" s="53">
        <f>D452*50%</f>
        <v>828.45</v>
      </c>
      <c r="F452" s="41">
        <f t="shared" ref="F452:F461" si="717">D452+E452</f>
        <v>2485.3500000000004</v>
      </c>
      <c r="G452" s="53">
        <f t="shared" ref="G452:G461" si="718">F452-(F452*25%)</f>
        <v>1864.0125000000003</v>
      </c>
      <c r="H452" s="54">
        <f t="shared" ref="H452:H461" si="719">D452*50%</f>
        <v>828.45</v>
      </c>
      <c r="I452" s="55">
        <f t="shared" ref="I452:I461" si="720">D452+(H452*2)</f>
        <v>3313.8</v>
      </c>
      <c r="J452" s="56">
        <f t="shared" ref="J452:J461" si="721">I452-(I452*25%)</f>
        <v>2485.3500000000004</v>
      </c>
      <c r="K452" s="108">
        <f t="shared" ref="K452:K461" si="722">I452/C452</f>
        <v>268.32388663967612</v>
      </c>
      <c r="L452" s="194" t="s">
        <v>2167</v>
      </c>
      <c r="M452" s="304" t="s">
        <v>2307</v>
      </c>
    </row>
    <row r="453" spans="1:13" ht="15.75" customHeight="1" x14ac:dyDescent="0.25">
      <c r="A453" s="49" t="s">
        <v>502</v>
      </c>
      <c r="B453" s="50" t="s">
        <v>1451</v>
      </c>
      <c r="C453" s="47">
        <v>12.34</v>
      </c>
      <c r="D453" s="47">
        <v>1656.9</v>
      </c>
      <c r="E453" s="53">
        <f t="shared" ref="E453:E461" si="723">D453*50%</f>
        <v>828.45</v>
      </c>
      <c r="F453" s="41">
        <f t="shared" si="717"/>
        <v>2485.3500000000004</v>
      </c>
      <c r="G453" s="53">
        <f t="shared" si="718"/>
        <v>1864.0125000000003</v>
      </c>
      <c r="H453" s="54">
        <f t="shared" si="719"/>
        <v>828.45</v>
      </c>
      <c r="I453" s="55">
        <f t="shared" si="720"/>
        <v>3313.8</v>
      </c>
      <c r="J453" s="56">
        <f t="shared" si="721"/>
        <v>2485.3500000000004</v>
      </c>
      <c r="K453" s="108">
        <f t="shared" si="722"/>
        <v>268.54132901134523</v>
      </c>
      <c r="L453" s="194" t="s">
        <v>2167</v>
      </c>
      <c r="M453" s="304" t="s">
        <v>2307</v>
      </c>
    </row>
    <row r="454" spans="1:13" ht="15.75" customHeight="1" x14ac:dyDescent="0.25">
      <c r="A454" s="49" t="s">
        <v>503</v>
      </c>
      <c r="B454" s="50" t="s">
        <v>1548</v>
      </c>
      <c r="C454" s="47">
        <v>7.25</v>
      </c>
      <c r="D454" s="52">
        <v>889.57</v>
      </c>
      <c r="E454" s="53">
        <f t="shared" si="723"/>
        <v>444.78500000000003</v>
      </c>
      <c r="F454" s="41">
        <f t="shared" si="717"/>
        <v>1334.355</v>
      </c>
      <c r="G454" s="53">
        <f t="shared" si="718"/>
        <v>1000.76625</v>
      </c>
      <c r="H454" s="54">
        <f t="shared" si="719"/>
        <v>444.78500000000003</v>
      </c>
      <c r="I454" s="55">
        <f t="shared" si="720"/>
        <v>1779.14</v>
      </c>
      <c r="J454" s="56">
        <f t="shared" si="721"/>
        <v>1334.355</v>
      </c>
      <c r="K454" s="108">
        <f t="shared" si="722"/>
        <v>245.39862068965519</v>
      </c>
      <c r="L454" s="194" t="s">
        <v>2167</v>
      </c>
      <c r="M454" s="304" t="s">
        <v>2307</v>
      </c>
    </row>
    <row r="455" spans="1:13" ht="15.75" customHeight="1" x14ac:dyDescent="0.25">
      <c r="A455" s="49" t="s">
        <v>504</v>
      </c>
      <c r="B455" s="50" t="s">
        <v>505</v>
      </c>
      <c r="C455" s="47">
        <v>7.25</v>
      </c>
      <c r="D455" s="52">
        <v>720.19</v>
      </c>
      <c r="E455" s="53">
        <f t="shared" si="723"/>
        <v>360.09500000000003</v>
      </c>
      <c r="F455" s="41">
        <f t="shared" si="717"/>
        <v>1080.2850000000001</v>
      </c>
      <c r="G455" s="53">
        <f t="shared" si="718"/>
        <v>810.21375000000012</v>
      </c>
      <c r="H455" s="54">
        <f t="shared" si="719"/>
        <v>360.09500000000003</v>
      </c>
      <c r="I455" s="55">
        <f t="shared" si="720"/>
        <v>1440.38</v>
      </c>
      <c r="J455" s="56">
        <f t="shared" si="721"/>
        <v>1080.2850000000001</v>
      </c>
      <c r="K455" s="108">
        <f t="shared" si="722"/>
        <v>198.67310344827587</v>
      </c>
      <c r="L455" s="194" t="s">
        <v>2167</v>
      </c>
      <c r="M455" s="304" t="s">
        <v>2307</v>
      </c>
    </row>
    <row r="456" spans="1:13" ht="15.75" customHeight="1" x14ac:dyDescent="0.25">
      <c r="A456" s="49" t="s">
        <v>506</v>
      </c>
      <c r="B456" s="50" t="s">
        <v>507</v>
      </c>
      <c r="C456" s="47">
        <v>14</v>
      </c>
      <c r="D456" s="52">
        <v>1717.8</v>
      </c>
      <c r="E456" s="53">
        <f t="shared" si="723"/>
        <v>858.9</v>
      </c>
      <c r="F456" s="41">
        <f t="shared" si="717"/>
        <v>2576.6999999999998</v>
      </c>
      <c r="G456" s="53">
        <f t="shared" si="718"/>
        <v>1932.5249999999999</v>
      </c>
      <c r="H456" s="54">
        <f t="shared" si="719"/>
        <v>858.9</v>
      </c>
      <c r="I456" s="55">
        <f t="shared" si="720"/>
        <v>3435.6</v>
      </c>
      <c r="J456" s="56">
        <f t="shared" si="721"/>
        <v>2576.6999999999998</v>
      </c>
      <c r="K456" s="108">
        <f t="shared" si="722"/>
        <v>245.4</v>
      </c>
      <c r="L456" s="194" t="s">
        <v>2167</v>
      </c>
      <c r="M456" s="304" t="s">
        <v>2307</v>
      </c>
    </row>
    <row r="457" spans="1:13" ht="15.75" customHeight="1" x14ac:dyDescent="0.25">
      <c r="A457" s="49" t="s">
        <v>508</v>
      </c>
      <c r="B457" s="50" t="s">
        <v>509</v>
      </c>
      <c r="C457" s="47">
        <v>14.96</v>
      </c>
      <c r="D457" s="52">
        <v>1277.6600000000001</v>
      </c>
      <c r="E457" s="53">
        <f t="shared" si="723"/>
        <v>638.83000000000004</v>
      </c>
      <c r="F457" s="41">
        <f t="shared" si="717"/>
        <v>1916.4900000000002</v>
      </c>
      <c r="G457" s="53">
        <f t="shared" si="718"/>
        <v>1437.3675000000003</v>
      </c>
      <c r="H457" s="54">
        <f t="shared" si="719"/>
        <v>638.83000000000004</v>
      </c>
      <c r="I457" s="55">
        <f t="shared" si="720"/>
        <v>2555.3200000000002</v>
      </c>
      <c r="J457" s="56">
        <f t="shared" si="721"/>
        <v>1916.4900000000002</v>
      </c>
      <c r="K457" s="108">
        <f t="shared" si="722"/>
        <v>170.81016042780749</v>
      </c>
      <c r="L457" s="194" t="s">
        <v>2167</v>
      </c>
      <c r="M457" s="304"/>
    </row>
    <row r="458" spans="1:13" x14ac:dyDescent="0.25">
      <c r="A458" s="49" t="s">
        <v>510</v>
      </c>
      <c r="B458" s="50" t="s">
        <v>2279</v>
      </c>
      <c r="C458" s="47">
        <v>11.09</v>
      </c>
      <c r="D458" s="52">
        <v>1488.4949999999999</v>
      </c>
      <c r="E458" s="53">
        <f t="shared" si="723"/>
        <v>744.24749999999995</v>
      </c>
      <c r="F458" s="41">
        <f t="shared" si="717"/>
        <v>2232.7424999999998</v>
      </c>
      <c r="G458" s="53">
        <f t="shared" si="718"/>
        <v>1674.5568749999998</v>
      </c>
      <c r="H458" s="54">
        <f t="shared" si="719"/>
        <v>744.24749999999995</v>
      </c>
      <c r="I458" s="55">
        <f t="shared" si="720"/>
        <v>2976.99</v>
      </c>
      <c r="J458" s="56">
        <f t="shared" si="721"/>
        <v>2232.7424999999998</v>
      </c>
      <c r="K458" s="108">
        <f t="shared" si="722"/>
        <v>268.43913435527503</v>
      </c>
      <c r="L458" s="194" t="s">
        <v>1985</v>
      </c>
      <c r="M458" s="304" t="s">
        <v>2307</v>
      </c>
    </row>
    <row r="459" spans="1:13" x14ac:dyDescent="0.25">
      <c r="A459" s="49" t="s">
        <v>511</v>
      </c>
      <c r="B459" s="50" t="s">
        <v>2279</v>
      </c>
      <c r="C459" s="47">
        <v>11.09</v>
      </c>
      <c r="D459" s="47">
        <v>1488.4949999999999</v>
      </c>
      <c r="E459" s="53">
        <f t="shared" si="723"/>
        <v>744.24749999999995</v>
      </c>
      <c r="F459" s="41">
        <f t="shared" si="717"/>
        <v>2232.7424999999998</v>
      </c>
      <c r="G459" s="53">
        <f t="shared" si="718"/>
        <v>1674.5568749999998</v>
      </c>
      <c r="H459" s="54">
        <f t="shared" si="719"/>
        <v>744.24749999999995</v>
      </c>
      <c r="I459" s="55">
        <f t="shared" si="720"/>
        <v>2976.99</v>
      </c>
      <c r="J459" s="56">
        <f t="shared" si="721"/>
        <v>2232.7424999999998</v>
      </c>
      <c r="K459" s="108">
        <f t="shared" si="722"/>
        <v>268.43913435527503</v>
      </c>
      <c r="L459" s="194" t="s">
        <v>1985</v>
      </c>
      <c r="M459" s="304" t="s">
        <v>2307</v>
      </c>
    </row>
    <row r="460" spans="1:13" ht="15.75" customHeight="1" x14ac:dyDescent="0.25">
      <c r="A460" s="49" t="s">
        <v>512</v>
      </c>
      <c r="B460" s="50" t="s">
        <v>513</v>
      </c>
      <c r="C460" s="47">
        <v>14</v>
      </c>
      <c r="D460" s="47">
        <v>1717.8</v>
      </c>
      <c r="E460" s="53">
        <f t="shared" si="723"/>
        <v>858.9</v>
      </c>
      <c r="F460" s="41">
        <f t="shared" si="717"/>
        <v>2576.6999999999998</v>
      </c>
      <c r="G460" s="53">
        <f t="shared" si="718"/>
        <v>1932.5249999999999</v>
      </c>
      <c r="H460" s="54">
        <f t="shared" si="719"/>
        <v>858.9</v>
      </c>
      <c r="I460" s="55">
        <f t="shared" si="720"/>
        <v>3435.6</v>
      </c>
      <c r="J460" s="56">
        <f t="shared" si="721"/>
        <v>2576.6999999999998</v>
      </c>
      <c r="K460" s="108">
        <f t="shared" si="722"/>
        <v>245.4</v>
      </c>
      <c r="L460" s="194" t="s">
        <v>2167</v>
      </c>
      <c r="M460" s="304" t="s">
        <v>2307</v>
      </c>
    </row>
    <row r="461" spans="1:13" ht="15.75" customHeight="1" x14ac:dyDescent="0.25">
      <c r="A461" s="49" t="s">
        <v>514</v>
      </c>
      <c r="B461" s="50" t="s">
        <v>509</v>
      </c>
      <c r="C461" s="47">
        <v>15.33</v>
      </c>
      <c r="D461" s="52">
        <v>1984.47</v>
      </c>
      <c r="E461" s="53">
        <f t="shared" si="723"/>
        <v>992.23500000000001</v>
      </c>
      <c r="F461" s="41">
        <f t="shared" si="717"/>
        <v>2976.7049999999999</v>
      </c>
      <c r="G461" s="53">
        <f t="shared" si="718"/>
        <v>2232.5287499999999</v>
      </c>
      <c r="H461" s="54">
        <f t="shared" si="719"/>
        <v>992.23500000000001</v>
      </c>
      <c r="I461" s="55">
        <f t="shared" si="720"/>
        <v>3968.94</v>
      </c>
      <c r="J461" s="56">
        <f t="shared" si="721"/>
        <v>2976.7049999999999</v>
      </c>
      <c r="K461" s="108">
        <f t="shared" si="722"/>
        <v>258.90019569471622</v>
      </c>
      <c r="L461" s="194" t="s">
        <v>2167</v>
      </c>
      <c r="M461" s="304" t="s">
        <v>2307</v>
      </c>
    </row>
    <row r="462" spans="1:13" ht="15.75" customHeight="1" x14ac:dyDescent="0.25">
      <c r="A462" s="49"/>
      <c r="B462" s="50"/>
      <c r="C462" s="47"/>
      <c r="D462" s="52"/>
      <c r="E462" s="57"/>
      <c r="F462" s="47"/>
      <c r="G462" s="57"/>
      <c r="H462" s="58"/>
      <c r="I462" s="199"/>
      <c r="J462" s="59"/>
      <c r="K462" s="108"/>
      <c r="L462" s="194"/>
      <c r="M462" s="304"/>
    </row>
    <row r="463" spans="1:13" ht="15.75" customHeight="1" x14ac:dyDescent="0.25">
      <c r="A463" s="49" t="s">
        <v>515</v>
      </c>
      <c r="B463" s="50" t="s">
        <v>1497</v>
      </c>
      <c r="C463" s="47">
        <v>6.76</v>
      </c>
      <c r="D463" s="52">
        <v>985.2</v>
      </c>
      <c r="E463" s="53">
        <f t="shared" ref="E463:E473" si="724">D463*50%</f>
        <v>492.6</v>
      </c>
      <c r="F463" s="41">
        <f t="shared" ref="F463:F473" si="725">D463+E463</f>
        <v>1477.8000000000002</v>
      </c>
      <c r="G463" s="53">
        <f t="shared" ref="G463:G473" si="726">F463-(F463*25%)</f>
        <v>1108.3500000000001</v>
      </c>
      <c r="H463" s="54">
        <f t="shared" ref="H463:H473" si="727">D463*50%</f>
        <v>492.6</v>
      </c>
      <c r="I463" s="55">
        <f t="shared" ref="I463:I473" si="728">D463+(H463*2)</f>
        <v>1970.4</v>
      </c>
      <c r="J463" s="56">
        <f t="shared" ref="J463:J473" si="729">I463-(I463*25%)</f>
        <v>1477.8000000000002</v>
      </c>
      <c r="K463" s="108">
        <f t="shared" ref="K463:K473" si="730">I463/C463</f>
        <v>291.47928994082844</v>
      </c>
      <c r="L463" s="194" t="s">
        <v>1978</v>
      </c>
      <c r="M463" s="304" t="s">
        <v>2307</v>
      </c>
    </row>
    <row r="464" spans="1:13" ht="15.75" customHeight="1" x14ac:dyDescent="0.25">
      <c r="A464" s="49" t="s">
        <v>516</v>
      </c>
      <c r="B464" s="50" t="s">
        <v>1346</v>
      </c>
      <c r="C464" s="47">
        <v>6.76</v>
      </c>
      <c r="D464" s="52">
        <v>985.2</v>
      </c>
      <c r="E464" s="53">
        <f t="shared" si="724"/>
        <v>492.6</v>
      </c>
      <c r="F464" s="41">
        <f t="shared" si="725"/>
        <v>1477.8000000000002</v>
      </c>
      <c r="G464" s="53">
        <f t="shared" si="726"/>
        <v>1108.3500000000001</v>
      </c>
      <c r="H464" s="54">
        <f t="shared" si="727"/>
        <v>492.6</v>
      </c>
      <c r="I464" s="55">
        <f t="shared" si="728"/>
        <v>1970.4</v>
      </c>
      <c r="J464" s="56">
        <f t="shared" si="729"/>
        <v>1477.8000000000002</v>
      </c>
      <c r="K464" s="108">
        <f t="shared" si="730"/>
        <v>291.47928994082844</v>
      </c>
      <c r="L464" s="194" t="s">
        <v>2167</v>
      </c>
      <c r="M464" s="304"/>
    </row>
    <row r="465" spans="1:13" ht="15.75" customHeight="1" x14ac:dyDescent="0.25">
      <c r="A465" s="49" t="s">
        <v>517</v>
      </c>
      <c r="B465" s="50" t="s">
        <v>518</v>
      </c>
      <c r="C465" s="47">
        <v>12.27</v>
      </c>
      <c r="D465" s="52">
        <v>1505.53</v>
      </c>
      <c r="E465" s="53">
        <f t="shared" si="724"/>
        <v>752.76499999999999</v>
      </c>
      <c r="F465" s="41">
        <f t="shared" si="725"/>
        <v>2258.2950000000001</v>
      </c>
      <c r="G465" s="53">
        <f t="shared" si="726"/>
        <v>1693.7212500000001</v>
      </c>
      <c r="H465" s="54">
        <f t="shared" si="727"/>
        <v>752.76499999999999</v>
      </c>
      <c r="I465" s="55">
        <f t="shared" si="728"/>
        <v>3011.06</v>
      </c>
      <c r="J465" s="56">
        <f t="shared" si="729"/>
        <v>2258.2950000000001</v>
      </c>
      <c r="K465" s="108">
        <f t="shared" si="730"/>
        <v>245.400162999185</v>
      </c>
      <c r="L465" s="194" t="s">
        <v>2167</v>
      </c>
      <c r="M465" s="304" t="s">
        <v>2307</v>
      </c>
    </row>
    <row r="466" spans="1:13" ht="15.75" customHeight="1" x14ac:dyDescent="0.25">
      <c r="A466" s="49" t="s">
        <v>519</v>
      </c>
      <c r="B466" s="50" t="s">
        <v>1547</v>
      </c>
      <c r="C466" s="47">
        <v>13.4</v>
      </c>
      <c r="D466" s="52">
        <v>1644.18</v>
      </c>
      <c r="E466" s="53">
        <f t="shared" si="724"/>
        <v>822.09</v>
      </c>
      <c r="F466" s="41">
        <f t="shared" si="725"/>
        <v>2466.27</v>
      </c>
      <c r="G466" s="53">
        <f t="shared" si="726"/>
        <v>1849.7024999999999</v>
      </c>
      <c r="H466" s="54">
        <f t="shared" si="727"/>
        <v>822.09</v>
      </c>
      <c r="I466" s="55">
        <f t="shared" si="728"/>
        <v>3288.36</v>
      </c>
      <c r="J466" s="56">
        <f t="shared" si="729"/>
        <v>2466.27</v>
      </c>
      <c r="K466" s="108">
        <f t="shared" si="730"/>
        <v>245.4</v>
      </c>
      <c r="L466" s="194" t="s">
        <v>2167</v>
      </c>
      <c r="M466" s="304" t="s">
        <v>2307</v>
      </c>
    </row>
    <row r="467" spans="1:13" ht="15.75" customHeight="1" x14ac:dyDescent="0.25">
      <c r="A467" s="49" t="s">
        <v>520</v>
      </c>
      <c r="B467" s="50" t="s">
        <v>1502</v>
      </c>
      <c r="C467" s="47">
        <v>13.15</v>
      </c>
      <c r="D467" s="52">
        <v>1613.5</v>
      </c>
      <c r="E467" s="53">
        <f t="shared" si="724"/>
        <v>806.75</v>
      </c>
      <c r="F467" s="41">
        <f t="shared" si="725"/>
        <v>2420.25</v>
      </c>
      <c r="G467" s="53">
        <f t="shared" si="726"/>
        <v>1815.1875</v>
      </c>
      <c r="H467" s="54">
        <f t="shared" si="727"/>
        <v>806.75</v>
      </c>
      <c r="I467" s="55">
        <f t="shared" si="728"/>
        <v>3227</v>
      </c>
      <c r="J467" s="56">
        <f t="shared" si="729"/>
        <v>2420.25</v>
      </c>
      <c r="K467" s="108">
        <f t="shared" si="730"/>
        <v>245.39923954372622</v>
      </c>
      <c r="L467" s="194" t="s">
        <v>2167</v>
      </c>
      <c r="M467" s="304" t="s">
        <v>2307</v>
      </c>
    </row>
    <row r="468" spans="1:13" ht="15.75" customHeight="1" x14ac:dyDescent="0.25">
      <c r="A468" s="49" t="s">
        <v>521</v>
      </c>
      <c r="B468" s="50" t="s">
        <v>1346</v>
      </c>
      <c r="C468" s="47">
        <v>9.8000000000000007</v>
      </c>
      <c r="D468" s="52">
        <v>1268.6099999999999</v>
      </c>
      <c r="E468" s="53">
        <f t="shared" si="724"/>
        <v>634.30499999999995</v>
      </c>
      <c r="F468" s="41">
        <f t="shared" si="725"/>
        <v>1902.915</v>
      </c>
      <c r="G468" s="53">
        <f t="shared" si="726"/>
        <v>1427.18625</v>
      </c>
      <c r="H468" s="54">
        <f t="shared" si="727"/>
        <v>634.30499999999995</v>
      </c>
      <c r="I468" s="55">
        <f t="shared" si="728"/>
        <v>2537.2199999999998</v>
      </c>
      <c r="J468" s="56">
        <f t="shared" si="729"/>
        <v>1902.915</v>
      </c>
      <c r="K468" s="108">
        <f t="shared" si="730"/>
        <v>258.89999999999998</v>
      </c>
      <c r="L468" s="194" t="s">
        <v>2167</v>
      </c>
      <c r="M468" s="304" t="s">
        <v>2307</v>
      </c>
    </row>
    <row r="469" spans="1:13" ht="15.75" customHeight="1" x14ac:dyDescent="0.25">
      <c r="A469" s="49" t="s">
        <v>522</v>
      </c>
      <c r="B469" s="50" t="s">
        <v>523</v>
      </c>
      <c r="C469" s="47">
        <v>14.44</v>
      </c>
      <c r="D469" s="52">
        <v>2104.48</v>
      </c>
      <c r="E469" s="53">
        <f t="shared" si="724"/>
        <v>1052.24</v>
      </c>
      <c r="F469" s="41">
        <f t="shared" si="725"/>
        <v>3156.7200000000003</v>
      </c>
      <c r="G469" s="53">
        <f t="shared" si="726"/>
        <v>2367.54</v>
      </c>
      <c r="H469" s="54">
        <f t="shared" si="727"/>
        <v>1052.24</v>
      </c>
      <c r="I469" s="55">
        <f t="shared" si="728"/>
        <v>4208.96</v>
      </c>
      <c r="J469" s="56">
        <f t="shared" si="729"/>
        <v>3156.7200000000003</v>
      </c>
      <c r="K469" s="108">
        <f t="shared" si="730"/>
        <v>291.47922437673134</v>
      </c>
      <c r="L469" s="194" t="s">
        <v>1978</v>
      </c>
      <c r="M469" s="304" t="s">
        <v>2307</v>
      </c>
    </row>
    <row r="470" spans="1:13" ht="15.75" customHeight="1" x14ac:dyDescent="0.25">
      <c r="A470" s="49" t="s">
        <v>524</v>
      </c>
      <c r="B470" s="50" t="s">
        <v>523</v>
      </c>
      <c r="C470" s="47">
        <v>14.44</v>
      </c>
      <c r="D470" s="52">
        <v>2104.48</v>
      </c>
      <c r="E470" s="53">
        <f t="shared" si="724"/>
        <v>1052.24</v>
      </c>
      <c r="F470" s="41">
        <f t="shared" si="725"/>
        <v>3156.7200000000003</v>
      </c>
      <c r="G470" s="53">
        <f t="shared" si="726"/>
        <v>2367.54</v>
      </c>
      <c r="H470" s="54">
        <f t="shared" si="727"/>
        <v>1052.24</v>
      </c>
      <c r="I470" s="55">
        <f t="shared" si="728"/>
        <v>4208.96</v>
      </c>
      <c r="J470" s="56">
        <f t="shared" si="729"/>
        <v>3156.7200000000003</v>
      </c>
      <c r="K470" s="108">
        <f t="shared" si="730"/>
        <v>291.47922437673134</v>
      </c>
      <c r="L470" s="194" t="s">
        <v>1978</v>
      </c>
      <c r="M470" s="304" t="s">
        <v>2307</v>
      </c>
    </row>
    <row r="471" spans="1:13" ht="15.75" customHeight="1" x14ac:dyDescent="0.25">
      <c r="A471" s="49" t="s">
        <v>525</v>
      </c>
      <c r="B471" s="50" t="s">
        <v>1939</v>
      </c>
      <c r="C471" s="47">
        <v>16</v>
      </c>
      <c r="D471" s="52">
        <v>2270.0500000000002</v>
      </c>
      <c r="E471" s="53">
        <f t="shared" si="724"/>
        <v>1135.0250000000001</v>
      </c>
      <c r="F471" s="41">
        <f t="shared" si="725"/>
        <v>3405.0750000000003</v>
      </c>
      <c r="G471" s="53">
        <f t="shared" si="726"/>
        <v>2553.8062500000001</v>
      </c>
      <c r="H471" s="54">
        <f t="shared" si="727"/>
        <v>1135.0250000000001</v>
      </c>
      <c r="I471" s="55">
        <f t="shared" si="728"/>
        <v>4540.1000000000004</v>
      </c>
      <c r="J471" s="56">
        <f t="shared" si="729"/>
        <v>3405.0750000000003</v>
      </c>
      <c r="K471" s="108">
        <f t="shared" si="730"/>
        <v>283.75625000000002</v>
      </c>
      <c r="L471" s="194" t="s">
        <v>2167</v>
      </c>
      <c r="M471" s="304"/>
    </row>
    <row r="472" spans="1:13" ht="15.75" customHeight="1" x14ac:dyDescent="0.25">
      <c r="A472" s="49" t="s">
        <v>526</v>
      </c>
      <c r="B472" s="50" t="s">
        <v>453</v>
      </c>
      <c r="C472" s="47">
        <v>16.16</v>
      </c>
      <c r="D472" s="47">
        <v>2292.8000000000002</v>
      </c>
      <c r="E472" s="53">
        <f t="shared" si="724"/>
        <v>1146.4000000000001</v>
      </c>
      <c r="F472" s="41">
        <f t="shared" si="725"/>
        <v>3439.2000000000003</v>
      </c>
      <c r="G472" s="53">
        <f t="shared" si="726"/>
        <v>2579.4</v>
      </c>
      <c r="H472" s="54">
        <f t="shared" si="727"/>
        <v>1146.4000000000001</v>
      </c>
      <c r="I472" s="55">
        <f t="shared" si="728"/>
        <v>4585.6000000000004</v>
      </c>
      <c r="J472" s="56">
        <f t="shared" si="729"/>
        <v>3439.2000000000003</v>
      </c>
      <c r="K472" s="108">
        <f t="shared" si="730"/>
        <v>283.76237623762376</v>
      </c>
      <c r="L472" s="194" t="s">
        <v>1978</v>
      </c>
      <c r="M472" s="304" t="s">
        <v>2307</v>
      </c>
    </row>
    <row r="473" spans="1:13" ht="15.75" customHeight="1" x14ac:dyDescent="0.25">
      <c r="A473" s="49" t="s">
        <v>527</v>
      </c>
      <c r="B473" s="50" t="s">
        <v>2232</v>
      </c>
      <c r="C473" s="47">
        <v>12.6</v>
      </c>
      <c r="D473" s="52">
        <v>1764.5</v>
      </c>
      <c r="E473" s="53">
        <f t="shared" si="724"/>
        <v>882.25</v>
      </c>
      <c r="F473" s="41">
        <f t="shared" si="725"/>
        <v>2646.75</v>
      </c>
      <c r="G473" s="53">
        <f t="shared" si="726"/>
        <v>1985.0625</v>
      </c>
      <c r="H473" s="54">
        <f t="shared" si="727"/>
        <v>882.25</v>
      </c>
      <c r="I473" s="55">
        <f t="shared" si="728"/>
        <v>3529</v>
      </c>
      <c r="J473" s="56">
        <f t="shared" si="729"/>
        <v>2646.75</v>
      </c>
      <c r="K473" s="108">
        <f t="shared" si="730"/>
        <v>280.07936507936506</v>
      </c>
      <c r="L473" s="194" t="s">
        <v>2167</v>
      </c>
      <c r="M473" s="304" t="s">
        <v>2307</v>
      </c>
    </row>
    <row r="474" spans="1:13" ht="15.75" customHeight="1" x14ac:dyDescent="0.25">
      <c r="A474" s="65"/>
      <c r="B474" s="65"/>
      <c r="C474" s="57"/>
      <c r="D474" s="57"/>
      <c r="E474" s="57"/>
      <c r="F474" s="47"/>
      <c r="G474" s="57"/>
      <c r="H474" s="58"/>
      <c r="I474" s="199"/>
      <c r="J474" s="59"/>
      <c r="K474" s="108"/>
      <c r="L474" s="194"/>
      <c r="M474" s="304"/>
    </row>
    <row r="475" spans="1:13" ht="15.75" customHeight="1" x14ac:dyDescent="0.25">
      <c r="A475" s="49" t="s">
        <v>528</v>
      </c>
      <c r="B475" s="50" t="s">
        <v>1503</v>
      </c>
      <c r="C475" s="47">
        <v>24.18</v>
      </c>
      <c r="D475" s="52">
        <v>2448.23</v>
      </c>
      <c r="E475" s="53">
        <f t="shared" ref="E475:E480" si="731">D475*50%</f>
        <v>1224.115</v>
      </c>
      <c r="F475" s="41">
        <f t="shared" ref="F475:F480" si="732">D475+E475</f>
        <v>3672.3450000000003</v>
      </c>
      <c r="G475" s="53">
        <f t="shared" ref="G475:G480" si="733">F475-(F475*25%)</f>
        <v>2754.25875</v>
      </c>
      <c r="H475" s="54">
        <f t="shared" ref="H475:H480" si="734">D475*50%</f>
        <v>1224.115</v>
      </c>
      <c r="I475" s="55">
        <f t="shared" ref="I475:I480" si="735">D475+(H475*2)</f>
        <v>4896.46</v>
      </c>
      <c r="J475" s="56">
        <f t="shared" ref="J475:J480" si="736">I475-(I475*25%)</f>
        <v>3672.3450000000003</v>
      </c>
      <c r="K475" s="108">
        <f t="shared" ref="K475:K480" si="737">I475/C475</f>
        <v>202.50041356492969</v>
      </c>
      <c r="L475" s="194" t="s">
        <v>2167</v>
      </c>
      <c r="M475" s="304"/>
    </row>
    <row r="476" spans="1:13" ht="15.75" customHeight="1" x14ac:dyDescent="0.25">
      <c r="A476" s="49" t="s">
        <v>529</v>
      </c>
      <c r="B476" s="50" t="s">
        <v>495</v>
      </c>
      <c r="C476" s="47">
        <v>29.75</v>
      </c>
      <c r="D476" s="52">
        <v>885.75</v>
      </c>
      <c r="E476" s="53">
        <f t="shared" si="731"/>
        <v>442.875</v>
      </c>
      <c r="F476" s="41">
        <f t="shared" si="732"/>
        <v>1328.625</v>
      </c>
      <c r="G476" s="53">
        <f t="shared" si="733"/>
        <v>996.46875</v>
      </c>
      <c r="H476" s="54">
        <f t="shared" si="734"/>
        <v>442.875</v>
      </c>
      <c r="I476" s="55">
        <f t="shared" si="735"/>
        <v>1771.5</v>
      </c>
      <c r="J476" s="56">
        <f t="shared" si="736"/>
        <v>1328.625</v>
      </c>
      <c r="K476" s="108">
        <f t="shared" si="737"/>
        <v>59.54621848739496</v>
      </c>
      <c r="L476" s="194" t="s">
        <v>2167</v>
      </c>
      <c r="M476" s="304" t="s">
        <v>2307</v>
      </c>
    </row>
    <row r="477" spans="1:13" ht="15.75" customHeight="1" x14ac:dyDescent="0.25">
      <c r="A477" s="49" t="s">
        <v>530</v>
      </c>
      <c r="B477" s="50" t="s">
        <v>1613</v>
      </c>
      <c r="C477" s="47">
        <v>24.6</v>
      </c>
      <c r="D477" s="52">
        <v>1509.52</v>
      </c>
      <c r="E477" s="53">
        <f t="shared" si="731"/>
        <v>754.76</v>
      </c>
      <c r="F477" s="41">
        <f t="shared" si="732"/>
        <v>2264.2799999999997</v>
      </c>
      <c r="G477" s="53">
        <f t="shared" si="733"/>
        <v>1698.2099999999998</v>
      </c>
      <c r="H477" s="54">
        <f t="shared" si="734"/>
        <v>754.76</v>
      </c>
      <c r="I477" s="55">
        <f t="shared" si="735"/>
        <v>3019.04</v>
      </c>
      <c r="J477" s="56">
        <f t="shared" si="736"/>
        <v>2264.2799999999997</v>
      </c>
      <c r="K477" s="108">
        <f t="shared" si="737"/>
        <v>122.72520325203251</v>
      </c>
      <c r="L477" s="194" t="s">
        <v>2167</v>
      </c>
      <c r="M477" s="304" t="s">
        <v>2307</v>
      </c>
    </row>
    <row r="478" spans="1:13" ht="15.75" customHeight="1" x14ac:dyDescent="0.25">
      <c r="A478" s="49" t="s">
        <v>531</v>
      </c>
      <c r="B478" s="50" t="s">
        <v>1434</v>
      </c>
      <c r="C478" s="47">
        <v>11.13</v>
      </c>
      <c r="D478" s="52">
        <v>1366.72</v>
      </c>
      <c r="E478" s="53">
        <f t="shared" si="731"/>
        <v>683.36</v>
      </c>
      <c r="F478" s="41">
        <f t="shared" si="732"/>
        <v>2050.08</v>
      </c>
      <c r="G478" s="53">
        <f t="shared" si="733"/>
        <v>1537.56</v>
      </c>
      <c r="H478" s="54">
        <f t="shared" si="734"/>
        <v>683.36</v>
      </c>
      <c r="I478" s="55">
        <f t="shared" si="735"/>
        <v>2733.44</v>
      </c>
      <c r="J478" s="56">
        <f t="shared" si="736"/>
        <v>2050.08</v>
      </c>
      <c r="K478" s="108">
        <f t="shared" si="737"/>
        <v>245.59209344115004</v>
      </c>
      <c r="L478" s="194" t="s">
        <v>2167</v>
      </c>
      <c r="M478" s="304"/>
    </row>
    <row r="479" spans="1:13" ht="15.75" customHeight="1" x14ac:dyDescent="0.25">
      <c r="A479" s="49" t="s">
        <v>532</v>
      </c>
      <c r="B479" s="50" t="s">
        <v>1481</v>
      </c>
      <c r="C479" s="47">
        <v>25.65</v>
      </c>
      <c r="D479" s="47">
        <v>1509.52</v>
      </c>
      <c r="E479" s="53">
        <f t="shared" si="731"/>
        <v>754.76</v>
      </c>
      <c r="F479" s="41">
        <f t="shared" si="732"/>
        <v>2264.2799999999997</v>
      </c>
      <c r="G479" s="53">
        <f t="shared" si="733"/>
        <v>1698.2099999999998</v>
      </c>
      <c r="H479" s="54">
        <f t="shared" si="734"/>
        <v>754.76</v>
      </c>
      <c r="I479" s="55">
        <f t="shared" si="735"/>
        <v>3019.04</v>
      </c>
      <c r="J479" s="56">
        <f t="shared" si="736"/>
        <v>2264.2799999999997</v>
      </c>
      <c r="K479" s="108">
        <f t="shared" si="737"/>
        <v>117.70136452241717</v>
      </c>
      <c r="L479" s="194" t="s">
        <v>2167</v>
      </c>
      <c r="M479" s="304" t="s">
        <v>2307</v>
      </c>
    </row>
    <row r="480" spans="1:13" ht="15.75" customHeight="1" x14ac:dyDescent="0.25">
      <c r="A480" s="49" t="s">
        <v>533</v>
      </c>
      <c r="B480" s="50" t="s">
        <v>1434</v>
      </c>
      <c r="C480" s="47">
        <v>11.14</v>
      </c>
      <c r="D480" s="47">
        <v>1366.72</v>
      </c>
      <c r="E480" s="53">
        <f t="shared" si="731"/>
        <v>683.36</v>
      </c>
      <c r="F480" s="41">
        <f t="shared" si="732"/>
        <v>2050.08</v>
      </c>
      <c r="G480" s="53">
        <f t="shared" si="733"/>
        <v>1537.56</v>
      </c>
      <c r="H480" s="54">
        <f t="shared" si="734"/>
        <v>683.36</v>
      </c>
      <c r="I480" s="55">
        <f t="shared" si="735"/>
        <v>2733.44</v>
      </c>
      <c r="J480" s="56">
        <f t="shared" si="736"/>
        <v>2050.08</v>
      </c>
      <c r="K480" s="108">
        <f t="shared" si="737"/>
        <v>245.37163375224415</v>
      </c>
      <c r="L480" s="194" t="s">
        <v>2167</v>
      </c>
      <c r="M480" s="304"/>
    </row>
    <row r="481" spans="1:13" ht="15.75" customHeight="1" x14ac:dyDescent="0.25">
      <c r="A481" s="49"/>
      <c r="B481" s="234"/>
      <c r="C481" s="47"/>
      <c r="D481" s="47"/>
      <c r="E481" s="57"/>
      <c r="F481" s="47"/>
      <c r="G481" s="57"/>
      <c r="H481" s="58"/>
      <c r="I481" s="199"/>
      <c r="J481" s="59"/>
      <c r="K481" s="108"/>
      <c r="L481" s="194"/>
      <c r="M481" s="304"/>
    </row>
    <row r="482" spans="1:13" ht="15.75" customHeight="1" x14ac:dyDescent="0.25">
      <c r="A482" s="49" t="s">
        <v>534</v>
      </c>
      <c r="B482" s="50" t="s">
        <v>2283</v>
      </c>
      <c r="C482" s="47">
        <v>17.18</v>
      </c>
      <c r="D482" s="52">
        <v>2091.0949999999998</v>
      </c>
      <c r="E482" s="53">
        <f t="shared" ref="E482:E489" si="738">D482*50%</f>
        <v>1045.5474999999999</v>
      </c>
      <c r="F482" s="41">
        <f t="shared" ref="F482:F489" si="739">D482+E482</f>
        <v>3136.6424999999999</v>
      </c>
      <c r="G482" s="53">
        <f t="shared" ref="G482:G489" si="740">F482-(F482*25%)</f>
        <v>2352.4818749999999</v>
      </c>
      <c r="H482" s="54">
        <f t="shared" ref="H482:H489" si="741">D482*50%</f>
        <v>1045.5474999999999</v>
      </c>
      <c r="I482" s="55">
        <f t="shared" ref="I482:I489" si="742">D482+(H482*2)</f>
        <v>4182.1899999999996</v>
      </c>
      <c r="J482" s="56">
        <f t="shared" ref="J482:J489" si="743">I482-(I482*25%)</f>
        <v>3136.6424999999999</v>
      </c>
      <c r="K482" s="108">
        <f t="shared" ref="K482:K489" si="744">I482/C482</f>
        <v>243.43364377182769</v>
      </c>
      <c r="L482" s="194" t="s">
        <v>2168</v>
      </c>
      <c r="M482" s="304" t="s">
        <v>2307</v>
      </c>
    </row>
    <row r="483" spans="1:13" ht="15.75" customHeight="1" x14ac:dyDescent="0.25">
      <c r="A483" s="49" t="s">
        <v>535</v>
      </c>
      <c r="B483" s="50" t="s">
        <v>2085</v>
      </c>
      <c r="C483" s="47">
        <v>11.26</v>
      </c>
      <c r="D483" s="52">
        <v>2055.9</v>
      </c>
      <c r="E483" s="53">
        <f t="shared" si="738"/>
        <v>1027.95</v>
      </c>
      <c r="F483" s="41">
        <f t="shared" si="739"/>
        <v>3083.8500000000004</v>
      </c>
      <c r="G483" s="53">
        <f t="shared" si="740"/>
        <v>2312.8875000000003</v>
      </c>
      <c r="H483" s="54">
        <f t="shared" si="741"/>
        <v>1027.95</v>
      </c>
      <c r="I483" s="55">
        <f t="shared" si="742"/>
        <v>4111.8</v>
      </c>
      <c r="J483" s="56">
        <f t="shared" si="743"/>
        <v>3083.8500000000004</v>
      </c>
      <c r="K483" s="108">
        <f t="shared" si="744"/>
        <v>365.16873889875666</v>
      </c>
      <c r="L483" s="194" t="s">
        <v>2167</v>
      </c>
      <c r="M483" s="304" t="s">
        <v>2307</v>
      </c>
    </row>
    <row r="484" spans="1:13" ht="15.75" customHeight="1" x14ac:dyDescent="0.25">
      <c r="A484" s="49" t="s">
        <v>536</v>
      </c>
      <c r="B484" s="50" t="s">
        <v>2283</v>
      </c>
      <c r="C484" s="47">
        <v>17.18</v>
      </c>
      <c r="D484" s="47">
        <v>2091.0949999999998</v>
      </c>
      <c r="E484" s="53">
        <f t="shared" si="738"/>
        <v>1045.5474999999999</v>
      </c>
      <c r="F484" s="41">
        <f t="shared" si="739"/>
        <v>3136.6424999999999</v>
      </c>
      <c r="G484" s="53">
        <f t="shared" si="740"/>
        <v>2352.4818749999999</v>
      </c>
      <c r="H484" s="54">
        <f t="shared" si="741"/>
        <v>1045.5474999999999</v>
      </c>
      <c r="I484" s="55">
        <f t="shared" si="742"/>
        <v>4182.1899999999996</v>
      </c>
      <c r="J484" s="56">
        <f t="shared" si="743"/>
        <v>3136.6424999999999</v>
      </c>
      <c r="K484" s="108">
        <f t="shared" si="744"/>
        <v>243.43364377182769</v>
      </c>
      <c r="L484" s="194" t="s">
        <v>2168</v>
      </c>
      <c r="M484" s="304" t="s">
        <v>2307</v>
      </c>
    </row>
    <row r="485" spans="1:13" ht="15.75" customHeight="1" x14ac:dyDescent="0.25">
      <c r="A485" s="49" t="s">
        <v>537</v>
      </c>
      <c r="B485" s="50" t="s">
        <v>2283</v>
      </c>
      <c r="C485" s="47">
        <v>17.18</v>
      </c>
      <c r="D485" s="47">
        <v>2091.1</v>
      </c>
      <c r="E485" s="53">
        <f t="shared" si="738"/>
        <v>1045.55</v>
      </c>
      <c r="F485" s="41">
        <f t="shared" si="739"/>
        <v>3136.6499999999996</v>
      </c>
      <c r="G485" s="53">
        <f t="shared" si="740"/>
        <v>2352.4874999999997</v>
      </c>
      <c r="H485" s="54">
        <f t="shared" si="741"/>
        <v>1045.55</v>
      </c>
      <c r="I485" s="55">
        <f t="shared" si="742"/>
        <v>4182.2</v>
      </c>
      <c r="J485" s="56">
        <f t="shared" si="743"/>
        <v>3136.6499999999996</v>
      </c>
      <c r="K485" s="108">
        <f t="shared" si="744"/>
        <v>243.43422584400466</v>
      </c>
      <c r="L485" s="194" t="s">
        <v>2168</v>
      </c>
      <c r="M485" s="304" t="s">
        <v>2307</v>
      </c>
    </row>
    <row r="486" spans="1:13" ht="15.75" customHeight="1" x14ac:dyDescent="0.25">
      <c r="A486" s="49" t="s">
        <v>538</v>
      </c>
      <c r="B486" s="50" t="s">
        <v>1347</v>
      </c>
      <c r="C486" s="47">
        <v>12.4</v>
      </c>
      <c r="D486" s="52">
        <v>1251.48</v>
      </c>
      <c r="E486" s="53">
        <f t="shared" si="738"/>
        <v>625.74</v>
      </c>
      <c r="F486" s="41">
        <f t="shared" si="739"/>
        <v>1877.22</v>
      </c>
      <c r="G486" s="53">
        <f t="shared" si="740"/>
        <v>1407.915</v>
      </c>
      <c r="H486" s="54">
        <f t="shared" si="741"/>
        <v>625.74</v>
      </c>
      <c r="I486" s="55">
        <f t="shared" si="742"/>
        <v>2502.96</v>
      </c>
      <c r="J486" s="56">
        <f t="shared" si="743"/>
        <v>1877.22</v>
      </c>
      <c r="K486" s="108">
        <f t="shared" si="744"/>
        <v>201.8516129032258</v>
      </c>
      <c r="L486" s="194" t="s">
        <v>2168</v>
      </c>
      <c r="M486" s="304" t="s">
        <v>2307</v>
      </c>
    </row>
    <row r="487" spans="1:13" ht="15.75" customHeight="1" x14ac:dyDescent="0.25">
      <c r="A487" s="49" t="s">
        <v>539</v>
      </c>
      <c r="B487" s="50" t="s">
        <v>540</v>
      </c>
      <c r="C487" s="47">
        <v>13.41</v>
      </c>
      <c r="D487" s="52">
        <v>1736.57</v>
      </c>
      <c r="E487" s="53">
        <f t="shared" si="738"/>
        <v>868.28499999999997</v>
      </c>
      <c r="F487" s="41">
        <f t="shared" si="739"/>
        <v>2604.855</v>
      </c>
      <c r="G487" s="53">
        <f t="shared" si="740"/>
        <v>1953.6412500000001</v>
      </c>
      <c r="H487" s="54">
        <f t="shared" si="741"/>
        <v>868.28499999999997</v>
      </c>
      <c r="I487" s="55">
        <f t="shared" si="742"/>
        <v>3473.14</v>
      </c>
      <c r="J487" s="56">
        <f t="shared" si="743"/>
        <v>2604.855</v>
      </c>
      <c r="K487" s="108">
        <f t="shared" si="744"/>
        <v>258.99627143922447</v>
      </c>
      <c r="L487" s="194" t="s">
        <v>2168</v>
      </c>
      <c r="M487" s="304" t="s">
        <v>2307</v>
      </c>
    </row>
    <row r="488" spans="1:13" ht="15.75" customHeight="1" x14ac:dyDescent="0.25">
      <c r="A488" s="49" t="s">
        <v>541</v>
      </c>
      <c r="B488" s="50" t="s">
        <v>1347</v>
      </c>
      <c r="C488" s="47">
        <v>12.32</v>
      </c>
      <c r="D488" s="52">
        <v>1573.63</v>
      </c>
      <c r="E488" s="53">
        <f t="shared" si="738"/>
        <v>786.81500000000005</v>
      </c>
      <c r="F488" s="41">
        <f t="shared" si="739"/>
        <v>2360.4450000000002</v>
      </c>
      <c r="G488" s="53">
        <f t="shared" si="740"/>
        <v>1770.3337500000002</v>
      </c>
      <c r="H488" s="54">
        <f t="shared" si="741"/>
        <v>786.81500000000005</v>
      </c>
      <c r="I488" s="55">
        <f t="shared" si="742"/>
        <v>3147.26</v>
      </c>
      <c r="J488" s="56">
        <f t="shared" si="743"/>
        <v>2360.4450000000002</v>
      </c>
      <c r="K488" s="108">
        <f t="shared" si="744"/>
        <v>255.45941558441561</v>
      </c>
      <c r="L488" s="194" t="s">
        <v>2168</v>
      </c>
      <c r="M488" s="304" t="s">
        <v>2307</v>
      </c>
    </row>
    <row r="489" spans="1:13" ht="15.75" customHeight="1" x14ac:dyDescent="0.25">
      <c r="A489" s="49" t="s">
        <v>542</v>
      </c>
      <c r="B489" s="50" t="s">
        <v>1347</v>
      </c>
      <c r="C489" s="47">
        <v>12.33</v>
      </c>
      <c r="D489" s="47">
        <v>1573.63</v>
      </c>
      <c r="E489" s="53">
        <f t="shared" si="738"/>
        <v>786.81500000000005</v>
      </c>
      <c r="F489" s="41">
        <f t="shared" si="739"/>
        <v>2360.4450000000002</v>
      </c>
      <c r="G489" s="53">
        <f t="shared" si="740"/>
        <v>1770.3337500000002</v>
      </c>
      <c r="H489" s="54">
        <f t="shared" si="741"/>
        <v>786.81500000000005</v>
      </c>
      <c r="I489" s="55">
        <f t="shared" si="742"/>
        <v>3147.26</v>
      </c>
      <c r="J489" s="56">
        <f t="shared" si="743"/>
        <v>2360.4450000000002</v>
      </c>
      <c r="K489" s="108">
        <f t="shared" si="744"/>
        <v>255.25223033252232</v>
      </c>
      <c r="L489" s="194" t="s">
        <v>2168</v>
      </c>
      <c r="M489" s="304" t="s">
        <v>2307</v>
      </c>
    </row>
    <row r="490" spans="1:13" ht="15.75" customHeight="1" x14ac:dyDescent="0.25">
      <c r="A490" s="49"/>
      <c r="B490" s="50"/>
      <c r="C490" s="47"/>
      <c r="D490" s="52"/>
      <c r="E490" s="57"/>
      <c r="F490" s="47"/>
      <c r="G490" s="57"/>
      <c r="H490" s="58"/>
      <c r="I490" s="199"/>
      <c r="J490" s="59"/>
      <c r="K490" s="108"/>
      <c r="L490" s="194"/>
      <c r="M490" s="304"/>
    </row>
    <row r="491" spans="1:13" ht="15.75" customHeight="1" x14ac:dyDescent="0.25">
      <c r="A491" s="49" t="s">
        <v>543</v>
      </c>
      <c r="B491" s="50" t="s">
        <v>1763</v>
      </c>
      <c r="C491" s="47">
        <v>6.45</v>
      </c>
      <c r="D491" s="52">
        <v>834.95</v>
      </c>
      <c r="E491" s="53">
        <f t="shared" ref="E491:E492" si="745">D491*50%</f>
        <v>417.47500000000002</v>
      </c>
      <c r="F491" s="41">
        <f t="shared" ref="F491:F492" si="746">D491+E491</f>
        <v>1252.4250000000002</v>
      </c>
      <c r="G491" s="53">
        <f t="shared" ref="G491:G492" si="747">F491-(F491*25%)</f>
        <v>939.31875000000014</v>
      </c>
      <c r="H491" s="54">
        <f t="shared" ref="H491:H492" si="748">D491*50%</f>
        <v>417.47500000000002</v>
      </c>
      <c r="I491" s="55">
        <f t="shared" ref="I491:I492" si="749">D491+(H491*2)</f>
        <v>1669.9</v>
      </c>
      <c r="J491" s="56">
        <f t="shared" ref="J491:J492" si="750">I491-(I491*25%)</f>
        <v>1252.4250000000002</v>
      </c>
      <c r="K491" s="108">
        <f t="shared" ref="K491:K492" si="751">I491/C491</f>
        <v>258.89922480620157</v>
      </c>
      <c r="L491" s="194" t="s">
        <v>2167</v>
      </c>
      <c r="M491" s="304" t="s">
        <v>2307</v>
      </c>
    </row>
    <row r="492" spans="1:13" ht="15.75" customHeight="1" x14ac:dyDescent="0.25">
      <c r="A492" s="49" t="s">
        <v>544</v>
      </c>
      <c r="B492" s="50" t="s">
        <v>1763</v>
      </c>
      <c r="C492" s="47">
        <v>16.34</v>
      </c>
      <c r="D492" s="52">
        <v>2115.21</v>
      </c>
      <c r="E492" s="53">
        <f t="shared" si="745"/>
        <v>1057.605</v>
      </c>
      <c r="F492" s="41">
        <f t="shared" si="746"/>
        <v>3172.8150000000001</v>
      </c>
      <c r="G492" s="53">
        <f t="shared" si="747"/>
        <v>2379.6112499999999</v>
      </c>
      <c r="H492" s="54">
        <f t="shared" si="748"/>
        <v>1057.605</v>
      </c>
      <c r="I492" s="55">
        <f t="shared" si="749"/>
        <v>4230.42</v>
      </c>
      <c r="J492" s="56">
        <f t="shared" si="750"/>
        <v>3172.8150000000001</v>
      </c>
      <c r="K492" s="108">
        <f t="shared" si="751"/>
        <v>258.89963280293756</v>
      </c>
      <c r="L492" s="194" t="s">
        <v>2167</v>
      </c>
      <c r="M492" s="304" t="s">
        <v>2307</v>
      </c>
    </row>
    <row r="493" spans="1:13" ht="15.75" customHeight="1" x14ac:dyDescent="0.25">
      <c r="A493" s="65"/>
      <c r="B493" s="65"/>
      <c r="C493" s="57"/>
      <c r="D493" s="57"/>
      <c r="E493" s="57"/>
      <c r="F493" s="47"/>
      <c r="G493" s="57"/>
      <c r="H493" s="58"/>
      <c r="I493" s="199"/>
      <c r="J493" s="59"/>
      <c r="K493" s="108"/>
      <c r="L493" s="194"/>
      <c r="M493" s="304"/>
    </row>
    <row r="494" spans="1:13" ht="15.75" customHeight="1" x14ac:dyDescent="0.25">
      <c r="A494" s="49" t="s">
        <v>545</v>
      </c>
      <c r="B494" s="50" t="s">
        <v>1504</v>
      </c>
      <c r="C494" s="47">
        <v>36.19</v>
      </c>
      <c r="D494" s="52">
        <v>2380.625</v>
      </c>
      <c r="E494" s="53">
        <f t="shared" ref="E494:E501" si="752">D494*50%</f>
        <v>1190.3125</v>
      </c>
      <c r="F494" s="41">
        <f t="shared" ref="F494:F501" si="753">D494+E494</f>
        <v>3570.9375</v>
      </c>
      <c r="G494" s="53">
        <f t="shared" ref="G494:G501" si="754">F494-(F494*25%)</f>
        <v>2678.203125</v>
      </c>
      <c r="H494" s="54">
        <f t="shared" ref="H494:H501" si="755">D494*50%</f>
        <v>1190.3125</v>
      </c>
      <c r="I494" s="55">
        <f t="shared" ref="I494:I501" si="756">D494+(H494*2)</f>
        <v>4761.25</v>
      </c>
      <c r="J494" s="56">
        <f t="shared" ref="J494:J501" si="757">I494-(I494*25%)</f>
        <v>3570.9375</v>
      </c>
      <c r="K494" s="108">
        <f t="shared" ref="K494:K501" si="758">I494/C494</f>
        <v>131.56258634982041</v>
      </c>
      <c r="L494" s="194" t="s">
        <v>2169</v>
      </c>
      <c r="M494" s="304"/>
    </row>
    <row r="495" spans="1:13" ht="15.75" customHeight="1" x14ac:dyDescent="0.25">
      <c r="A495" s="49" t="s">
        <v>546</v>
      </c>
      <c r="B495" s="50" t="s">
        <v>547</v>
      </c>
      <c r="C495" s="47">
        <v>49.77</v>
      </c>
      <c r="D495" s="52">
        <v>2049.83</v>
      </c>
      <c r="E495" s="53">
        <f t="shared" si="752"/>
        <v>1024.915</v>
      </c>
      <c r="F495" s="41">
        <f t="shared" si="753"/>
        <v>3074.7449999999999</v>
      </c>
      <c r="G495" s="53">
        <f t="shared" si="754"/>
        <v>2306.0587500000001</v>
      </c>
      <c r="H495" s="54">
        <f t="shared" si="755"/>
        <v>1024.915</v>
      </c>
      <c r="I495" s="55">
        <f t="shared" si="756"/>
        <v>4099.66</v>
      </c>
      <c r="J495" s="56">
        <f t="shared" si="757"/>
        <v>3074.7449999999999</v>
      </c>
      <c r="K495" s="108">
        <f t="shared" si="758"/>
        <v>82.372111713883854</v>
      </c>
      <c r="L495" s="194" t="s">
        <v>2170</v>
      </c>
      <c r="M495" s="304"/>
    </row>
    <row r="496" spans="1:13" ht="15.75" customHeight="1" x14ac:dyDescent="0.25">
      <c r="A496" s="49" t="s">
        <v>548</v>
      </c>
      <c r="B496" s="50" t="s">
        <v>1504</v>
      </c>
      <c r="C496" s="47"/>
      <c r="D496" s="47">
        <v>2380.625</v>
      </c>
      <c r="E496" s="53">
        <f t="shared" si="752"/>
        <v>1190.3125</v>
      </c>
      <c r="F496" s="41">
        <f t="shared" si="753"/>
        <v>3570.9375</v>
      </c>
      <c r="G496" s="53">
        <f t="shared" si="754"/>
        <v>2678.203125</v>
      </c>
      <c r="H496" s="54">
        <f t="shared" si="755"/>
        <v>1190.3125</v>
      </c>
      <c r="I496" s="55">
        <f t="shared" si="756"/>
        <v>4761.25</v>
      </c>
      <c r="J496" s="56">
        <f t="shared" si="757"/>
        <v>3570.9375</v>
      </c>
      <c r="K496" s="108"/>
      <c r="L496" s="194" t="s">
        <v>2169</v>
      </c>
      <c r="M496" s="304"/>
    </row>
    <row r="497" spans="1:13" ht="15.75" customHeight="1" x14ac:dyDescent="0.25">
      <c r="A497" s="49" t="s">
        <v>549</v>
      </c>
      <c r="B497" s="50" t="s">
        <v>550</v>
      </c>
      <c r="C497" s="47">
        <v>18.100000000000001</v>
      </c>
      <c r="D497" s="47">
        <v>2049.83</v>
      </c>
      <c r="E497" s="53">
        <f t="shared" si="752"/>
        <v>1024.915</v>
      </c>
      <c r="F497" s="41">
        <f t="shared" si="753"/>
        <v>3074.7449999999999</v>
      </c>
      <c r="G497" s="53">
        <f t="shared" si="754"/>
        <v>2306.0587500000001</v>
      </c>
      <c r="H497" s="54">
        <f t="shared" si="755"/>
        <v>1024.915</v>
      </c>
      <c r="I497" s="55">
        <f t="shared" si="756"/>
        <v>4099.66</v>
      </c>
      <c r="J497" s="56">
        <f t="shared" si="757"/>
        <v>3074.7449999999999</v>
      </c>
      <c r="K497" s="108">
        <f t="shared" si="758"/>
        <v>226.50055248618781</v>
      </c>
      <c r="L497" s="194" t="s">
        <v>2170</v>
      </c>
      <c r="M497" s="304" t="s">
        <v>2307</v>
      </c>
    </row>
    <row r="498" spans="1:13" ht="15.75" customHeight="1" x14ac:dyDescent="0.25">
      <c r="A498" s="49" t="s">
        <v>551</v>
      </c>
      <c r="B498" s="50" t="s">
        <v>550</v>
      </c>
      <c r="C498" s="47">
        <v>14.44</v>
      </c>
      <c r="D498" s="47">
        <v>2049.83</v>
      </c>
      <c r="E498" s="53">
        <f t="shared" si="752"/>
        <v>1024.915</v>
      </c>
      <c r="F498" s="41">
        <f t="shared" si="753"/>
        <v>3074.7449999999999</v>
      </c>
      <c r="G498" s="53">
        <f t="shared" si="754"/>
        <v>2306.0587500000001</v>
      </c>
      <c r="H498" s="54">
        <f t="shared" si="755"/>
        <v>1024.915</v>
      </c>
      <c r="I498" s="55">
        <f t="shared" si="756"/>
        <v>4099.66</v>
      </c>
      <c r="J498" s="56">
        <f t="shared" si="757"/>
        <v>3074.7449999999999</v>
      </c>
      <c r="K498" s="108">
        <f t="shared" si="758"/>
        <v>283.909972299169</v>
      </c>
      <c r="L498" s="194" t="s">
        <v>2170</v>
      </c>
      <c r="M498" s="304" t="s">
        <v>2307</v>
      </c>
    </row>
    <row r="499" spans="1:13" ht="15.75" customHeight="1" x14ac:dyDescent="0.25">
      <c r="A499" s="49" t="s">
        <v>552</v>
      </c>
      <c r="B499" s="50" t="s">
        <v>550</v>
      </c>
      <c r="C499" s="47">
        <v>14.44</v>
      </c>
      <c r="D499" s="52">
        <v>2049.83</v>
      </c>
      <c r="E499" s="53">
        <f t="shared" si="752"/>
        <v>1024.915</v>
      </c>
      <c r="F499" s="41">
        <f t="shared" si="753"/>
        <v>3074.7449999999999</v>
      </c>
      <c r="G499" s="53">
        <f t="shared" si="754"/>
        <v>2306.0587500000001</v>
      </c>
      <c r="H499" s="54">
        <f t="shared" si="755"/>
        <v>1024.915</v>
      </c>
      <c r="I499" s="55">
        <f t="shared" si="756"/>
        <v>4099.66</v>
      </c>
      <c r="J499" s="56">
        <f t="shared" si="757"/>
        <v>3074.7449999999999</v>
      </c>
      <c r="K499" s="108">
        <f t="shared" si="758"/>
        <v>283.909972299169</v>
      </c>
      <c r="L499" s="194" t="s">
        <v>2170</v>
      </c>
      <c r="M499" s="304" t="s">
        <v>2307</v>
      </c>
    </row>
    <row r="500" spans="1:13" ht="15.75" customHeight="1" x14ac:dyDescent="0.25">
      <c r="A500" s="49" t="s">
        <v>553</v>
      </c>
      <c r="B500" s="50" t="s">
        <v>2086</v>
      </c>
      <c r="C500" s="47">
        <v>10.15</v>
      </c>
      <c r="D500" s="52">
        <v>1394.2</v>
      </c>
      <c r="E500" s="53">
        <f t="shared" si="752"/>
        <v>697.1</v>
      </c>
      <c r="F500" s="41">
        <f t="shared" si="753"/>
        <v>2091.3000000000002</v>
      </c>
      <c r="G500" s="53">
        <f t="shared" si="754"/>
        <v>1568.4750000000001</v>
      </c>
      <c r="H500" s="54">
        <f t="shared" si="755"/>
        <v>697.1</v>
      </c>
      <c r="I500" s="55">
        <f t="shared" si="756"/>
        <v>2788.4</v>
      </c>
      <c r="J500" s="56">
        <f t="shared" si="757"/>
        <v>2091.3000000000002</v>
      </c>
      <c r="K500" s="108">
        <f t="shared" si="758"/>
        <v>274.7192118226601</v>
      </c>
      <c r="L500" s="194" t="s">
        <v>2171</v>
      </c>
      <c r="M500" s="304" t="s">
        <v>2307</v>
      </c>
    </row>
    <row r="501" spans="1:13" ht="15.75" customHeight="1" x14ac:dyDescent="0.25">
      <c r="A501" s="49" t="s">
        <v>554</v>
      </c>
      <c r="B501" s="50" t="s">
        <v>2086</v>
      </c>
      <c r="C501" s="47">
        <v>10.15</v>
      </c>
      <c r="D501" s="47">
        <v>1394.2</v>
      </c>
      <c r="E501" s="53">
        <f t="shared" si="752"/>
        <v>697.1</v>
      </c>
      <c r="F501" s="41">
        <f t="shared" si="753"/>
        <v>2091.3000000000002</v>
      </c>
      <c r="G501" s="53">
        <f t="shared" si="754"/>
        <v>1568.4750000000001</v>
      </c>
      <c r="H501" s="54">
        <f t="shared" si="755"/>
        <v>697.1</v>
      </c>
      <c r="I501" s="55">
        <f t="shared" si="756"/>
        <v>2788.4</v>
      </c>
      <c r="J501" s="56">
        <f t="shared" si="757"/>
        <v>2091.3000000000002</v>
      </c>
      <c r="K501" s="108">
        <f t="shared" si="758"/>
        <v>274.7192118226601</v>
      </c>
      <c r="L501" s="194" t="s">
        <v>2171</v>
      </c>
      <c r="M501" s="304" t="s">
        <v>2307</v>
      </c>
    </row>
    <row r="502" spans="1:13" ht="15.75" customHeight="1" x14ac:dyDescent="0.25">
      <c r="A502" s="49"/>
      <c r="B502" s="50"/>
      <c r="C502" s="47"/>
      <c r="D502" s="52"/>
      <c r="E502" s="57"/>
      <c r="F502" s="47"/>
      <c r="G502" s="57"/>
      <c r="H502" s="58"/>
      <c r="I502" s="199"/>
      <c r="J502" s="59"/>
      <c r="K502" s="108"/>
      <c r="L502" s="194"/>
      <c r="M502" s="304"/>
    </row>
    <row r="503" spans="1:13" ht="15.75" customHeight="1" x14ac:dyDescent="0.25">
      <c r="A503" s="49" t="s">
        <v>555</v>
      </c>
      <c r="B503" s="50" t="s">
        <v>2085</v>
      </c>
      <c r="C503" s="47">
        <v>8.09</v>
      </c>
      <c r="D503" s="52">
        <v>1345.4</v>
      </c>
      <c r="E503" s="53">
        <f t="shared" ref="E503:E510" si="759">D503*50%</f>
        <v>672.7</v>
      </c>
      <c r="F503" s="41">
        <f t="shared" ref="F503:F510" si="760">D503+E503</f>
        <v>2018.1000000000001</v>
      </c>
      <c r="G503" s="53">
        <f t="shared" ref="G503:G510" si="761">F503-(F503*25%)</f>
        <v>1513.575</v>
      </c>
      <c r="H503" s="54">
        <f t="shared" ref="H503:H510" si="762">D503*50%</f>
        <v>672.7</v>
      </c>
      <c r="I503" s="55">
        <f t="shared" ref="I503:I510" si="763">D503+(H503*2)</f>
        <v>2690.8</v>
      </c>
      <c r="J503" s="56">
        <f t="shared" ref="J503:J510" si="764">I503-(I503*25%)</f>
        <v>2018.1000000000001</v>
      </c>
      <c r="K503" s="108">
        <f t="shared" ref="K503:K510" si="765">I503/C503</f>
        <v>332.60815822002473</v>
      </c>
      <c r="L503" s="194" t="s">
        <v>2167</v>
      </c>
      <c r="M503" s="304" t="s">
        <v>2307</v>
      </c>
    </row>
    <row r="504" spans="1:13" ht="15.75" customHeight="1" x14ac:dyDescent="0.25">
      <c r="A504" s="49" t="s">
        <v>557</v>
      </c>
      <c r="B504" s="50" t="s">
        <v>556</v>
      </c>
      <c r="C504" s="47">
        <v>13.53</v>
      </c>
      <c r="D504" s="52">
        <v>1894.74</v>
      </c>
      <c r="E504" s="53">
        <f t="shared" si="759"/>
        <v>947.37</v>
      </c>
      <c r="F504" s="41">
        <f t="shared" si="760"/>
        <v>2842.11</v>
      </c>
      <c r="G504" s="53">
        <f t="shared" si="761"/>
        <v>2131.5825</v>
      </c>
      <c r="H504" s="54">
        <f t="shared" si="762"/>
        <v>947.37</v>
      </c>
      <c r="I504" s="55">
        <f t="shared" si="763"/>
        <v>3789.48</v>
      </c>
      <c r="J504" s="56">
        <f t="shared" si="764"/>
        <v>2842.11</v>
      </c>
      <c r="K504" s="108">
        <f t="shared" si="765"/>
        <v>280.07982261640802</v>
      </c>
      <c r="L504" s="194" t="s">
        <v>1981</v>
      </c>
      <c r="M504" s="304"/>
    </row>
    <row r="505" spans="1:13" ht="15.75" customHeight="1" x14ac:dyDescent="0.25">
      <c r="A505" s="49" t="s">
        <v>558</v>
      </c>
      <c r="B505" s="50" t="s">
        <v>559</v>
      </c>
      <c r="C505" s="47">
        <v>35.380000000000003</v>
      </c>
      <c r="D505" s="52">
        <v>1625.4549999999999</v>
      </c>
      <c r="E505" s="53">
        <f t="shared" si="759"/>
        <v>812.72749999999996</v>
      </c>
      <c r="F505" s="41">
        <f t="shared" si="760"/>
        <v>2438.1824999999999</v>
      </c>
      <c r="G505" s="53">
        <f t="shared" si="761"/>
        <v>1828.6368749999999</v>
      </c>
      <c r="H505" s="54">
        <f t="shared" si="762"/>
        <v>812.72749999999996</v>
      </c>
      <c r="I505" s="55">
        <f t="shared" si="763"/>
        <v>3250.91</v>
      </c>
      <c r="J505" s="56">
        <f t="shared" si="764"/>
        <v>2438.1824999999999</v>
      </c>
      <c r="K505" s="108"/>
      <c r="L505" s="194" t="s">
        <v>2172</v>
      </c>
      <c r="M505" s="304" t="s">
        <v>2307</v>
      </c>
    </row>
    <row r="506" spans="1:13" ht="15.75" customHeight="1" x14ac:dyDescent="0.25">
      <c r="A506" s="49" t="s">
        <v>560</v>
      </c>
      <c r="B506" s="50" t="s">
        <v>561</v>
      </c>
      <c r="C506" s="47"/>
      <c r="D506" s="52">
        <v>1625.4549999999999</v>
      </c>
      <c r="E506" s="53">
        <f t="shared" si="759"/>
        <v>812.72749999999996</v>
      </c>
      <c r="F506" s="41">
        <f t="shared" si="760"/>
        <v>2438.1824999999999</v>
      </c>
      <c r="G506" s="53">
        <f t="shared" si="761"/>
        <v>1828.6368749999999</v>
      </c>
      <c r="H506" s="54">
        <f t="shared" si="762"/>
        <v>812.72749999999996</v>
      </c>
      <c r="I506" s="55">
        <f t="shared" si="763"/>
        <v>3250.91</v>
      </c>
      <c r="J506" s="56">
        <f t="shared" si="764"/>
        <v>2438.1824999999999</v>
      </c>
      <c r="K506" s="108"/>
      <c r="L506" s="194" t="s">
        <v>2172</v>
      </c>
      <c r="M506" s="304" t="s">
        <v>2307</v>
      </c>
    </row>
    <row r="507" spans="1:13" ht="15.75" customHeight="1" x14ac:dyDescent="0.25">
      <c r="A507" s="49" t="s">
        <v>562</v>
      </c>
      <c r="B507" s="50" t="s">
        <v>561</v>
      </c>
      <c r="C507" s="47"/>
      <c r="D507" s="52">
        <v>1625.46</v>
      </c>
      <c r="E507" s="53">
        <f t="shared" si="759"/>
        <v>812.73</v>
      </c>
      <c r="F507" s="41">
        <f t="shared" si="760"/>
        <v>2438.19</v>
      </c>
      <c r="G507" s="53">
        <f t="shared" si="761"/>
        <v>1828.6424999999999</v>
      </c>
      <c r="H507" s="54">
        <f t="shared" si="762"/>
        <v>812.73</v>
      </c>
      <c r="I507" s="55">
        <f t="shared" si="763"/>
        <v>3250.92</v>
      </c>
      <c r="J507" s="56">
        <f t="shared" si="764"/>
        <v>2438.19</v>
      </c>
      <c r="K507" s="108"/>
      <c r="L507" s="194" t="s">
        <v>2172</v>
      </c>
      <c r="M507" s="304" t="s">
        <v>2307</v>
      </c>
    </row>
    <row r="508" spans="1:13" ht="15.75" customHeight="1" x14ac:dyDescent="0.25">
      <c r="A508" s="49" t="s">
        <v>563</v>
      </c>
      <c r="B508" s="50" t="s">
        <v>561</v>
      </c>
      <c r="C508" s="47">
        <v>9.8000000000000007</v>
      </c>
      <c r="D508" s="52">
        <v>1625.46</v>
      </c>
      <c r="E508" s="53">
        <f t="shared" si="759"/>
        <v>812.73</v>
      </c>
      <c r="F508" s="41">
        <f t="shared" si="760"/>
        <v>2438.19</v>
      </c>
      <c r="G508" s="53">
        <f t="shared" si="761"/>
        <v>1828.6424999999999</v>
      </c>
      <c r="H508" s="54">
        <f t="shared" si="762"/>
        <v>812.73</v>
      </c>
      <c r="I508" s="55">
        <f t="shared" si="763"/>
        <v>3250.92</v>
      </c>
      <c r="J508" s="56">
        <f t="shared" si="764"/>
        <v>2438.19</v>
      </c>
      <c r="K508" s="108"/>
      <c r="L508" s="194" t="s">
        <v>2172</v>
      </c>
      <c r="M508" s="304" t="s">
        <v>2307</v>
      </c>
    </row>
    <row r="509" spans="1:13" ht="15.75" customHeight="1" x14ac:dyDescent="0.25">
      <c r="A509" s="49" t="s">
        <v>564</v>
      </c>
      <c r="B509" s="50" t="s">
        <v>1733</v>
      </c>
      <c r="C509" s="47">
        <v>9.8000000000000007</v>
      </c>
      <c r="D509" s="52">
        <v>1202.8050000000001</v>
      </c>
      <c r="E509" s="53">
        <f t="shared" si="759"/>
        <v>601.40250000000003</v>
      </c>
      <c r="F509" s="41">
        <f t="shared" si="760"/>
        <v>1804.2075</v>
      </c>
      <c r="G509" s="53">
        <f t="shared" si="761"/>
        <v>1353.1556249999999</v>
      </c>
      <c r="H509" s="54">
        <f t="shared" si="762"/>
        <v>601.40250000000003</v>
      </c>
      <c r="I509" s="55">
        <f t="shared" si="763"/>
        <v>2405.61</v>
      </c>
      <c r="J509" s="56">
        <f t="shared" si="764"/>
        <v>1804.2075</v>
      </c>
      <c r="K509" s="108">
        <f t="shared" si="765"/>
        <v>245.47040816326529</v>
      </c>
      <c r="L509" s="194" t="s">
        <v>2167</v>
      </c>
      <c r="M509" s="304" t="s">
        <v>2307</v>
      </c>
    </row>
    <row r="510" spans="1:13" ht="15.75" customHeight="1" x14ac:dyDescent="0.25">
      <c r="A510" s="49" t="s">
        <v>565</v>
      </c>
      <c r="B510" s="50" t="s">
        <v>1320</v>
      </c>
      <c r="C510" s="47">
        <v>13.2</v>
      </c>
      <c r="D510" s="47">
        <v>2171.0700000000002</v>
      </c>
      <c r="E510" s="53">
        <f t="shared" si="759"/>
        <v>1085.5350000000001</v>
      </c>
      <c r="F510" s="41">
        <f t="shared" si="760"/>
        <v>3256.6050000000005</v>
      </c>
      <c r="G510" s="53">
        <f t="shared" si="761"/>
        <v>2442.4537500000006</v>
      </c>
      <c r="H510" s="54">
        <f t="shared" si="762"/>
        <v>1085.5350000000001</v>
      </c>
      <c r="I510" s="55">
        <f t="shared" si="763"/>
        <v>4342.1400000000003</v>
      </c>
      <c r="J510" s="56">
        <f t="shared" si="764"/>
        <v>3256.6050000000005</v>
      </c>
      <c r="K510" s="108">
        <f t="shared" si="765"/>
        <v>328.95000000000005</v>
      </c>
      <c r="L510" s="194" t="s">
        <v>2173</v>
      </c>
      <c r="M510" s="304" t="s">
        <v>2307</v>
      </c>
    </row>
    <row r="511" spans="1:13" ht="15.75" customHeight="1" x14ac:dyDescent="0.25">
      <c r="A511" s="49"/>
      <c r="B511" s="50"/>
      <c r="C511" s="47"/>
      <c r="D511" s="52"/>
      <c r="E511" s="57"/>
      <c r="F511" s="47"/>
      <c r="G511" s="57"/>
      <c r="H511" s="58"/>
      <c r="I511" s="199"/>
      <c r="J511" s="59"/>
      <c r="K511" s="108"/>
      <c r="L511" s="194"/>
      <c r="M511" s="304"/>
    </row>
    <row r="512" spans="1:13" ht="15.75" customHeight="1" x14ac:dyDescent="0.25">
      <c r="A512" s="49" t="s">
        <v>566</v>
      </c>
      <c r="B512" s="50" t="s">
        <v>1892</v>
      </c>
      <c r="C512" s="47">
        <v>13.65</v>
      </c>
      <c r="D512" s="52">
        <v>2249.5349999999999</v>
      </c>
      <c r="E512" s="53">
        <f t="shared" ref="E512:E521" si="766">D512*50%</f>
        <v>1124.7674999999999</v>
      </c>
      <c r="F512" s="41">
        <f t="shared" ref="F512:F521" si="767">D512+E512</f>
        <v>3374.3024999999998</v>
      </c>
      <c r="G512" s="53">
        <f t="shared" ref="G512:G521" si="768">F512-(F512*25%)</f>
        <v>2530.7268749999998</v>
      </c>
      <c r="H512" s="54">
        <f t="shared" ref="H512:H521" si="769">D512*50%</f>
        <v>1124.7674999999999</v>
      </c>
      <c r="I512" s="55">
        <f t="shared" ref="I512:I521" si="770">D512+(H512*2)</f>
        <v>4499.07</v>
      </c>
      <c r="J512" s="56">
        <f t="shared" ref="J512:J521" si="771">I512-(I512*25%)</f>
        <v>3374.3024999999998</v>
      </c>
      <c r="K512" s="108">
        <f t="shared" ref="K512:K521" si="772">I512/C512</f>
        <v>329.60219780219779</v>
      </c>
      <c r="L512" s="194" t="s">
        <v>2174</v>
      </c>
      <c r="M512" s="304" t="s">
        <v>2307</v>
      </c>
    </row>
    <row r="513" spans="1:13" ht="15.75" customHeight="1" x14ac:dyDescent="0.25">
      <c r="A513" s="49" t="s">
        <v>567</v>
      </c>
      <c r="B513" s="50" t="s">
        <v>568</v>
      </c>
      <c r="C513" s="47">
        <v>14.9025</v>
      </c>
      <c r="D513" s="52">
        <v>2086.9549999999999</v>
      </c>
      <c r="E513" s="53">
        <f t="shared" si="766"/>
        <v>1043.4775</v>
      </c>
      <c r="F513" s="41">
        <f t="shared" si="767"/>
        <v>3130.4324999999999</v>
      </c>
      <c r="G513" s="53">
        <f t="shared" si="768"/>
        <v>2347.8243750000001</v>
      </c>
      <c r="H513" s="54">
        <f t="shared" si="769"/>
        <v>1043.4775</v>
      </c>
      <c r="I513" s="55">
        <f t="shared" si="770"/>
        <v>4173.91</v>
      </c>
      <c r="J513" s="56">
        <f t="shared" si="771"/>
        <v>3130.4324999999999</v>
      </c>
      <c r="K513" s="108">
        <f t="shared" si="772"/>
        <v>280.08119443046468</v>
      </c>
      <c r="L513" s="194" t="s">
        <v>2167</v>
      </c>
      <c r="M513" s="304" t="s">
        <v>2307</v>
      </c>
    </row>
    <row r="514" spans="1:13" ht="15.75" customHeight="1" x14ac:dyDescent="0.25">
      <c r="A514" s="49" t="s">
        <v>569</v>
      </c>
      <c r="B514" s="50" t="s">
        <v>1893</v>
      </c>
      <c r="C514" s="47">
        <v>13.66</v>
      </c>
      <c r="D514" s="52">
        <v>2249.5349999999999</v>
      </c>
      <c r="E514" s="53">
        <f t="shared" si="766"/>
        <v>1124.7674999999999</v>
      </c>
      <c r="F514" s="41">
        <f t="shared" si="767"/>
        <v>3374.3024999999998</v>
      </c>
      <c r="G514" s="53">
        <f t="shared" si="768"/>
        <v>2530.7268749999998</v>
      </c>
      <c r="H514" s="54">
        <f t="shared" si="769"/>
        <v>1124.7674999999999</v>
      </c>
      <c r="I514" s="55">
        <f t="shared" si="770"/>
        <v>4499.07</v>
      </c>
      <c r="J514" s="56">
        <f t="shared" si="771"/>
        <v>3374.3024999999998</v>
      </c>
      <c r="K514" s="108">
        <f t="shared" si="772"/>
        <v>329.36090775988282</v>
      </c>
      <c r="L514" s="194" t="s">
        <v>2174</v>
      </c>
      <c r="M514" s="304" t="s">
        <v>2307</v>
      </c>
    </row>
    <row r="515" spans="1:13" ht="15.75" customHeight="1" x14ac:dyDescent="0.25">
      <c r="A515" s="49" t="s">
        <v>570</v>
      </c>
      <c r="B515" s="50" t="s">
        <v>1893</v>
      </c>
      <c r="C515" s="47">
        <v>13.65</v>
      </c>
      <c r="D515" s="52">
        <v>2249.5349999999999</v>
      </c>
      <c r="E515" s="53">
        <f t="shared" si="766"/>
        <v>1124.7674999999999</v>
      </c>
      <c r="F515" s="41">
        <f t="shared" si="767"/>
        <v>3374.3024999999998</v>
      </c>
      <c r="G515" s="53">
        <f t="shared" si="768"/>
        <v>2530.7268749999998</v>
      </c>
      <c r="H515" s="54">
        <f t="shared" si="769"/>
        <v>1124.7674999999999</v>
      </c>
      <c r="I515" s="55">
        <f t="shared" si="770"/>
        <v>4499.07</v>
      </c>
      <c r="J515" s="56">
        <f t="shared" si="771"/>
        <v>3374.3024999999998</v>
      </c>
      <c r="K515" s="108">
        <f t="shared" si="772"/>
        <v>329.60219780219779</v>
      </c>
      <c r="L515" s="194" t="s">
        <v>2174</v>
      </c>
      <c r="M515" s="304" t="s">
        <v>2307</v>
      </c>
    </row>
    <row r="516" spans="1:13" ht="15.75" customHeight="1" x14ac:dyDescent="0.25">
      <c r="A516" s="49" t="s">
        <v>571</v>
      </c>
      <c r="B516" s="50" t="s">
        <v>1893</v>
      </c>
      <c r="C516" s="47">
        <v>13.65</v>
      </c>
      <c r="D516" s="52">
        <v>2249.5349999999999</v>
      </c>
      <c r="E516" s="53">
        <f t="shared" si="766"/>
        <v>1124.7674999999999</v>
      </c>
      <c r="F516" s="41">
        <f t="shared" si="767"/>
        <v>3374.3024999999998</v>
      </c>
      <c r="G516" s="53">
        <f t="shared" si="768"/>
        <v>2530.7268749999998</v>
      </c>
      <c r="H516" s="54">
        <f t="shared" si="769"/>
        <v>1124.7674999999999</v>
      </c>
      <c r="I516" s="55">
        <f t="shared" si="770"/>
        <v>4499.07</v>
      </c>
      <c r="J516" s="56">
        <f t="shared" si="771"/>
        <v>3374.3024999999998</v>
      </c>
      <c r="K516" s="108">
        <f t="shared" si="772"/>
        <v>329.60219780219779</v>
      </c>
      <c r="L516" s="194" t="s">
        <v>2174</v>
      </c>
      <c r="M516" s="304" t="s">
        <v>2307</v>
      </c>
    </row>
    <row r="517" spans="1:13" ht="15.75" customHeight="1" x14ac:dyDescent="0.25">
      <c r="A517" s="49" t="s">
        <v>572</v>
      </c>
      <c r="B517" s="50" t="s">
        <v>1894</v>
      </c>
      <c r="C517" s="47">
        <v>13.65</v>
      </c>
      <c r="D517" s="52">
        <v>2249.5349999999999</v>
      </c>
      <c r="E517" s="53">
        <f t="shared" si="766"/>
        <v>1124.7674999999999</v>
      </c>
      <c r="F517" s="41">
        <f t="shared" si="767"/>
        <v>3374.3024999999998</v>
      </c>
      <c r="G517" s="53">
        <f t="shared" si="768"/>
        <v>2530.7268749999998</v>
      </c>
      <c r="H517" s="54">
        <f t="shared" si="769"/>
        <v>1124.7674999999999</v>
      </c>
      <c r="I517" s="55">
        <f t="shared" si="770"/>
        <v>4499.07</v>
      </c>
      <c r="J517" s="56">
        <f t="shared" si="771"/>
        <v>3374.3024999999998</v>
      </c>
      <c r="K517" s="108">
        <f t="shared" si="772"/>
        <v>329.60219780219779</v>
      </c>
      <c r="L517" s="194" t="s">
        <v>2174</v>
      </c>
      <c r="M517" s="304" t="s">
        <v>2307</v>
      </c>
    </row>
    <row r="518" spans="1:13" ht="15.75" customHeight="1" x14ac:dyDescent="0.25">
      <c r="A518" s="49" t="s">
        <v>573</v>
      </c>
      <c r="B518" s="50" t="s">
        <v>1893</v>
      </c>
      <c r="C518" s="47">
        <v>13.65</v>
      </c>
      <c r="D518" s="52">
        <v>2249.5349999999999</v>
      </c>
      <c r="E518" s="53">
        <f t="shared" si="766"/>
        <v>1124.7674999999999</v>
      </c>
      <c r="F518" s="41">
        <f t="shared" si="767"/>
        <v>3374.3024999999998</v>
      </c>
      <c r="G518" s="53">
        <f t="shared" si="768"/>
        <v>2530.7268749999998</v>
      </c>
      <c r="H518" s="54">
        <f t="shared" si="769"/>
        <v>1124.7674999999999</v>
      </c>
      <c r="I518" s="55">
        <f t="shared" si="770"/>
        <v>4499.07</v>
      </c>
      <c r="J518" s="56">
        <f t="shared" si="771"/>
        <v>3374.3024999999998</v>
      </c>
      <c r="K518" s="108">
        <f t="shared" si="772"/>
        <v>329.60219780219779</v>
      </c>
      <c r="L518" s="194" t="s">
        <v>2174</v>
      </c>
      <c r="M518" s="304" t="s">
        <v>2307</v>
      </c>
    </row>
    <row r="519" spans="1:13" ht="15.75" customHeight="1" x14ac:dyDescent="0.25">
      <c r="A519" s="49" t="s">
        <v>574</v>
      </c>
      <c r="B519" s="50" t="s">
        <v>1893</v>
      </c>
      <c r="C519" s="47">
        <v>13.65</v>
      </c>
      <c r="D519" s="52">
        <v>2249.5349999999999</v>
      </c>
      <c r="E519" s="53">
        <f t="shared" si="766"/>
        <v>1124.7674999999999</v>
      </c>
      <c r="F519" s="41">
        <f t="shared" si="767"/>
        <v>3374.3024999999998</v>
      </c>
      <c r="G519" s="53">
        <f t="shared" si="768"/>
        <v>2530.7268749999998</v>
      </c>
      <c r="H519" s="54">
        <f t="shared" si="769"/>
        <v>1124.7674999999999</v>
      </c>
      <c r="I519" s="55">
        <f t="shared" si="770"/>
        <v>4499.07</v>
      </c>
      <c r="J519" s="56">
        <f t="shared" si="771"/>
        <v>3374.3024999999998</v>
      </c>
      <c r="K519" s="108">
        <f t="shared" si="772"/>
        <v>329.60219780219779</v>
      </c>
      <c r="L519" s="194" t="s">
        <v>2174</v>
      </c>
      <c r="M519" s="304" t="s">
        <v>2307</v>
      </c>
    </row>
    <row r="520" spans="1:13" ht="15.75" customHeight="1" x14ac:dyDescent="0.25">
      <c r="A520" s="49" t="s">
        <v>575</v>
      </c>
      <c r="B520" s="50" t="s">
        <v>2137</v>
      </c>
      <c r="C520" s="47">
        <v>9.65</v>
      </c>
      <c r="D520" s="47">
        <v>1325.52</v>
      </c>
      <c r="E520" s="53">
        <f t="shared" si="766"/>
        <v>662.76</v>
      </c>
      <c r="F520" s="41">
        <f t="shared" si="767"/>
        <v>1988.28</v>
      </c>
      <c r="G520" s="53">
        <f t="shared" si="768"/>
        <v>1491.21</v>
      </c>
      <c r="H520" s="54">
        <f t="shared" si="769"/>
        <v>662.76</v>
      </c>
      <c r="I520" s="55">
        <f t="shared" si="770"/>
        <v>2651.04</v>
      </c>
      <c r="J520" s="56">
        <f t="shared" si="771"/>
        <v>1988.28</v>
      </c>
      <c r="K520" s="108">
        <f t="shared" si="772"/>
        <v>274.71917098445596</v>
      </c>
      <c r="L520" s="194" t="s">
        <v>2171</v>
      </c>
      <c r="M520" s="304"/>
    </row>
    <row r="521" spans="1:13" ht="15.75" customHeight="1" x14ac:dyDescent="0.25">
      <c r="A521" s="49" t="s">
        <v>576</v>
      </c>
      <c r="B521" s="50" t="s">
        <v>2137</v>
      </c>
      <c r="C521" s="47">
        <v>9.65</v>
      </c>
      <c r="D521" s="47">
        <v>1325.52</v>
      </c>
      <c r="E521" s="53">
        <f t="shared" si="766"/>
        <v>662.76</v>
      </c>
      <c r="F521" s="41">
        <f t="shared" si="767"/>
        <v>1988.28</v>
      </c>
      <c r="G521" s="53">
        <f t="shared" si="768"/>
        <v>1491.21</v>
      </c>
      <c r="H521" s="54">
        <f t="shared" si="769"/>
        <v>662.76</v>
      </c>
      <c r="I521" s="55">
        <f t="shared" si="770"/>
        <v>2651.04</v>
      </c>
      <c r="J521" s="56">
        <f t="shared" si="771"/>
        <v>1988.28</v>
      </c>
      <c r="K521" s="108">
        <f t="shared" si="772"/>
        <v>274.71917098445596</v>
      </c>
      <c r="L521" s="194" t="s">
        <v>2171</v>
      </c>
      <c r="M521" s="304"/>
    </row>
    <row r="522" spans="1:13" ht="15.75" customHeight="1" x14ac:dyDescent="0.25">
      <c r="A522" s="65"/>
      <c r="B522" s="50"/>
      <c r="C522" s="47"/>
      <c r="D522" s="47"/>
      <c r="E522" s="57"/>
      <c r="F522" s="47"/>
      <c r="G522" s="57"/>
      <c r="H522" s="58"/>
      <c r="I522" s="199"/>
      <c r="J522" s="59"/>
      <c r="K522" s="108"/>
      <c r="L522" s="194"/>
      <c r="M522" s="304"/>
    </row>
    <row r="523" spans="1:13" ht="15.75" customHeight="1" x14ac:dyDescent="0.25">
      <c r="A523" s="49" t="s">
        <v>577</v>
      </c>
      <c r="B523" s="65"/>
      <c r="C523" s="57"/>
      <c r="D523" s="57"/>
      <c r="E523" s="57"/>
      <c r="F523" s="47"/>
      <c r="G523" s="57"/>
      <c r="H523" s="58"/>
      <c r="I523" s="199"/>
      <c r="J523" s="59"/>
      <c r="K523" s="108"/>
      <c r="L523" s="194"/>
      <c r="M523" s="304"/>
    </row>
    <row r="524" spans="1:13" ht="15.75" customHeight="1" x14ac:dyDescent="0.25">
      <c r="A524" s="49" t="s">
        <v>578</v>
      </c>
      <c r="B524" s="65"/>
      <c r="C524" s="57"/>
      <c r="D524" s="57"/>
      <c r="E524" s="57"/>
      <c r="F524" s="47"/>
      <c r="G524" s="57"/>
      <c r="H524" s="58"/>
      <c r="I524" s="199"/>
      <c r="J524" s="59"/>
      <c r="K524" s="108"/>
      <c r="L524" s="194"/>
      <c r="M524" s="304"/>
    </row>
    <row r="525" spans="1:13" ht="15.75" customHeight="1" x14ac:dyDescent="0.25">
      <c r="A525" s="49" t="s">
        <v>579</v>
      </c>
      <c r="B525" s="65"/>
      <c r="C525" s="57"/>
      <c r="D525" s="57"/>
      <c r="E525" s="57"/>
      <c r="F525" s="47"/>
      <c r="G525" s="57"/>
      <c r="H525" s="58"/>
      <c r="I525" s="199"/>
      <c r="J525" s="59"/>
      <c r="K525" s="108"/>
      <c r="L525" s="194"/>
      <c r="M525" s="304"/>
    </row>
    <row r="526" spans="1:13" ht="15.75" customHeight="1" x14ac:dyDescent="0.25">
      <c r="A526" s="49" t="s">
        <v>580</v>
      </c>
      <c r="B526" s="50" t="s">
        <v>581</v>
      </c>
      <c r="C526" s="47">
        <v>23.04</v>
      </c>
      <c r="D526" s="52">
        <v>2206.06</v>
      </c>
      <c r="E526" s="53">
        <f t="shared" ref="E526" si="773">D526*50%</f>
        <v>1103.03</v>
      </c>
      <c r="F526" s="41">
        <f t="shared" ref="F526" si="774">D526+E526</f>
        <v>3309.09</v>
      </c>
      <c r="G526" s="53">
        <f t="shared" ref="G526" si="775">F526-(F526*25%)</f>
        <v>2481.8175000000001</v>
      </c>
      <c r="H526" s="54">
        <f t="shared" ref="H526" si="776">D526*50%</f>
        <v>1103.03</v>
      </c>
      <c r="I526" s="55">
        <f t="shared" ref="I526" si="777">D526+(H526*2)</f>
        <v>4412.12</v>
      </c>
      <c r="J526" s="56">
        <f t="shared" ref="J526" si="778">I526-(I526*25%)</f>
        <v>3309.09</v>
      </c>
      <c r="K526" s="108">
        <f t="shared" ref="K526" si="779">I526/C526</f>
        <v>191.49826388888889</v>
      </c>
      <c r="L526" s="194" t="s">
        <v>1978</v>
      </c>
      <c r="M526" s="304"/>
    </row>
    <row r="527" spans="1:13" ht="15.75" customHeight="1" x14ac:dyDescent="0.25">
      <c r="A527" s="65"/>
      <c r="B527" s="65" t="s">
        <v>1476</v>
      </c>
      <c r="C527" s="57"/>
      <c r="D527" s="57"/>
      <c r="E527" s="57"/>
      <c r="F527" s="47"/>
      <c r="G527" s="57"/>
      <c r="H527" s="58"/>
      <c r="I527" s="199"/>
      <c r="J527" s="59"/>
      <c r="K527" s="108"/>
      <c r="L527" s="194"/>
      <c r="M527" s="304"/>
    </row>
    <row r="528" spans="1:13" ht="18" customHeight="1" x14ac:dyDescent="0.25">
      <c r="A528" s="49" t="s">
        <v>1624</v>
      </c>
      <c r="B528" s="65" t="s">
        <v>1623</v>
      </c>
      <c r="C528" s="57">
        <v>14.38</v>
      </c>
      <c r="D528" s="57">
        <v>1393.855</v>
      </c>
      <c r="E528" s="53">
        <f t="shared" ref="E528" si="780">D528*50%</f>
        <v>696.92750000000001</v>
      </c>
      <c r="F528" s="41">
        <f t="shared" ref="F528" si="781">D528+E528</f>
        <v>2090.7825000000003</v>
      </c>
      <c r="G528" s="53">
        <f t="shared" ref="G528" si="782">F528-(F528*25%)</f>
        <v>1568.0868750000002</v>
      </c>
      <c r="H528" s="54">
        <f t="shared" ref="H528" si="783">D528*50%</f>
        <v>696.92750000000001</v>
      </c>
      <c r="I528" s="55">
        <f t="shared" ref="I528" si="784">D528+(H528*2)</f>
        <v>2787.71</v>
      </c>
      <c r="J528" s="56">
        <f t="shared" ref="J528" si="785">I528-(I528*25%)</f>
        <v>2090.7825000000003</v>
      </c>
      <c r="K528" s="108">
        <f t="shared" ref="K528" si="786">I528/C528</f>
        <v>193.86022253129346</v>
      </c>
      <c r="L528" s="194" t="s">
        <v>1990</v>
      </c>
      <c r="M528" s="304"/>
    </row>
    <row r="529" spans="1:13" ht="15.75" customHeight="1" x14ac:dyDescent="0.25">
      <c r="A529" s="49"/>
      <c r="B529" s="65" t="s">
        <v>1477</v>
      </c>
      <c r="C529" s="57"/>
      <c r="D529" s="57"/>
      <c r="E529" s="57"/>
      <c r="F529" s="47"/>
      <c r="G529" s="57"/>
      <c r="H529" s="58"/>
      <c r="I529" s="199"/>
      <c r="J529" s="59"/>
      <c r="K529" s="108"/>
      <c r="L529" s="194"/>
      <c r="M529" s="304"/>
    </row>
    <row r="530" spans="1:13" ht="15.75" customHeight="1" x14ac:dyDescent="0.25">
      <c r="A530" s="49" t="s">
        <v>1625</v>
      </c>
      <c r="B530" s="65" t="s">
        <v>1631</v>
      </c>
      <c r="C530" s="57">
        <v>27.32</v>
      </c>
      <c r="D530" s="57">
        <v>2469.44</v>
      </c>
      <c r="E530" s="53">
        <f t="shared" ref="E530" si="787">D530*50%</f>
        <v>1234.72</v>
      </c>
      <c r="F530" s="41">
        <f t="shared" ref="F530" si="788">D530+E530</f>
        <v>3704.16</v>
      </c>
      <c r="G530" s="53">
        <f t="shared" ref="G530" si="789">F530-(F530*25%)</f>
        <v>2778.12</v>
      </c>
      <c r="H530" s="54">
        <f t="shared" ref="H530" si="790">D530*50%</f>
        <v>1234.72</v>
      </c>
      <c r="I530" s="55">
        <f t="shared" ref="I530" si="791">D530+(H530*2)</f>
        <v>4938.88</v>
      </c>
      <c r="J530" s="56">
        <f t="shared" ref="J530" si="792">I530-(I530*25%)</f>
        <v>3704.16</v>
      </c>
      <c r="K530" s="108">
        <f t="shared" ref="K530" si="793">I530/C530</f>
        <v>180.77891654465594</v>
      </c>
      <c r="L530" s="194" t="s">
        <v>2005</v>
      </c>
      <c r="M530" s="304"/>
    </row>
    <row r="531" spans="1:13" ht="15.75" customHeight="1" x14ac:dyDescent="0.25">
      <c r="A531" s="49"/>
      <c r="B531" s="65" t="s">
        <v>1309</v>
      </c>
      <c r="C531" s="57"/>
      <c r="D531" s="57"/>
      <c r="E531" s="57"/>
      <c r="F531" s="47"/>
      <c r="G531" s="57"/>
      <c r="H531" s="58"/>
      <c r="I531" s="199"/>
      <c r="J531" s="59"/>
      <c r="K531" s="108"/>
      <c r="L531" s="194"/>
      <c r="M531" s="304"/>
    </row>
    <row r="532" spans="1:13" ht="15.75" customHeight="1" x14ac:dyDescent="0.25">
      <c r="A532" s="49" t="s">
        <v>1626</v>
      </c>
      <c r="B532" s="65" t="s">
        <v>400</v>
      </c>
      <c r="C532" s="57">
        <v>32.86</v>
      </c>
      <c r="D532" s="57">
        <v>3009.6550000000002</v>
      </c>
      <c r="E532" s="53">
        <f t="shared" ref="E532" si="794">D532*50%</f>
        <v>1504.8275000000001</v>
      </c>
      <c r="F532" s="41">
        <f t="shared" ref="F532" si="795">D532+E532</f>
        <v>4514.4825000000001</v>
      </c>
      <c r="G532" s="53">
        <f t="shared" ref="G532" si="796">F532-(F532*25%)</f>
        <v>3385.8618750000001</v>
      </c>
      <c r="H532" s="54">
        <f t="shared" ref="H532" si="797">D532*50%</f>
        <v>1504.8275000000001</v>
      </c>
      <c r="I532" s="55">
        <f t="shared" ref="I532" si="798">D532+(H532*2)</f>
        <v>6019.31</v>
      </c>
      <c r="J532" s="56">
        <f t="shared" ref="J532" si="799">I532-(I532*25%)</f>
        <v>4514.4825000000001</v>
      </c>
      <c r="K532" s="108">
        <f t="shared" ref="K532" si="800">I532/C532</f>
        <v>183.18046256847234</v>
      </c>
      <c r="L532" s="194" t="s">
        <v>1978</v>
      </c>
      <c r="M532" s="304"/>
    </row>
    <row r="533" spans="1:13" ht="15.75" customHeight="1" x14ac:dyDescent="0.25">
      <c r="A533" s="49"/>
      <c r="B533" s="65" t="s">
        <v>1310</v>
      </c>
      <c r="C533" s="57"/>
      <c r="D533" s="57"/>
      <c r="E533" s="57"/>
      <c r="F533" s="47"/>
      <c r="G533" s="57"/>
      <c r="H533" s="58"/>
      <c r="I533" s="199"/>
      <c r="J533" s="59"/>
      <c r="K533" s="108"/>
      <c r="L533" s="194"/>
      <c r="M533" s="304"/>
    </row>
    <row r="534" spans="1:13" ht="15.75" customHeight="1" x14ac:dyDescent="0.25">
      <c r="A534" s="49" t="s">
        <v>1627</v>
      </c>
      <c r="B534" s="65" t="s">
        <v>1314</v>
      </c>
      <c r="C534" s="57">
        <v>13.02</v>
      </c>
      <c r="D534" s="57">
        <v>1897.5350000000001</v>
      </c>
      <c r="E534" s="53">
        <f t="shared" ref="E534" si="801">D534*50%</f>
        <v>948.76750000000004</v>
      </c>
      <c r="F534" s="41">
        <f t="shared" ref="F534" si="802">D534+E534</f>
        <v>2846.3025000000002</v>
      </c>
      <c r="G534" s="53">
        <f t="shared" ref="G534" si="803">F534-(F534*25%)</f>
        <v>2134.7268750000003</v>
      </c>
      <c r="H534" s="54">
        <f t="shared" ref="H534" si="804">D534*50%</f>
        <v>948.76750000000004</v>
      </c>
      <c r="I534" s="55">
        <f t="shared" ref="I534" si="805">D534+(H534*2)</f>
        <v>3795.07</v>
      </c>
      <c r="J534" s="56">
        <f t="shared" ref="J534" si="806">I534-(I534*25%)</f>
        <v>2846.3025000000002</v>
      </c>
      <c r="K534" s="108">
        <f t="shared" ref="K534" si="807">I534/C534</f>
        <v>291.48003072196622</v>
      </c>
      <c r="L534" s="194" t="s">
        <v>2167</v>
      </c>
      <c r="M534" s="304" t="s">
        <v>2307</v>
      </c>
    </row>
    <row r="535" spans="1:13" ht="15.75" customHeight="1" x14ac:dyDescent="0.25">
      <c r="A535" s="49"/>
      <c r="B535" s="65" t="s">
        <v>1311</v>
      </c>
      <c r="C535" s="57"/>
      <c r="D535" s="57"/>
      <c r="E535" s="57"/>
      <c r="F535" s="47"/>
      <c r="G535" s="57"/>
      <c r="H535" s="58"/>
      <c r="I535" s="199"/>
      <c r="J535" s="59"/>
      <c r="K535" s="108"/>
      <c r="L535" s="194"/>
      <c r="M535" s="304"/>
    </row>
    <row r="536" spans="1:13" ht="15.75" customHeight="1" x14ac:dyDescent="0.25">
      <c r="A536" s="49" t="s">
        <v>1628</v>
      </c>
      <c r="B536" s="65" t="s">
        <v>1632</v>
      </c>
      <c r="C536" s="57">
        <v>6</v>
      </c>
      <c r="D536" s="57">
        <v>874.44</v>
      </c>
      <c r="E536" s="53">
        <f t="shared" ref="E536" si="808">D536*50%</f>
        <v>437.22</v>
      </c>
      <c r="F536" s="41">
        <f t="shared" ref="F536" si="809">D536+E536</f>
        <v>1311.66</v>
      </c>
      <c r="G536" s="53">
        <f t="shared" ref="G536" si="810">F536-(F536*25%)</f>
        <v>983.74500000000012</v>
      </c>
      <c r="H536" s="54">
        <f t="shared" ref="H536" si="811">D536*50%</f>
        <v>437.22</v>
      </c>
      <c r="I536" s="55">
        <f t="shared" ref="I536" si="812">D536+(H536*2)</f>
        <v>1748.88</v>
      </c>
      <c r="J536" s="56">
        <f t="shared" ref="J536" si="813">I536-(I536*25%)</f>
        <v>1311.66</v>
      </c>
      <c r="K536" s="108">
        <f t="shared" ref="K536" si="814">I536/C536</f>
        <v>291.48</v>
      </c>
      <c r="L536" s="194"/>
      <c r="M536" s="304"/>
    </row>
    <row r="537" spans="1:13" ht="15.75" customHeight="1" x14ac:dyDescent="0.25">
      <c r="A537" s="49"/>
      <c r="B537" s="65" t="s">
        <v>1312</v>
      </c>
      <c r="C537" s="57"/>
      <c r="D537" s="57"/>
      <c r="E537" s="57"/>
      <c r="F537" s="47"/>
      <c r="G537" s="57"/>
      <c r="H537" s="58"/>
      <c r="I537" s="199"/>
      <c r="J537" s="59"/>
      <c r="K537" s="108"/>
      <c r="L537" s="194"/>
      <c r="M537" s="304"/>
    </row>
    <row r="538" spans="1:13" ht="15.75" customHeight="1" x14ac:dyDescent="0.25">
      <c r="A538" s="49" t="s">
        <v>1629</v>
      </c>
      <c r="B538" s="65" t="s">
        <v>1572</v>
      </c>
      <c r="C538" s="57">
        <v>23.252500000000001</v>
      </c>
      <c r="D538" s="57">
        <v>2354.3000000000002</v>
      </c>
      <c r="E538" s="53">
        <f t="shared" ref="E538" si="815">D538*50%</f>
        <v>1177.1500000000001</v>
      </c>
      <c r="F538" s="41">
        <f t="shared" ref="F538" si="816">D538+E538</f>
        <v>3531.4500000000003</v>
      </c>
      <c r="G538" s="53">
        <f t="shared" ref="G538" si="817">F538-(F538*25%)</f>
        <v>2648.5875000000001</v>
      </c>
      <c r="H538" s="54">
        <f t="shared" ref="H538" si="818">D538*50%</f>
        <v>1177.1500000000001</v>
      </c>
      <c r="I538" s="55">
        <f t="shared" ref="I538" si="819">D538+(H538*2)</f>
        <v>4708.6000000000004</v>
      </c>
      <c r="J538" s="56">
        <f t="shared" ref="J538" si="820">I538-(I538*25%)</f>
        <v>3531.4500000000003</v>
      </c>
      <c r="K538" s="108">
        <f t="shared" ref="K538" si="821">I538/C538</f>
        <v>202.49865605848834</v>
      </c>
      <c r="L538" s="194" t="s">
        <v>2175</v>
      </c>
      <c r="M538" s="304" t="s">
        <v>2307</v>
      </c>
    </row>
    <row r="539" spans="1:13" ht="15.75" customHeight="1" x14ac:dyDescent="0.25">
      <c r="A539" s="49"/>
      <c r="B539" s="65" t="s">
        <v>1478</v>
      </c>
      <c r="C539" s="57"/>
      <c r="D539" s="57"/>
      <c r="E539" s="57"/>
      <c r="F539" s="47"/>
      <c r="G539" s="57"/>
      <c r="H539" s="58"/>
      <c r="I539" s="199"/>
      <c r="J539" s="59"/>
      <c r="K539" s="108"/>
      <c r="L539" s="194"/>
      <c r="M539" s="304"/>
    </row>
    <row r="540" spans="1:13" ht="15.75" customHeight="1" x14ac:dyDescent="0.25">
      <c r="A540" s="49"/>
      <c r="B540" s="65" t="s">
        <v>1313</v>
      </c>
      <c r="C540" s="57"/>
      <c r="D540" s="57"/>
      <c r="E540" s="57"/>
      <c r="F540" s="47"/>
      <c r="G540" s="57"/>
      <c r="H540" s="58"/>
      <c r="I540" s="199"/>
      <c r="J540" s="59"/>
      <c r="K540" s="108"/>
      <c r="L540" s="194"/>
      <c r="M540" s="304"/>
    </row>
    <row r="541" spans="1:13" ht="15.75" customHeight="1" x14ac:dyDescent="0.25">
      <c r="A541" s="49" t="s">
        <v>1630</v>
      </c>
      <c r="B541" s="65" t="s">
        <v>1315</v>
      </c>
      <c r="C541" s="57">
        <v>32.950000000000003</v>
      </c>
      <c r="D541" s="47">
        <v>2694.2</v>
      </c>
      <c r="E541" s="53">
        <f t="shared" ref="E541" si="822">D541*50%</f>
        <v>1347.1</v>
      </c>
      <c r="F541" s="41">
        <f t="shared" ref="F541" si="823">D541+E541</f>
        <v>4041.2999999999997</v>
      </c>
      <c r="G541" s="53">
        <f t="shared" ref="G541" si="824">F541-(F541*25%)</f>
        <v>3030.9749999999999</v>
      </c>
      <c r="H541" s="54">
        <f t="shared" ref="H541" si="825">D541*50%</f>
        <v>1347.1</v>
      </c>
      <c r="I541" s="55">
        <f t="shared" ref="I541" si="826">D541+(H541*2)</f>
        <v>5388.4</v>
      </c>
      <c r="J541" s="56">
        <f t="shared" ref="J541" si="827">I541-(I541*25%)</f>
        <v>4041.2999999999997</v>
      </c>
      <c r="K541" s="108">
        <f t="shared" ref="K541:K543" si="828">I541/C541</f>
        <v>163.53262518968131</v>
      </c>
      <c r="L541" s="194" t="s">
        <v>2167</v>
      </c>
      <c r="M541" s="304"/>
    </row>
    <row r="542" spans="1:13" ht="15.75" customHeight="1" x14ac:dyDescent="0.25">
      <c r="A542" s="65"/>
      <c r="B542" s="65" t="s">
        <v>1363</v>
      </c>
      <c r="C542" s="57"/>
      <c r="D542" s="57"/>
      <c r="E542" s="57"/>
      <c r="F542" s="47"/>
      <c r="G542" s="57"/>
      <c r="H542" s="58"/>
      <c r="I542" s="199"/>
      <c r="J542" s="59"/>
      <c r="K542" s="108"/>
      <c r="L542" s="194"/>
      <c r="M542" s="304"/>
    </row>
    <row r="543" spans="1:13" ht="15.75" customHeight="1" x14ac:dyDescent="0.25">
      <c r="A543" s="49" t="s">
        <v>1633</v>
      </c>
      <c r="B543" s="65" t="s">
        <v>1316</v>
      </c>
      <c r="C543" s="57">
        <v>4.03</v>
      </c>
      <c r="D543" s="57">
        <v>471.99</v>
      </c>
      <c r="E543" s="53">
        <f t="shared" ref="E543" si="829">D543*50%</f>
        <v>235.995</v>
      </c>
      <c r="F543" s="41">
        <f t="shared" ref="F543" si="830">D543+E543</f>
        <v>707.98500000000001</v>
      </c>
      <c r="G543" s="53">
        <f t="shared" ref="G543" si="831">F543-(F543*25%)</f>
        <v>530.98874999999998</v>
      </c>
      <c r="H543" s="54">
        <f t="shared" ref="H543" si="832">D543*50%</f>
        <v>235.995</v>
      </c>
      <c r="I543" s="55">
        <f t="shared" ref="I543" si="833">D543+(H543*2)</f>
        <v>943.98</v>
      </c>
      <c r="J543" s="56">
        <f t="shared" ref="J543" si="834">I543-(I543*25%)</f>
        <v>707.98500000000001</v>
      </c>
      <c r="K543" s="108">
        <f t="shared" si="828"/>
        <v>234.23821339950371</v>
      </c>
      <c r="L543" s="194"/>
      <c r="M543" s="304"/>
    </row>
    <row r="544" spans="1:13" ht="15.75" customHeight="1" x14ac:dyDescent="0.25">
      <c r="A544" s="353" t="s">
        <v>1435</v>
      </c>
      <c r="B544" s="354"/>
      <c r="C544" s="258">
        <f>SUM(C3:C543)</f>
        <v>6589.172999999998</v>
      </c>
      <c r="D544" s="250"/>
      <c r="E544" s="250"/>
      <c r="F544" s="237"/>
      <c r="G544" s="237"/>
      <c r="H544" s="237"/>
      <c r="I544" s="258">
        <f>SUM(I3:I543)</f>
        <v>1773889.2359999972</v>
      </c>
      <c r="J544" s="258">
        <f>SUM(J3:J543)</f>
        <v>1330416.9270000015</v>
      </c>
      <c r="K544" s="108"/>
      <c r="L544" s="194"/>
      <c r="M544" s="304"/>
    </row>
    <row r="545" spans="1:5" ht="15.75" customHeight="1" x14ac:dyDescent="0.25">
      <c r="A545" s="238"/>
      <c r="B545" s="239"/>
      <c r="E545" s="240"/>
    </row>
  </sheetData>
  <mergeCells count="1">
    <mergeCell ref="A544:B544"/>
  </mergeCells>
  <pageMargins left="0.19685039370078741" right="0.19685039370078741" top="0.51181102362204722" bottom="3.937007874015748E-2" header="0.31496062992125984" footer="0.31496062992125984"/>
  <pageSetup paperSize="14" orientation="landscape" horizontalDpi="0" verticalDpi="0" r:id="rId1"/>
  <headerFooter>
    <oddFooter>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topLeftCell="A56" workbookViewId="0">
      <selection activeCell="I89" activeCellId="2" sqref="I29 I61 I89"/>
    </sheetView>
  </sheetViews>
  <sheetFormatPr defaultRowHeight="15.75" x14ac:dyDescent="0.25"/>
  <cols>
    <col min="1" max="1" width="15.28515625" style="31" customWidth="1"/>
    <col min="2" max="2" width="30.140625" style="31" customWidth="1"/>
    <col min="3" max="3" width="14.85546875" style="31" customWidth="1"/>
    <col min="4" max="4" width="13.5703125" style="75" customWidth="1"/>
    <col min="5" max="6" width="13.5703125" style="76" customWidth="1"/>
    <col min="7" max="7" width="13.5703125" style="31" customWidth="1"/>
    <col min="8" max="8" width="13.5703125" style="67" customWidth="1"/>
    <col min="9" max="9" width="13.5703125" style="202" customWidth="1"/>
    <col min="10" max="10" width="13.5703125" style="31" customWidth="1"/>
    <col min="11" max="11" width="19.28515625" customWidth="1"/>
  </cols>
  <sheetData>
    <row r="1" spans="1:11" x14ac:dyDescent="0.25">
      <c r="B1" s="21" t="s">
        <v>1317</v>
      </c>
      <c r="C1" s="21"/>
    </row>
    <row r="2" spans="1:11" s="88" customFormat="1" ht="45" x14ac:dyDescent="0.25">
      <c r="A2" s="13" t="s">
        <v>1705</v>
      </c>
      <c r="B2" s="73" t="s">
        <v>1847</v>
      </c>
      <c r="C2" s="73"/>
      <c r="D2" s="17" t="s">
        <v>1876</v>
      </c>
      <c r="E2" s="70" t="s">
        <v>1877</v>
      </c>
      <c r="F2" s="71" t="s">
        <v>1878</v>
      </c>
      <c r="G2" s="15" t="s">
        <v>1895</v>
      </c>
      <c r="H2" s="72" t="s">
        <v>1880</v>
      </c>
      <c r="I2" s="196" t="s">
        <v>1881</v>
      </c>
      <c r="J2" s="16" t="s">
        <v>1612</v>
      </c>
      <c r="K2" s="178" t="s">
        <v>1964</v>
      </c>
    </row>
    <row r="3" spans="1:11" x14ac:dyDescent="0.25">
      <c r="A3" s="26" t="s">
        <v>582</v>
      </c>
      <c r="B3" s="23" t="s">
        <v>1772</v>
      </c>
      <c r="C3" s="23">
        <v>0.3</v>
      </c>
      <c r="D3" s="43">
        <v>650.375</v>
      </c>
      <c r="E3" s="53">
        <f t="shared" ref="E3:E28" si="0">D3*50%</f>
        <v>325.1875</v>
      </c>
      <c r="F3" s="41">
        <f t="shared" ref="F3:F28" si="1">D3+E3</f>
        <v>975.5625</v>
      </c>
      <c r="G3" s="53">
        <f t="shared" ref="G3:G28" si="2">F3-(F3*25%)</f>
        <v>731.671875</v>
      </c>
      <c r="H3" s="54">
        <f t="shared" ref="H3:H28" si="3">D3*50%</f>
        <v>325.1875</v>
      </c>
      <c r="I3" s="55">
        <f t="shared" ref="I3:I28" si="4">D3+(H3*2)</f>
        <v>1300.75</v>
      </c>
      <c r="J3" s="56">
        <f t="shared" ref="J3:J28" si="5">I3-(I3*25%)</f>
        <v>975.5625</v>
      </c>
      <c r="K3" s="177"/>
    </row>
    <row r="4" spans="1:11" x14ac:dyDescent="0.25">
      <c r="A4" s="26" t="s">
        <v>583</v>
      </c>
      <c r="B4" s="23" t="s">
        <v>584</v>
      </c>
      <c r="C4" s="23">
        <v>0.3</v>
      </c>
      <c r="D4" s="43">
        <v>650.375</v>
      </c>
      <c r="E4" s="53">
        <f t="shared" si="0"/>
        <v>325.1875</v>
      </c>
      <c r="F4" s="41">
        <f t="shared" si="1"/>
        <v>975.5625</v>
      </c>
      <c r="G4" s="53">
        <f t="shared" si="2"/>
        <v>731.671875</v>
      </c>
      <c r="H4" s="54">
        <f t="shared" si="3"/>
        <v>325.1875</v>
      </c>
      <c r="I4" s="55">
        <f t="shared" si="4"/>
        <v>1300.75</v>
      </c>
      <c r="J4" s="56">
        <f t="shared" si="5"/>
        <v>975.5625</v>
      </c>
      <c r="K4" s="177"/>
    </row>
    <row r="5" spans="1:11" x14ac:dyDescent="0.25">
      <c r="A5" s="26" t="s">
        <v>585</v>
      </c>
      <c r="B5" s="23" t="s">
        <v>1536</v>
      </c>
      <c r="C5" s="23">
        <v>0.3</v>
      </c>
      <c r="D5" s="43">
        <v>650.375</v>
      </c>
      <c r="E5" s="53">
        <f t="shared" si="0"/>
        <v>325.1875</v>
      </c>
      <c r="F5" s="41">
        <f t="shared" si="1"/>
        <v>975.5625</v>
      </c>
      <c r="G5" s="53">
        <f t="shared" si="2"/>
        <v>731.671875</v>
      </c>
      <c r="H5" s="54">
        <f t="shared" si="3"/>
        <v>325.1875</v>
      </c>
      <c r="I5" s="55">
        <f t="shared" si="4"/>
        <v>1300.75</v>
      </c>
      <c r="J5" s="56">
        <f t="shared" si="5"/>
        <v>975.5625</v>
      </c>
      <c r="K5" s="177"/>
    </row>
    <row r="6" spans="1:11" x14ac:dyDescent="0.25">
      <c r="A6" s="26" t="s">
        <v>586</v>
      </c>
      <c r="B6" s="23" t="s">
        <v>587</v>
      </c>
      <c r="C6" s="23">
        <v>0.3</v>
      </c>
      <c r="D6" s="43">
        <v>650.375</v>
      </c>
      <c r="E6" s="53">
        <f t="shared" si="0"/>
        <v>325.1875</v>
      </c>
      <c r="F6" s="41">
        <f t="shared" si="1"/>
        <v>975.5625</v>
      </c>
      <c r="G6" s="53">
        <f t="shared" si="2"/>
        <v>731.671875</v>
      </c>
      <c r="H6" s="54">
        <f t="shared" si="3"/>
        <v>325.1875</v>
      </c>
      <c r="I6" s="55">
        <f t="shared" si="4"/>
        <v>1300.75</v>
      </c>
      <c r="J6" s="56">
        <f t="shared" si="5"/>
        <v>975.5625</v>
      </c>
      <c r="K6" s="177"/>
    </row>
    <row r="7" spans="1:11" x14ac:dyDescent="0.25">
      <c r="A7" s="26" t="s">
        <v>588</v>
      </c>
      <c r="B7" s="23" t="s">
        <v>589</v>
      </c>
      <c r="C7" s="23">
        <v>0.3</v>
      </c>
      <c r="D7" s="43">
        <v>650.375</v>
      </c>
      <c r="E7" s="53">
        <f t="shared" si="0"/>
        <v>325.1875</v>
      </c>
      <c r="F7" s="41">
        <f t="shared" si="1"/>
        <v>975.5625</v>
      </c>
      <c r="G7" s="53">
        <f t="shared" si="2"/>
        <v>731.671875</v>
      </c>
      <c r="H7" s="54">
        <f t="shared" si="3"/>
        <v>325.1875</v>
      </c>
      <c r="I7" s="55">
        <f t="shared" si="4"/>
        <v>1300.75</v>
      </c>
      <c r="J7" s="56">
        <f t="shared" si="5"/>
        <v>975.5625</v>
      </c>
      <c r="K7" s="177"/>
    </row>
    <row r="8" spans="1:11" x14ac:dyDescent="0.25">
      <c r="A8" s="26" t="s">
        <v>590</v>
      </c>
      <c r="B8" s="23" t="s">
        <v>591</v>
      </c>
      <c r="C8" s="23">
        <v>0.3</v>
      </c>
      <c r="D8" s="43">
        <v>650.375</v>
      </c>
      <c r="E8" s="53">
        <f t="shared" si="0"/>
        <v>325.1875</v>
      </c>
      <c r="F8" s="41">
        <f t="shared" si="1"/>
        <v>975.5625</v>
      </c>
      <c r="G8" s="53">
        <f t="shared" si="2"/>
        <v>731.671875</v>
      </c>
      <c r="H8" s="54">
        <f t="shared" si="3"/>
        <v>325.1875</v>
      </c>
      <c r="I8" s="55">
        <f t="shared" si="4"/>
        <v>1300.75</v>
      </c>
      <c r="J8" s="56">
        <f t="shared" si="5"/>
        <v>975.5625</v>
      </c>
      <c r="K8" s="177"/>
    </row>
    <row r="9" spans="1:11" x14ac:dyDescent="0.25">
      <c r="A9" s="26" t="s">
        <v>592</v>
      </c>
      <c r="B9" s="23" t="s">
        <v>593</v>
      </c>
      <c r="C9" s="23">
        <v>0.3</v>
      </c>
      <c r="D9" s="43">
        <v>650.375</v>
      </c>
      <c r="E9" s="53">
        <f t="shared" si="0"/>
        <v>325.1875</v>
      </c>
      <c r="F9" s="41">
        <f t="shared" si="1"/>
        <v>975.5625</v>
      </c>
      <c r="G9" s="53">
        <f t="shared" si="2"/>
        <v>731.671875</v>
      </c>
      <c r="H9" s="54">
        <f t="shared" si="3"/>
        <v>325.1875</v>
      </c>
      <c r="I9" s="55">
        <f t="shared" si="4"/>
        <v>1300.75</v>
      </c>
      <c r="J9" s="56">
        <f t="shared" si="5"/>
        <v>975.5625</v>
      </c>
      <c r="K9" s="177"/>
    </row>
    <row r="10" spans="1:11" x14ac:dyDescent="0.25">
      <c r="A10" s="26" t="s">
        <v>594</v>
      </c>
      <c r="B10" s="23" t="s">
        <v>1758</v>
      </c>
      <c r="C10" s="23">
        <v>0.3</v>
      </c>
      <c r="D10" s="43">
        <v>650.375</v>
      </c>
      <c r="E10" s="53">
        <f t="shared" si="0"/>
        <v>325.1875</v>
      </c>
      <c r="F10" s="41">
        <f t="shared" si="1"/>
        <v>975.5625</v>
      </c>
      <c r="G10" s="53">
        <f t="shared" si="2"/>
        <v>731.671875</v>
      </c>
      <c r="H10" s="54">
        <f t="shared" si="3"/>
        <v>325.1875</v>
      </c>
      <c r="I10" s="55">
        <f t="shared" si="4"/>
        <v>1300.75</v>
      </c>
      <c r="J10" s="56">
        <f t="shared" si="5"/>
        <v>975.5625</v>
      </c>
      <c r="K10" s="177"/>
    </row>
    <row r="11" spans="1:11" x14ac:dyDescent="0.25">
      <c r="A11" s="26" t="s">
        <v>595</v>
      </c>
      <c r="B11" s="23" t="s">
        <v>1453</v>
      </c>
      <c r="C11" s="23">
        <v>0.3</v>
      </c>
      <c r="D11" s="43">
        <v>650.375</v>
      </c>
      <c r="E11" s="53">
        <f t="shared" si="0"/>
        <v>325.1875</v>
      </c>
      <c r="F11" s="41">
        <f t="shared" si="1"/>
        <v>975.5625</v>
      </c>
      <c r="G11" s="53">
        <f t="shared" si="2"/>
        <v>731.671875</v>
      </c>
      <c r="H11" s="54">
        <f t="shared" si="3"/>
        <v>325.1875</v>
      </c>
      <c r="I11" s="55">
        <f t="shared" si="4"/>
        <v>1300.75</v>
      </c>
      <c r="J11" s="56">
        <f t="shared" si="5"/>
        <v>975.5625</v>
      </c>
      <c r="K11" s="177"/>
    </row>
    <row r="12" spans="1:11" x14ac:dyDescent="0.25">
      <c r="A12" s="26" t="s">
        <v>596</v>
      </c>
      <c r="B12" s="23" t="s">
        <v>2155</v>
      </c>
      <c r="C12" s="23">
        <v>0.3</v>
      </c>
      <c r="D12" s="43">
        <v>650.375</v>
      </c>
      <c r="E12" s="53">
        <f t="shared" si="0"/>
        <v>325.1875</v>
      </c>
      <c r="F12" s="41">
        <f t="shared" si="1"/>
        <v>975.5625</v>
      </c>
      <c r="G12" s="53">
        <f t="shared" si="2"/>
        <v>731.671875</v>
      </c>
      <c r="H12" s="54">
        <f t="shared" si="3"/>
        <v>325.1875</v>
      </c>
      <c r="I12" s="55">
        <f t="shared" si="4"/>
        <v>1300.75</v>
      </c>
      <c r="J12" s="56">
        <f t="shared" si="5"/>
        <v>975.5625</v>
      </c>
      <c r="K12" s="177"/>
    </row>
    <row r="13" spans="1:11" x14ac:dyDescent="0.25">
      <c r="A13" s="26" t="s">
        <v>597</v>
      </c>
      <c r="B13" s="23" t="s">
        <v>1816</v>
      </c>
      <c r="C13" s="23">
        <v>0.3</v>
      </c>
      <c r="D13" s="43">
        <v>650.375</v>
      </c>
      <c r="E13" s="53">
        <f t="shared" si="0"/>
        <v>325.1875</v>
      </c>
      <c r="F13" s="41">
        <f t="shared" si="1"/>
        <v>975.5625</v>
      </c>
      <c r="G13" s="53">
        <f t="shared" si="2"/>
        <v>731.671875</v>
      </c>
      <c r="H13" s="54">
        <f t="shared" si="3"/>
        <v>325.1875</v>
      </c>
      <c r="I13" s="55">
        <f t="shared" si="4"/>
        <v>1300.75</v>
      </c>
      <c r="J13" s="56">
        <f t="shared" si="5"/>
        <v>975.5625</v>
      </c>
      <c r="K13" s="177"/>
    </row>
    <row r="14" spans="1:11" x14ac:dyDescent="0.25">
      <c r="A14" s="26" t="s">
        <v>598</v>
      </c>
      <c r="B14" s="23" t="s">
        <v>2020</v>
      </c>
      <c r="C14" s="23">
        <v>0.3</v>
      </c>
      <c r="D14" s="43">
        <v>650.375</v>
      </c>
      <c r="E14" s="53">
        <f t="shared" si="0"/>
        <v>325.1875</v>
      </c>
      <c r="F14" s="41">
        <f t="shared" si="1"/>
        <v>975.5625</v>
      </c>
      <c r="G14" s="53">
        <f t="shared" si="2"/>
        <v>731.671875</v>
      </c>
      <c r="H14" s="54">
        <f t="shared" si="3"/>
        <v>325.1875</v>
      </c>
      <c r="I14" s="55">
        <f t="shared" si="4"/>
        <v>1300.75</v>
      </c>
      <c r="J14" s="56">
        <f t="shared" si="5"/>
        <v>975.5625</v>
      </c>
      <c r="K14" s="177"/>
    </row>
    <row r="15" spans="1:11" x14ac:dyDescent="0.25">
      <c r="A15" s="26" t="s">
        <v>599</v>
      </c>
      <c r="B15" s="23" t="s">
        <v>2134</v>
      </c>
      <c r="C15" s="23">
        <v>0.3</v>
      </c>
      <c r="D15" s="43">
        <v>650.375</v>
      </c>
      <c r="E15" s="53">
        <f t="shared" si="0"/>
        <v>325.1875</v>
      </c>
      <c r="F15" s="41">
        <f t="shared" si="1"/>
        <v>975.5625</v>
      </c>
      <c r="G15" s="53">
        <f t="shared" si="2"/>
        <v>731.671875</v>
      </c>
      <c r="H15" s="54">
        <f t="shared" si="3"/>
        <v>325.1875</v>
      </c>
      <c r="I15" s="55">
        <f t="shared" si="4"/>
        <v>1300.75</v>
      </c>
      <c r="J15" s="56">
        <f t="shared" si="5"/>
        <v>975.5625</v>
      </c>
      <c r="K15" s="177"/>
    </row>
    <row r="16" spans="1:11" x14ac:dyDescent="0.25">
      <c r="A16" s="26" t="s">
        <v>600</v>
      </c>
      <c r="B16" s="23" t="s">
        <v>2037</v>
      </c>
      <c r="C16" s="23">
        <v>0.3</v>
      </c>
      <c r="D16" s="43">
        <v>650.375</v>
      </c>
      <c r="E16" s="53">
        <f t="shared" si="0"/>
        <v>325.1875</v>
      </c>
      <c r="F16" s="41">
        <f t="shared" si="1"/>
        <v>975.5625</v>
      </c>
      <c r="G16" s="53">
        <f t="shared" si="2"/>
        <v>731.671875</v>
      </c>
      <c r="H16" s="54">
        <f t="shared" si="3"/>
        <v>325.1875</v>
      </c>
      <c r="I16" s="55">
        <f t="shared" si="4"/>
        <v>1300.75</v>
      </c>
      <c r="J16" s="56">
        <f t="shared" si="5"/>
        <v>975.5625</v>
      </c>
      <c r="K16" s="177"/>
    </row>
    <row r="17" spans="1:11" x14ac:dyDescent="0.25">
      <c r="A17" s="26" t="s">
        <v>601</v>
      </c>
      <c r="B17" s="23" t="s">
        <v>1321</v>
      </c>
      <c r="C17" s="23">
        <v>0.3</v>
      </c>
      <c r="D17" s="43">
        <v>650.375</v>
      </c>
      <c r="E17" s="53">
        <f t="shared" si="0"/>
        <v>325.1875</v>
      </c>
      <c r="F17" s="41">
        <f t="shared" si="1"/>
        <v>975.5625</v>
      </c>
      <c r="G17" s="53">
        <f t="shared" si="2"/>
        <v>731.671875</v>
      </c>
      <c r="H17" s="54">
        <f t="shared" si="3"/>
        <v>325.1875</v>
      </c>
      <c r="I17" s="55">
        <f t="shared" si="4"/>
        <v>1300.75</v>
      </c>
      <c r="J17" s="56">
        <f t="shared" si="5"/>
        <v>975.5625</v>
      </c>
      <c r="K17" s="177"/>
    </row>
    <row r="18" spans="1:11" x14ac:dyDescent="0.25">
      <c r="A18" s="26" t="s">
        <v>602</v>
      </c>
      <c r="B18" s="23" t="s">
        <v>1467</v>
      </c>
      <c r="C18" s="23">
        <v>0.3</v>
      </c>
      <c r="D18" s="43">
        <v>650.375</v>
      </c>
      <c r="E18" s="53">
        <f t="shared" si="0"/>
        <v>325.1875</v>
      </c>
      <c r="F18" s="41">
        <f t="shared" si="1"/>
        <v>975.5625</v>
      </c>
      <c r="G18" s="53">
        <f t="shared" si="2"/>
        <v>731.671875</v>
      </c>
      <c r="H18" s="54">
        <f t="shared" si="3"/>
        <v>325.1875</v>
      </c>
      <c r="I18" s="55">
        <f t="shared" si="4"/>
        <v>1300.75</v>
      </c>
      <c r="J18" s="56">
        <f t="shared" si="5"/>
        <v>975.5625</v>
      </c>
      <c r="K18" s="177"/>
    </row>
    <row r="19" spans="1:11" x14ac:dyDescent="0.25">
      <c r="A19" s="26" t="s">
        <v>603</v>
      </c>
      <c r="B19" s="23" t="s">
        <v>2275</v>
      </c>
      <c r="C19" s="23">
        <v>0.3</v>
      </c>
      <c r="D19" s="43">
        <v>650.375</v>
      </c>
      <c r="E19" s="53">
        <f t="shared" si="0"/>
        <v>325.1875</v>
      </c>
      <c r="F19" s="41">
        <f t="shared" si="1"/>
        <v>975.5625</v>
      </c>
      <c r="G19" s="53">
        <f t="shared" si="2"/>
        <v>731.671875</v>
      </c>
      <c r="H19" s="54">
        <f t="shared" si="3"/>
        <v>325.1875</v>
      </c>
      <c r="I19" s="55">
        <f t="shared" si="4"/>
        <v>1300.75</v>
      </c>
      <c r="J19" s="56">
        <f t="shared" si="5"/>
        <v>975.5625</v>
      </c>
      <c r="K19" s="177"/>
    </row>
    <row r="20" spans="1:11" x14ac:dyDescent="0.25">
      <c r="A20" s="26" t="s">
        <v>604</v>
      </c>
      <c r="B20" s="23" t="s">
        <v>2249</v>
      </c>
      <c r="C20" s="23">
        <v>0.3</v>
      </c>
      <c r="D20" s="43">
        <v>650.375</v>
      </c>
      <c r="E20" s="53">
        <f t="shared" si="0"/>
        <v>325.1875</v>
      </c>
      <c r="F20" s="41">
        <f t="shared" si="1"/>
        <v>975.5625</v>
      </c>
      <c r="G20" s="53">
        <f t="shared" si="2"/>
        <v>731.671875</v>
      </c>
      <c r="H20" s="54">
        <f t="shared" si="3"/>
        <v>325.1875</v>
      </c>
      <c r="I20" s="55">
        <f t="shared" si="4"/>
        <v>1300.75</v>
      </c>
      <c r="J20" s="56">
        <f t="shared" si="5"/>
        <v>975.5625</v>
      </c>
      <c r="K20" s="177"/>
    </row>
    <row r="21" spans="1:11" x14ac:dyDescent="0.25">
      <c r="A21" s="26" t="s">
        <v>605</v>
      </c>
      <c r="B21" s="23" t="s">
        <v>606</v>
      </c>
      <c r="C21" s="23">
        <v>0.3</v>
      </c>
      <c r="D21" s="43">
        <v>650.375</v>
      </c>
      <c r="E21" s="53">
        <f t="shared" si="0"/>
        <v>325.1875</v>
      </c>
      <c r="F21" s="41">
        <f t="shared" si="1"/>
        <v>975.5625</v>
      </c>
      <c r="G21" s="53">
        <f t="shared" si="2"/>
        <v>731.671875</v>
      </c>
      <c r="H21" s="54">
        <f t="shared" si="3"/>
        <v>325.1875</v>
      </c>
      <c r="I21" s="55">
        <f t="shared" si="4"/>
        <v>1300.75</v>
      </c>
      <c r="J21" s="56">
        <f t="shared" si="5"/>
        <v>975.5625</v>
      </c>
      <c r="K21" s="177"/>
    </row>
    <row r="22" spans="1:11" x14ac:dyDescent="0.25">
      <c r="A22" s="26" t="s">
        <v>607</v>
      </c>
      <c r="B22" s="23" t="s">
        <v>608</v>
      </c>
      <c r="C22" s="23">
        <v>0.3</v>
      </c>
      <c r="D22" s="43">
        <v>650.375</v>
      </c>
      <c r="E22" s="53">
        <f t="shared" si="0"/>
        <v>325.1875</v>
      </c>
      <c r="F22" s="41">
        <f t="shared" si="1"/>
        <v>975.5625</v>
      </c>
      <c r="G22" s="53">
        <f t="shared" si="2"/>
        <v>731.671875</v>
      </c>
      <c r="H22" s="54">
        <f t="shared" si="3"/>
        <v>325.1875</v>
      </c>
      <c r="I22" s="55">
        <f t="shared" si="4"/>
        <v>1300.75</v>
      </c>
      <c r="J22" s="56">
        <f t="shared" si="5"/>
        <v>975.5625</v>
      </c>
      <c r="K22" s="177"/>
    </row>
    <row r="23" spans="1:11" x14ac:dyDescent="0.25">
      <c r="A23" s="26" t="s">
        <v>609</v>
      </c>
      <c r="B23" s="23" t="s">
        <v>610</v>
      </c>
      <c r="C23" s="23">
        <v>0.3</v>
      </c>
      <c r="D23" s="43">
        <v>650.375</v>
      </c>
      <c r="E23" s="53">
        <f t="shared" si="0"/>
        <v>325.1875</v>
      </c>
      <c r="F23" s="41">
        <f t="shared" si="1"/>
        <v>975.5625</v>
      </c>
      <c r="G23" s="53">
        <f t="shared" si="2"/>
        <v>731.671875</v>
      </c>
      <c r="H23" s="54">
        <f t="shared" si="3"/>
        <v>325.1875</v>
      </c>
      <c r="I23" s="55">
        <f t="shared" si="4"/>
        <v>1300.75</v>
      </c>
      <c r="J23" s="56">
        <f t="shared" si="5"/>
        <v>975.5625</v>
      </c>
      <c r="K23" s="177"/>
    </row>
    <row r="24" spans="1:11" x14ac:dyDescent="0.25">
      <c r="A24" s="26" t="s">
        <v>611</v>
      </c>
      <c r="B24" s="23" t="s">
        <v>612</v>
      </c>
      <c r="C24" s="23">
        <v>0.3</v>
      </c>
      <c r="D24" s="43">
        <v>650.375</v>
      </c>
      <c r="E24" s="53">
        <f t="shared" si="0"/>
        <v>325.1875</v>
      </c>
      <c r="F24" s="41">
        <f t="shared" si="1"/>
        <v>975.5625</v>
      </c>
      <c r="G24" s="53">
        <f t="shared" si="2"/>
        <v>731.671875</v>
      </c>
      <c r="H24" s="54">
        <f t="shared" si="3"/>
        <v>325.1875</v>
      </c>
      <c r="I24" s="55">
        <f t="shared" si="4"/>
        <v>1300.75</v>
      </c>
      <c r="J24" s="56">
        <f t="shared" si="5"/>
        <v>975.5625</v>
      </c>
      <c r="K24" s="177"/>
    </row>
    <row r="25" spans="1:11" x14ac:dyDescent="0.25">
      <c r="A25" s="26" t="s">
        <v>613</v>
      </c>
      <c r="B25" s="23" t="s">
        <v>1483</v>
      </c>
      <c r="C25" s="23">
        <v>0.3</v>
      </c>
      <c r="D25" s="43">
        <v>650.375</v>
      </c>
      <c r="E25" s="53">
        <f t="shared" si="0"/>
        <v>325.1875</v>
      </c>
      <c r="F25" s="41">
        <f t="shared" si="1"/>
        <v>975.5625</v>
      </c>
      <c r="G25" s="53">
        <f t="shared" si="2"/>
        <v>731.671875</v>
      </c>
      <c r="H25" s="54">
        <f t="shared" si="3"/>
        <v>325.1875</v>
      </c>
      <c r="I25" s="55">
        <f t="shared" si="4"/>
        <v>1300.75</v>
      </c>
      <c r="J25" s="56">
        <f t="shared" si="5"/>
        <v>975.5625</v>
      </c>
      <c r="K25" s="177"/>
    </row>
    <row r="26" spans="1:11" x14ac:dyDescent="0.25">
      <c r="A26" s="26" t="s">
        <v>614</v>
      </c>
      <c r="B26" s="23" t="s">
        <v>615</v>
      </c>
      <c r="C26" s="23">
        <v>0.3</v>
      </c>
      <c r="D26" s="43">
        <v>650.375</v>
      </c>
      <c r="E26" s="53">
        <f t="shared" si="0"/>
        <v>325.1875</v>
      </c>
      <c r="F26" s="41">
        <f t="shared" si="1"/>
        <v>975.5625</v>
      </c>
      <c r="G26" s="53">
        <f t="shared" si="2"/>
        <v>731.671875</v>
      </c>
      <c r="H26" s="54">
        <f t="shared" si="3"/>
        <v>325.1875</v>
      </c>
      <c r="I26" s="55">
        <f t="shared" si="4"/>
        <v>1300.75</v>
      </c>
      <c r="J26" s="56">
        <f t="shared" si="5"/>
        <v>975.5625</v>
      </c>
      <c r="K26" s="177"/>
    </row>
    <row r="27" spans="1:11" x14ac:dyDescent="0.25">
      <c r="A27" s="26" t="s">
        <v>616</v>
      </c>
      <c r="B27" s="23" t="s">
        <v>617</v>
      </c>
      <c r="C27" s="23">
        <v>0.3</v>
      </c>
      <c r="D27" s="43">
        <v>650.375</v>
      </c>
      <c r="E27" s="53">
        <f t="shared" si="0"/>
        <v>325.1875</v>
      </c>
      <c r="F27" s="41">
        <f t="shared" si="1"/>
        <v>975.5625</v>
      </c>
      <c r="G27" s="53">
        <f t="shared" si="2"/>
        <v>731.671875</v>
      </c>
      <c r="H27" s="54">
        <f t="shared" si="3"/>
        <v>325.1875</v>
      </c>
      <c r="I27" s="55">
        <f t="shared" si="4"/>
        <v>1300.75</v>
      </c>
      <c r="J27" s="56">
        <f t="shared" si="5"/>
        <v>975.5625</v>
      </c>
      <c r="K27" s="177"/>
    </row>
    <row r="28" spans="1:11" x14ac:dyDescent="0.25">
      <c r="A28" s="26" t="s">
        <v>618</v>
      </c>
      <c r="B28" s="23" t="s">
        <v>1040</v>
      </c>
      <c r="C28" s="23">
        <v>0.3</v>
      </c>
      <c r="D28" s="43">
        <v>650.375</v>
      </c>
      <c r="E28" s="53">
        <f t="shared" si="0"/>
        <v>325.1875</v>
      </c>
      <c r="F28" s="41">
        <f t="shared" si="1"/>
        <v>975.5625</v>
      </c>
      <c r="G28" s="53">
        <f t="shared" si="2"/>
        <v>731.671875</v>
      </c>
      <c r="H28" s="54">
        <f t="shared" si="3"/>
        <v>325.1875</v>
      </c>
      <c r="I28" s="55">
        <f t="shared" si="4"/>
        <v>1300.75</v>
      </c>
      <c r="J28" s="56">
        <f t="shared" si="5"/>
        <v>975.5625</v>
      </c>
      <c r="K28" s="177"/>
    </row>
    <row r="29" spans="1:11" x14ac:dyDescent="0.25">
      <c r="A29" s="357" t="s">
        <v>1327</v>
      </c>
      <c r="B29" s="358"/>
      <c r="C29" s="307" t="s">
        <v>2318</v>
      </c>
      <c r="D29" s="27"/>
      <c r="E29" s="28"/>
      <c r="F29" s="28"/>
      <c r="G29" s="30"/>
      <c r="H29" s="40"/>
      <c r="I29" s="203">
        <f>SUM(I3:I28)</f>
        <v>33819.5</v>
      </c>
      <c r="J29" s="25">
        <f>SUM(J3:J28)</f>
        <v>25364.625</v>
      </c>
      <c r="K29" s="177"/>
    </row>
    <row r="30" spans="1:11" x14ac:dyDescent="0.25">
      <c r="A30" s="77"/>
      <c r="B30" s="78"/>
      <c r="C30" s="78"/>
      <c r="D30" s="79"/>
      <c r="E30" s="80"/>
      <c r="F30" s="80"/>
    </row>
    <row r="31" spans="1:11" x14ac:dyDescent="0.25">
      <c r="A31" s="77"/>
      <c r="B31" s="78"/>
      <c r="C31" s="78"/>
      <c r="D31" s="79"/>
      <c r="E31" s="80"/>
      <c r="F31" s="80"/>
    </row>
    <row r="32" spans="1:11" x14ac:dyDescent="0.25">
      <c r="A32" s="77"/>
      <c r="B32" s="78"/>
      <c r="C32" s="78"/>
      <c r="D32" s="79"/>
      <c r="E32" s="80"/>
      <c r="F32" s="80"/>
    </row>
    <row r="33" spans="1:11" x14ac:dyDescent="0.25">
      <c r="A33" s="77"/>
      <c r="B33" s="78"/>
      <c r="C33" s="78"/>
      <c r="D33" s="79"/>
      <c r="E33" s="80"/>
      <c r="F33" s="80"/>
    </row>
    <row r="34" spans="1:11" x14ac:dyDescent="0.25">
      <c r="A34" s="81"/>
      <c r="B34" s="81" t="s">
        <v>619</v>
      </c>
      <c r="C34" s="81"/>
      <c r="D34" s="82"/>
      <c r="E34" s="83"/>
      <c r="F34" s="83"/>
    </row>
    <row r="35" spans="1:11" s="10" customFormat="1" ht="45" x14ac:dyDescent="0.25">
      <c r="A35" s="13" t="s">
        <v>1705</v>
      </c>
      <c r="B35" s="73" t="s">
        <v>1847</v>
      </c>
      <c r="C35" s="73"/>
      <c r="D35" s="17" t="s">
        <v>1876</v>
      </c>
      <c r="E35" s="70" t="s">
        <v>1877</v>
      </c>
      <c r="F35" s="71" t="s">
        <v>1878</v>
      </c>
      <c r="G35" s="15" t="s">
        <v>1879</v>
      </c>
      <c r="H35" s="72" t="s">
        <v>1880</v>
      </c>
      <c r="I35" s="196" t="s">
        <v>1881</v>
      </c>
      <c r="J35" s="16" t="s">
        <v>1612</v>
      </c>
      <c r="K35" s="178" t="s">
        <v>1964</v>
      </c>
    </row>
    <row r="36" spans="1:11" x14ac:dyDescent="0.25">
      <c r="A36" s="26" t="s">
        <v>620</v>
      </c>
      <c r="B36" s="23" t="s">
        <v>1917</v>
      </c>
      <c r="C36" s="23">
        <v>0.3</v>
      </c>
      <c r="D36" s="23">
        <v>444.03</v>
      </c>
      <c r="E36" s="53">
        <f t="shared" ref="E36:E60" si="6">D36*50%</f>
        <v>222.01499999999999</v>
      </c>
      <c r="F36" s="41">
        <f t="shared" ref="F36:F60" si="7">D36+E36</f>
        <v>666.04499999999996</v>
      </c>
      <c r="G36" s="53">
        <f t="shared" ref="G36:G60" si="8">F36-(F36*25%)</f>
        <v>499.53374999999994</v>
      </c>
      <c r="H36" s="54">
        <f t="shared" ref="H36:H60" si="9">D36*50%</f>
        <v>222.01499999999999</v>
      </c>
      <c r="I36" s="55">
        <f t="shared" ref="I36:I60" si="10">D36+(H36*2)</f>
        <v>888.06</v>
      </c>
      <c r="J36" s="56">
        <f t="shared" ref="J36:J61" si="11">I36-(I36*25%)</f>
        <v>666.04499999999996</v>
      </c>
      <c r="K36" s="177"/>
    </row>
    <row r="37" spans="1:11" x14ac:dyDescent="0.25">
      <c r="A37" s="26" t="s">
        <v>621</v>
      </c>
      <c r="B37" s="23" t="s">
        <v>622</v>
      </c>
      <c r="C37" s="23">
        <v>0.3</v>
      </c>
      <c r="D37" s="23">
        <v>444.03</v>
      </c>
      <c r="E37" s="53">
        <f t="shared" si="6"/>
        <v>222.01499999999999</v>
      </c>
      <c r="F37" s="41">
        <f t="shared" si="7"/>
        <v>666.04499999999996</v>
      </c>
      <c r="G37" s="53">
        <f t="shared" si="8"/>
        <v>499.53374999999994</v>
      </c>
      <c r="H37" s="54">
        <f t="shared" si="9"/>
        <v>222.01499999999999</v>
      </c>
      <c r="I37" s="55">
        <f t="shared" si="10"/>
        <v>888.06</v>
      </c>
      <c r="J37" s="56">
        <f t="shared" si="11"/>
        <v>666.04499999999996</v>
      </c>
      <c r="K37" s="177"/>
    </row>
    <row r="38" spans="1:11" x14ac:dyDescent="0.25">
      <c r="A38" s="26" t="s">
        <v>623</v>
      </c>
      <c r="B38" s="23" t="s">
        <v>624</v>
      </c>
      <c r="C38" s="23">
        <v>0.3</v>
      </c>
      <c r="D38" s="23">
        <v>444.03</v>
      </c>
      <c r="E38" s="53">
        <f t="shared" si="6"/>
        <v>222.01499999999999</v>
      </c>
      <c r="F38" s="41">
        <f t="shared" si="7"/>
        <v>666.04499999999996</v>
      </c>
      <c r="G38" s="53">
        <f t="shared" si="8"/>
        <v>499.53374999999994</v>
      </c>
      <c r="H38" s="54">
        <f t="shared" si="9"/>
        <v>222.01499999999999</v>
      </c>
      <c r="I38" s="55">
        <f t="shared" si="10"/>
        <v>888.06</v>
      </c>
      <c r="J38" s="56">
        <f t="shared" si="11"/>
        <v>666.04499999999996</v>
      </c>
      <c r="K38" s="177"/>
    </row>
    <row r="39" spans="1:11" x14ac:dyDescent="0.25">
      <c r="A39" s="26" t="s">
        <v>625</v>
      </c>
      <c r="B39" s="23" t="s">
        <v>1818</v>
      </c>
      <c r="C39" s="23">
        <v>0.3</v>
      </c>
      <c r="D39" s="23">
        <v>444.03</v>
      </c>
      <c r="E39" s="53">
        <f t="shared" si="6"/>
        <v>222.01499999999999</v>
      </c>
      <c r="F39" s="41">
        <f t="shared" si="7"/>
        <v>666.04499999999996</v>
      </c>
      <c r="G39" s="53">
        <f t="shared" si="8"/>
        <v>499.53374999999994</v>
      </c>
      <c r="H39" s="54">
        <f t="shared" si="9"/>
        <v>222.01499999999999</v>
      </c>
      <c r="I39" s="55">
        <f t="shared" si="10"/>
        <v>888.06</v>
      </c>
      <c r="J39" s="56">
        <f t="shared" si="11"/>
        <v>666.04499999999996</v>
      </c>
      <c r="K39" s="177"/>
    </row>
    <row r="40" spans="1:11" x14ac:dyDescent="0.25">
      <c r="A40" s="26" t="s">
        <v>626</v>
      </c>
      <c r="B40" s="23" t="s">
        <v>627</v>
      </c>
      <c r="C40" s="23">
        <v>0.3</v>
      </c>
      <c r="D40" s="23">
        <v>444.03</v>
      </c>
      <c r="E40" s="53">
        <f t="shared" si="6"/>
        <v>222.01499999999999</v>
      </c>
      <c r="F40" s="41">
        <f t="shared" si="7"/>
        <v>666.04499999999996</v>
      </c>
      <c r="G40" s="53">
        <f t="shared" si="8"/>
        <v>499.53374999999994</v>
      </c>
      <c r="H40" s="54">
        <f t="shared" si="9"/>
        <v>222.01499999999999</v>
      </c>
      <c r="I40" s="55">
        <f t="shared" si="10"/>
        <v>888.06</v>
      </c>
      <c r="J40" s="56">
        <f t="shared" si="11"/>
        <v>666.04499999999996</v>
      </c>
      <c r="K40" s="177"/>
    </row>
    <row r="41" spans="1:11" x14ac:dyDescent="0.25">
      <c r="A41" s="26" t="s">
        <v>628</v>
      </c>
      <c r="B41" s="23" t="s">
        <v>2038</v>
      </c>
      <c r="C41" s="23">
        <v>0.3</v>
      </c>
      <c r="D41" s="23">
        <v>444.04</v>
      </c>
      <c r="E41" s="53">
        <f t="shared" si="6"/>
        <v>222.02</v>
      </c>
      <c r="F41" s="41">
        <f t="shared" si="7"/>
        <v>666.06000000000006</v>
      </c>
      <c r="G41" s="53">
        <f t="shared" si="8"/>
        <v>499.54500000000007</v>
      </c>
      <c r="H41" s="54">
        <f t="shared" si="9"/>
        <v>222.02</v>
      </c>
      <c r="I41" s="55">
        <f t="shared" si="10"/>
        <v>888.08</v>
      </c>
      <c r="J41" s="56">
        <f t="shared" si="11"/>
        <v>666.06000000000006</v>
      </c>
      <c r="K41" s="177"/>
    </row>
    <row r="42" spans="1:11" x14ac:dyDescent="0.25">
      <c r="A42" s="26" t="s">
        <v>629</v>
      </c>
      <c r="B42" s="23" t="s">
        <v>210</v>
      </c>
      <c r="C42" s="23">
        <v>0.3</v>
      </c>
      <c r="D42" s="23">
        <v>444.03</v>
      </c>
      <c r="E42" s="53">
        <f t="shared" si="6"/>
        <v>222.01499999999999</v>
      </c>
      <c r="F42" s="41">
        <f t="shared" si="7"/>
        <v>666.04499999999996</v>
      </c>
      <c r="G42" s="53">
        <f t="shared" si="8"/>
        <v>499.53374999999994</v>
      </c>
      <c r="H42" s="54">
        <f t="shared" si="9"/>
        <v>222.01499999999999</v>
      </c>
      <c r="I42" s="55">
        <f t="shared" si="10"/>
        <v>888.06</v>
      </c>
      <c r="J42" s="56">
        <f t="shared" si="11"/>
        <v>666.04499999999996</v>
      </c>
      <c r="K42" s="177"/>
    </row>
    <row r="43" spans="1:11" x14ac:dyDescent="0.25">
      <c r="A43" s="26" t="s">
        <v>630</v>
      </c>
      <c r="B43" s="23" t="s">
        <v>2039</v>
      </c>
      <c r="C43" s="23">
        <v>0.3</v>
      </c>
      <c r="D43" s="23">
        <v>444.03</v>
      </c>
      <c r="E43" s="53">
        <f t="shared" si="6"/>
        <v>222.01499999999999</v>
      </c>
      <c r="F43" s="41">
        <f t="shared" si="7"/>
        <v>666.04499999999996</v>
      </c>
      <c r="G43" s="53">
        <f t="shared" si="8"/>
        <v>499.53374999999994</v>
      </c>
      <c r="H43" s="54">
        <f t="shared" si="9"/>
        <v>222.01499999999999</v>
      </c>
      <c r="I43" s="55">
        <f t="shared" si="10"/>
        <v>888.06</v>
      </c>
      <c r="J43" s="56">
        <f t="shared" si="11"/>
        <v>666.04499999999996</v>
      </c>
      <c r="K43" s="177"/>
    </row>
    <row r="44" spans="1:11" x14ac:dyDescent="0.25">
      <c r="A44" s="26" t="s">
        <v>631</v>
      </c>
      <c r="B44" s="23" t="s">
        <v>1332</v>
      </c>
      <c r="C44" s="23">
        <v>0.3</v>
      </c>
      <c r="D44" s="23">
        <v>444.03</v>
      </c>
      <c r="E44" s="53">
        <f t="shared" si="6"/>
        <v>222.01499999999999</v>
      </c>
      <c r="F44" s="41">
        <f t="shared" si="7"/>
        <v>666.04499999999996</v>
      </c>
      <c r="G44" s="53">
        <f t="shared" si="8"/>
        <v>499.53374999999994</v>
      </c>
      <c r="H44" s="54">
        <f t="shared" si="9"/>
        <v>222.01499999999999</v>
      </c>
      <c r="I44" s="55">
        <f t="shared" si="10"/>
        <v>888.06</v>
      </c>
      <c r="J44" s="56">
        <f t="shared" si="11"/>
        <v>666.04499999999996</v>
      </c>
      <c r="K44" s="177"/>
    </row>
    <row r="45" spans="1:11" x14ac:dyDescent="0.25">
      <c r="A45" s="26" t="s">
        <v>632</v>
      </c>
      <c r="B45" s="23" t="s">
        <v>1601</v>
      </c>
      <c r="C45" s="23">
        <v>0.3</v>
      </c>
      <c r="D45" s="23">
        <v>444.03</v>
      </c>
      <c r="E45" s="53">
        <f t="shared" si="6"/>
        <v>222.01499999999999</v>
      </c>
      <c r="F45" s="41">
        <f t="shared" si="7"/>
        <v>666.04499999999996</v>
      </c>
      <c r="G45" s="53">
        <f t="shared" si="8"/>
        <v>499.53374999999994</v>
      </c>
      <c r="H45" s="54">
        <f t="shared" si="9"/>
        <v>222.01499999999999</v>
      </c>
      <c r="I45" s="55">
        <f t="shared" si="10"/>
        <v>888.06</v>
      </c>
      <c r="J45" s="56">
        <f t="shared" si="11"/>
        <v>666.04499999999996</v>
      </c>
      <c r="K45" s="177"/>
    </row>
    <row r="46" spans="1:11" x14ac:dyDescent="0.25">
      <c r="A46" s="26" t="s">
        <v>633</v>
      </c>
      <c r="B46" s="23" t="s">
        <v>2040</v>
      </c>
      <c r="C46" s="23">
        <v>0.3</v>
      </c>
      <c r="D46" s="23">
        <v>444.03</v>
      </c>
      <c r="E46" s="53">
        <f t="shared" si="6"/>
        <v>222.01499999999999</v>
      </c>
      <c r="F46" s="41">
        <f t="shared" si="7"/>
        <v>666.04499999999996</v>
      </c>
      <c r="G46" s="53">
        <f t="shared" si="8"/>
        <v>499.53374999999994</v>
      </c>
      <c r="H46" s="54">
        <f t="shared" si="9"/>
        <v>222.01499999999999</v>
      </c>
      <c r="I46" s="55">
        <f t="shared" si="10"/>
        <v>888.06</v>
      </c>
      <c r="J46" s="56">
        <f t="shared" si="11"/>
        <v>666.04499999999996</v>
      </c>
      <c r="K46" s="177"/>
    </row>
    <row r="47" spans="1:11" x14ac:dyDescent="0.25">
      <c r="A47" s="26" t="s">
        <v>634</v>
      </c>
      <c r="B47" s="23" t="s">
        <v>1866</v>
      </c>
      <c r="C47" s="23">
        <v>0.3</v>
      </c>
      <c r="D47" s="23">
        <v>444.03</v>
      </c>
      <c r="E47" s="53">
        <f t="shared" si="6"/>
        <v>222.01499999999999</v>
      </c>
      <c r="F47" s="41">
        <f t="shared" si="7"/>
        <v>666.04499999999996</v>
      </c>
      <c r="G47" s="53">
        <f t="shared" si="8"/>
        <v>499.53374999999994</v>
      </c>
      <c r="H47" s="54">
        <f t="shared" si="9"/>
        <v>222.01499999999999</v>
      </c>
      <c r="I47" s="55">
        <f t="shared" si="10"/>
        <v>888.06</v>
      </c>
      <c r="J47" s="56">
        <f t="shared" si="11"/>
        <v>666.04499999999996</v>
      </c>
      <c r="K47" s="177"/>
    </row>
    <row r="48" spans="1:11" x14ac:dyDescent="0.25">
      <c r="A48" s="26" t="s">
        <v>635</v>
      </c>
      <c r="B48" s="23" t="s">
        <v>285</v>
      </c>
      <c r="C48" s="23">
        <v>0.3</v>
      </c>
      <c r="D48" s="23">
        <v>444.03</v>
      </c>
      <c r="E48" s="53">
        <f t="shared" si="6"/>
        <v>222.01499999999999</v>
      </c>
      <c r="F48" s="41">
        <f t="shared" si="7"/>
        <v>666.04499999999996</v>
      </c>
      <c r="G48" s="53">
        <f t="shared" si="8"/>
        <v>499.53374999999994</v>
      </c>
      <c r="H48" s="54">
        <f t="shared" si="9"/>
        <v>222.01499999999999</v>
      </c>
      <c r="I48" s="55">
        <f t="shared" si="10"/>
        <v>888.06</v>
      </c>
      <c r="J48" s="56">
        <f t="shared" si="11"/>
        <v>666.04499999999996</v>
      </c>
      <c r="K48" s="177"/>
    </row>
    <row r="49" spans="1:11" x14ac:dyDescent="0.25">
      <c r="A49" s="26" t="s">
        <v>636</v>
      </c>
      <c r="B49" s="23" t="s">
        <v>637</v>
      </c>
      <c r="C49" s="23">
        <v>0.3</v>
      </c>
      <c r="D49" s="23">
        <v>444.03</v>
      </c>
      <c r="E49" s="53">
        <f t="shared" si="6"/>
        <v>222.01499999999999</v>
      </c>
      <c r="F49" s="41">
        <f t="shared" si="7"/>
        <v>666.04499999999996</v>
      </c>
      <c r="G49" s="53">
        <f t="shared" si="8"/>
        <v>499.53374999999994</v>
      </c>
      <c r="H49" s="54">
        <f t="shared" si="9"/>
        <v>222.01499999999999</v>
      </c>
      <c r="I49" s="55">
        <f t="shared" si="10"/>
        <v>888.06</v>
      </c>
      <c r="J49" s="56">
        <f t="shared" si="11"/>
        <v>666.04499999999996</v>
      </c>
      <c r="K49" s="177"/>
    </row>
    <row r="50" spans="1:11" x14ac:dyDescent="0.25">
      <c r="A50" s="26" t="s">
        <v>638</v>
      </c>
      <c r="B50" s="23" t="s">
        <v>1708</v>
      </c>
      <c r="C50" s="23">
        <v>0.3</v>
      </c>
      <c r="D50" s="23">
        <v>444.03</v>
      </c>
      <c r="E50" s="53">
        <f t="shared" si="6"/>
        <v>222.01499999999999</v>
      </c>
      <c r="F50" s="41">
        <f t="shared" si="7"/>
        <v>666.04499999999996</v>
      </c>
      <c r="G50" s="53">
        <f t="shared" si="8"/>
        <v>499.53374999999994</v>
      </c>
      <c r="H50" s="54">
        <f t="shared" si="9"/>
        <v>222.01499999999999</v>
      </c>
      <c r="I50" s="55">
        <f t="shared" si="10"/>
        <v>888.06</v>
      </c>
      <c r="J50" s="56">
        <f t="shared" si="11"/>
        <v>666.04499999999996</v>
      </c>
      <c r="K50" s="177"/>
    </row>
    <row r="51" spans="1:11" x14ac:dyDescent="0.25">
      <c r="A51" s="26" t="s">
        <v>639</v>
      </c>
      <c r="B51" s="23" t="s">
        <v>640</v>
      </c>
      <c r="C51" s="23">
        <v>0.3</v>
      </c>
      <c r="D51" s="23">
        <v>444.03</v>
      </c>
      <c r="E51" s="53">
        <f t="shared" si="6"/>
        <v>222.01499999999999</v>
      </c>
      <c r="F51" s="41">
        <f t="shared" si="7"/>
        <v>666.04499999999996</v>
      </c>
      <c r="G51" s="53">
        <f t="shared" si="8"/>
        <v>499.53374999999994</v>
      </c>
      <c r="H51" s="54">
        <f t="shared" si="9"/>
        <v>222.01499999999999</v>
      </c>
      <c r="I51" s="55">
        <f t="shared" si="10"/>
        <v>888.06</v>
      </c>
      <c r="J51" s="56">
        <f t="shared" si="11"/>
        <v>666.04499999999996</v>
      </c>
      <c r="K51" s="177"/>
    </row>
    <row r="52" spans="1:11" x14ac:dyDescent="0.25">
      <c r="A52" s="26" t="s">
        <v>641</v>
      </c>
      <c r="B52" s="23" t="s">
        <v>1783</v>
      </c>
      <c r="C52" s="23">
        <v>0.3</v>
      </c>
      <c r="D52" s="23">
        <v>444.03</v>
      </c>
      <c r="E52" s="53">
        <f t="shared" si="6"/>
        <v>222.01499999999999</v>
      </c>
      <c r="F52" s="41">
        <f t="shared" si="7"/>
        <v>666.04499999999996</v>
      </c>
      <c r="G52" s="53">
        <f t="shared" si="8"/>
        <v>499.53374999999994</v>
      </c>
      <c r="H52" s="54">
        <f t="shared" si="9"/>
        <v>222.01499999999999</v>
      </c>
      <c r="I52" s="55">
        <f t="shared" si="10"/>
        <v>888.06</v>
      </c>
      <c r="J52" s="56">
        <f t="shared" si="11"/>
        <v>666.04499999999996</v>
      </c>
      <c r="K52" s="177"/>
    </row>
    <row r="53" spans="1:11" x14ac:dyDescent="0.25">
      <c r="A53" s="26" t="s">
        <v>642</v>
      </c>
      <c r="B53" s="23" t="s">
        <v>643</v>
      </c>
      <c r="C53" s="23">
        <v>0.3</v>
      </c>
      <c r="D53" s="23">
        <v>444.03</v>
      </c>
      <c r="E53" s="53">
        <f t="shared" si="6"/>
        <v>222.01499999999999</v>
      </c>
      <c r="F53" s="41">
        <f t="shared" si="7"/>
        <v>666.04499999999996</v>
      </c>
      <c r="G53" s="53">
        <f t="shared" si="8"/>
        <v>499.53374999999994</v>
      </c>
      <c r="H53" s="54">
        <f t="shared" si="9"/>
        <v>222.01499999999999</v>
      </c>
      <c r="I53" s="55">
        <f t="shared" si="10"/>
        <v>888.06</v>
      </c>
      <c r="J53" s="56">
        <f t="shared" si="11"/>
        <v>666.04499999999996</v>
      </c>
      <c r="K53" s="177"/>
    </row>
    <row r="54" spans="1:11" x14ac:dyDescent="0.25">
      <c r="A54" s="26" t="s">
        <v>644</v>
      </c>
      <c r="B54" s="23" t="s">
        <v>645</v>
      </c>
      <c r="C54" s="23">
        <v>0.3</v>
      </c>
      <c r="D54" s="23">
        <v>444.03</v>
      </c>
      <c r="E54" s="53">
        <f t="shared" si="6"/>
        <v>222.01499999999999</v>
      </c>
      <c r="F54" s="41">
        <f t="shared" si="7"/>
        <v>666.04499999999996</v>
      </c>
      <c r="G54" s="53">
        <f t="shared" si="8"/>
        <v>499.53374999999994</v>
      </c>
      <c r="H54" s="54">
        <f t="shared" si="9"/>
        <v>222.01499999999999</v>
      </c>
      <c r="I54" s="55">
        <f t="shared" si="10"/>
        <v>888.06</v>
      </c>
      <c r="J54" s="56">
        <f t="shared" si="11"/>
        <v>666.04499999999996</v>
      </c>
      <c r="K54" s="177"/>
    </row>
    <row r="55" spans="1:11" x14ac:dyDescent="0.25">
      <c r="A55" s="26" t="s">
        <v>646</v>
      </c>
      <c r="B55" s="23" t="s">
        <v>647</v>
      </c>
      <c r="C55" s="23">
        <v>0.3</v>
      </c>
      <c r="D55" s="23">
        <v>444.03</v>
      </c>
      <c r="E55" s="53">
        <f t="shared" si="6"/>
        <v>222.01499999999999</v>
      </c>
      <c r="F55" s="41">
        <f t="shared" si="7"/>
        <v>666.04499999999996</v>
      </c>
      <c r="G55" s="53">
        <f t="shared" si="8"/>
        <v>499.53374999999994</v>
      </c>
      <c r="H55" s="54">
        <f t="shared" si="9"/>
        <v>222.01499999999999</v>
      </c>
      <c r="I55" s="55">
        <f t="shared" si="10"/>
        <v>888.06</v>
      </c>
      <c r="J55" s="56">
        <f t="shared" si="11"/>
        <v>666.04499999999996</v>
      </c>
      <c r="K55" s="177"/>
    </row>
    <row r="56" spans="1:11" x14ac:dyDescent="0.25">
      <c r="A56" s="26" t="s">
        <v>648</v>
      </c>
      <c r="B56" s="23" t="s">
        <v>649</v>
      </c>
      <c r="C56" s="23">
        <v>0.3</v>
      </c>
      <c r="D56" s="23">
        <v>444.03</v>
      </c>
      <c r="E56" s="53">
        <f t="shared" si="6"/>
        <v>222.01499999999999</v>
      </c>
      <c r="F56" s="41">
        <f t="shared" si="7"/>
        <v>666.04499999999996</v>
      </c>
      <c r="G56" s="53">
        <f t="shared" si="8"/>
        <v>499.53374999999994</v>
      </c>
      <c r="H56" s="54">
        <f t="shared" si="9"/>
        <v>222.01499999999999</v>
      </c>
      <c r="I56" s="55">
        <f t="shared" si="10"/>
        <v>888.06</v>
      </c>
      <c r="J56" s="56">
        <f t="shared" si="11"/>
        <v>666.04499999999996</v>
      </c>
      <c r="K56" s="177"/>
    </row>
    <row r="57" spans="1:11" x14ac:dyDescent="0.25">
      <c r="A57" s="26" t="s">
        <v>650</v>
      </c>
      <c r="B57" s="23" t="s">
        <v>651</v>
      </c>
      <c r="C57" s="23">
        <v>0.3</v>
      </c>
      <c r="D57" s="23">
        <v>444.03</v>
      </c>
      <c r="E57" s="53">
        <f t="shared" si="6"/>
        <v>222.01499999999999</v>
      </c>
      <c r="F57" s="41">
        <f t="shared" si="7"/>
        <v>666.04499999999996</v>
      </c>
      <c r="G57" s="53">
        <f t="shared" si="8"/>
        <v>499.53374999999994</v>
      </c>
      <c r="H57" s="54">
        <f t="shared" si="9"/>
        <v>222.01499999999999</v>
      </c>
      <c r="I57" s="55">
        <f t="shared" si="10"/>
        <v>888.06</v>
      </c>
      <c r="J57" s="56">
        <f t="shared" si="11"/>
        <v>666.04499999999996</v>
      </c>
      <c r="K57" s="177"/>
    </row>
    <row r="58" spans="1:11" x14ac:dyDescent="0.25">
      <c r="A58" s="26" t="s">
        <v>652</v>
      </c>
      <c r="B58" s="23" t="s">
        <v>1771</v>
      </c>
      <c r="C58" s="23">
        <v>0.3</v>
      </c>
      <c r="D58" s="23">
        <v>444.03</v>
      </c>
      <c r="E58" s="53">
        <f t="shared" si="6"/>
        <v>222.01499999999999</v>
      </c>
      <c r="F58" s="41">
        <f t="shared" si="7"/>
        <v>666.04499999999996</v>
      </c>
      <c r="G58" s="53">
        <f t="shared" si="8"/>
        <v>499.53374999999994</v>
      </c>
      <c r="H58" s="54">
        <f t="shared" si="9"/>
        <v>222.01499999999999</v>
      </c>
      <c r="I58" s="55">
        <f t="shared" si="10"/>
        <v>888.06</v>
      </c>
      <c r="J58" s="56">
        <f t="shared" si="11"/>
        <v>666.04499999999996</v>
      </c>
      <c r="K58" s="177"/>
    </row>
    <row r="59" spans="1:11" x14ac:dyDescent="0.25">
      <c r="A59" s="26" t="s">
        <v>653</v>
      </c>
      <c r="B59" s="23" t="s">
        <v>1660</v>
      </c>
      <c r="C59" s="23">
        <v>0.3</v>
      </c>
      <c r="D59" s="23">
        <v>444.03</v>
      </c>
      <c r="E59" s="53">
        <f t="shared" si="6"/>
        <v>222.01499999999999</v>
      </c>
      <c r="F59" s="41">
        <f t="shared" si="7"/>
        <v>666.04499999999996</v>
      </c>
      <c r="G59" s="53">
        <f t="shared" si="8"/>
        <v>499.53374999999994</v>
      </c>
      <c r="H59" s="54">
        <f t="shared" si="9"/>
        <v>222.01499999999999</v>
      </c>
      <c r="I59" s="55">
        <f t="shared" si="10"/>
        <v>888.06</v>
      </c>
      <c r="J59" s="56">
        <f t="shared" si="11"/>
        <v>666.04499999999996</v>
      </c>
      <c r="K59" s="177"/>
    </row>
    <row r="60" spans="1:11" x14ac:dyDescent="0.25">
      <c r="A60" s="26" t="s">
        <v>654</v>
      </c>
      <c r="B60" s="23" t="s">
        <v>1768</v>
      </c>
      <c r="C60" s="23">
        <v>0.3</v>
      </c>
      <c r="D60" s="23">
        <v>444.03</v>
      </c>
      <c r="E60" s="53">
        <f t="shared" si="6"/>
        <v>222.01499999999999</v>
      </c>
      <c r="F60" s="41">
        <f t="shared" si="7"/>
        <v>666.04499999999996</v>
      </c>
      <c r="G60" s="53">
        <f t="shared" si="8"/>
        <v>499.53374999999994</v>
      </c>
      <c r="H60" s="54">
        <f t="shared" si="9"/>
        <v>222.01499999999999</v>
      </c>
      <c r="I60" s="55">
        <f t="shared" si="10"/>
        <v>888.06</v>
      </c>
      <c r="J60" s="56">
        <f t="shared" si="11"/>
        <v>666.04499999999996</v>
      </c>
      <c r="K60" s="177"/>
    </row>
    <row r="61" spans="1:11" s="31" customFormat="1" x14ac:dyDescent="0.25">
      <c r="A61" s="29"/>
      <c r="B61" s="24" t="s">
        <v>1562</v>
      </c>
      <c r="C61" s="24">
        <f>SUM(C36:C60)</f>
        <v>7.4999999999999973</v>
      </c>
      <c r="D61" s="27"/>
      <c r="E61" s="28"/>
      <c r="F61" s="28"/>
      <c r="G61" s="30"/>
      <c r="H61" s="40"/>
      <c r="I61" s="204">
        <f>SUM(I36:I60)</f>
        <v>22201.52</v>
      </c>
      <c r="J61" s="28">
        <f t="shared" si="11"/>
        <v>16651.14</v>
      </c>
      <c r="K61" s="30"/>
    </row>
    <row r="62" spans="1:11" x14ac:dyDescent="0.25">
      <c r="A62" s="86"/>
      <c r="B62" s="78"/>
      <c r="C62" s="78"/>
      <c r="D62" s="79"/>
      <c r="E62" s="80"/>
      <c r="F62" s="80"/>
    </row>
    <row r="63" spans="1:11" x14ac:dyDescent="0.25">
      <c r="A63" s="86"/>
      <c r="B63" s="78"/>
      <c r="C63" s="78"/>
      <c r="D63" s="79"/>
      <c r="E63" s="80"/>
      <c r="F63" s="80"/>
    </row>
    <row r="64" spans="1:11" x14ac:dyDescent="0.25">
      <c r="A64" s="86"/>
      <c r="B64" s="78"/>
      <c r="C64" s="78"/>
      <c r="D64" s="79"/>
      <c r="E64" s="80"/>
      <c r="F64" s="80"/>
    </row>
    <row r="65" spans="1:11" x14ac:dyDescent="0.25">
      <c r="A65" s="86"/>
      <c r="B65" s="78"/>
      <c r="C65" s="78"/>
      <c r="D65" s="79"/>
      <c r="E65" s="80"/>
      <c r="F65" s="80"/>
    </row>
    <row r="66" spans="1:11" x14ac:dyDescent="0.25">
      <c r="A66" s="86"/>
      <c r="B66" s="78"/>
      <c r="C66" s="78"/>
      <c r="D66" s="79"/>
      <c r="E66" s="80"/>
      <c r="F66" s="80"/>
    </row>
    <row r="67" spans="1:11" x14ac:dyDescent="0.25">
      <c r="A67" s="81"/>
      <c r="B67" s="21" t="s">
        <v>655</v>
      </c>
      <c r="C67" s="21"/>
      <c r="D67" s="82"/>
      <c r="E67" s="83"/>
      <c r="F67" s="83"/>
    </row>
    <row r="68" spans="1:11" s="100" customFormat="1" ht="45" x14ac:dyDescent="0.25">
      <c r="A68" s="13" t="s">
        <v>1705</v>
      </c>
      <c r="B68" s="73" t="s">
        <v>1847</v>
      </c>
      <c r="C68" s="73"/>
      <c r="D68" s="17" t="s">
        <v>1876</v>
      </c>
      <c r="E68" s="70" t="s">
        <v>1877</v>
      </c>
      <c r="F68" s="71" t="s">
        <v>1878</v>
      </c>
      <c r="G68" s="15" t="s">
        <v>1879</v>
      </c>
      <c r="H68" s="72" t="s">
        <v>1880</v>
      </c>
      <c r="I68" s="196" t="s">
        <v>1881</v>
      </c>
      <c r="J68" s="16" t="s">
        <v>1612</v>
      </c>
      <c r="K68" s="178" t="s">
        <v>1964</v>
      </c>
    </row>
    <row r="69" spans="1:11" x14ac:dyDescent="0.25">
      <c r="A69" s="26" t="s">
        <v>656</v>
      </c>
      <c r="B69" s="23" t="s">
        <v>657</v>
      </c>
      <c r="C69" s="23">
        <v>0.3</v>
      </c>
      <c r="D69" s="23">
        <v>400.08</v>
      </c>
      <c r="E69" s="53">
        <f t="shared" ref="E69:E87" si="12">D69*50%</f>
        <v>200.04</v>
      </c>
      <c r="F69" s="41">
        <f t="shared" ref="F69:F87" si="13">D69+E69</f>
        <v>600.12</v>
      </c>
      <c r="G69" s="53">
        <f t="shared" ref="G69:G87" si="14">F69-(F69*25%)</f>
        <v>450.09000000000003</v>
      </c>
      <c r="H69" s="54">
        <f t="shared" ref="H69:H87" si="15">D69*50%</f>
        <v>200.04</v>
      </c>
      <c r="I69" s="55">
        <f t="shared" ref="I69:I87" si="16">D69+(H69*2)</f>
        <v>800.16</v>
      </c>
      <c r="J69" s="56">
        <f t="shared" ref="J69:J89" si="17">I69-(I69*25%)</f>
        <v>600.12</v>
      </c>
      <c r="K69" s="177"/>
    </row>
    <row r="70" spans="1:11" x14ac:dyDescent="0.25">
      <c r="A70" s="26" t="s">
        <v>658</v>
      </c>
      <c r="B70" s="23" t="s">
        <v>1593</v>
      </c>
      <c r="C70" s="23">
        <v>0.3</v>
      </c>
      <c r="D70" s="23">
        <v>400.08</v>
      </c>
      <c r="E70" s="53">
        <f t="shared" si="12"/>
        <v>200.04</v>
      </c>
      <c r="F70" s="41">
        <f t="shared" si="13"/>
        <v>600.12</v>
      </c>
      <c r="G70" s="53">
        <f t="shared" si="14"/>
        <v>450.09000000000003</v>
      </c>
      <c r="H70" s="54">
        <f t="shared" si="15"/>
        <v>200.04</v>
      </c>
      <c r="I70" s="55">
        <f t="shared" si="16"/>
        <v>800.16</v>
      </c>
      <c r="J70" s="56">
        <f t="shared" si="17"/>
        <v>600.12</v>
      </c>
      <c r="K70" s="177"/>
    </row>
    <row r="71" spans="1:11" x14ac:dyDescent="0.25">
      <c r="A71" s="26" t="s">
        <v>659</v>
      </c>
      <c r="B71" s="23" t="s">
        <v>1348</v>
      </c>
      <c r="C71" s="23">
        <v>0.3</v>
      </c>
      <c r="D71" s="23">
        <v>400.08</v>
      </c>
      <c r="E71" s="53">
        <f t="shared" si="12"/>
        <v>200.04</v>
      </c>
      <c r="F71" s="41">
        <f t="shared" si="13"/>
        <v>600.12</v>
      </c>
      <c r="G71" s="53">
        <f t="shared" si="14"/>
        <v>450.09000000000003</v>
      </c>
      <c r="H71" s="54">
        <f t="shared" si="15"/>
        <v>200.04</v>
      </c>
      <c r="I71" s="55">
        <f t="shared" si="16"/>
        <v>800.16</v>
      </c>
      <c r="J71" s="56">
        <f t="shared" si="17"/>
        <v>600.12</v>
      </c>
      <c r="K71" s="177"/>
    </row>
    <row r="72" spans="1:11" x14ac:dyDescent="0.25">
      <c r="A72" s="26" t="s">
        <v>660</v>
      </c>
      <c r="B72" s="23" t="s">
        <v>2122</v>
      </c>
      <c r="C72" s="23">
        <v>0.3</v>
      </c>
      <c r="D72" s="23">
        <v>400.08</v>
      </c>
      <c r="E72" s="53">
        <f t="shared" si="12"/>
        <v>200.04</v>
      </c>
      <c r="F72" s="41">
        <f t="shared" si="13"/>
        <v>600.12</v>
      </c>
      <c r="G72" s="53">
        <f t="shared" si="14"/>
        <v>450.09000000000003</v>
      </c>
      <c r="H72" s="54">
        <f t="shared" si="15"/>
        <v>200.04</v>
      </c>
      <c r="I72" s="55">
        <f t="shared" si="16"/>
        <v>800.16</v>
      </c>
      <c r="J72" s="56">
        <f t="shared" si="17"/>
        <v>600.12</v>
      </c>
      <c r="K72" s="177"/>
    </row>
    <row r="73" spans="1:11" x14ac:dyDescent="0.25">
      <c r="A73" s="26" t="s">
        <v>661</v>
      </c>
      <c r="B73" s="23" t="s">
        <v>2186</v>
      </c>
      <c r="C73" s="23">
        <v>0.3</v>
      </c>
      <c r="D73" s="23">
        <v>400.08</v>
      </c>
      <c r="E73" s="53">
        <f t="shared" si="12"/>
        <v>200.04</v>
      </c>
      <c r="F73" s="41">
        <f t="shared" si="13"/>
        <v>600.12</v>
      </c>
      <c r="G73" s="53">
        <f t="shared" si="14"/>
        <v>450.09000000000003</v>
      </c>
      <c r="H73" s="54">
        <f t="shared" si="15"/>
        <v>200.04</v>
      </c>
      <c r="I73" s="55">
        <f t="shared" si="16"/>
        <v>800.16</v>
      </c>
      <c r="J73" s="56">
        <f t="shared" si="17"/>
        <v>600.12</v>
      </c>
      <c r="K73" s="177"/>
    </row>
    <row r="74" spans="1:11" x14ac:dyDescent="0.25">
      <c r="A74" s="26" t="s">
        <v>662</v>
      </c>
      <c r="B74" s="23" t="s">
        <v>1349</v>
      </c>
      <c r="C74" s="23">
        <v>0.3</v>
      </c>
      <c r="D74" s="23">
        <v>400.08</v>
      </c>
      <c r="E74" s="53">
        <f t="shared" si="12"/>
        <v>200.04</v>
      </c>
      <c r="F74" s="41">
        <f t="shared" si="13"/>
        <v>600.12</v>
      </c>
      <c r="G74" s="53">
        <f t="shared" si="14"/>
        <v>450.09000000000003</v>
      </c>
      <c r="H74" s="54">
        <f t="shared" si="15"/>
        <v>200.04</v>
      </c>
      <c r="I74" s="55">
        <f t="shared" si="16"/>
        <v>800.16</v>
      </c>
      <c r="J74" s="56">
        <f t="shared" si="17"/>
        <v>600.12</v>
      </c>
      <c r="K74" s="177"/>
    </row>
    <row r="75" spans="1:11" x14ac:dyDescent="0.25">
      <c r="A75" s="26" t="s">
        <v>663</v>
      </c>
      <c r="B75" s="23" t="s">
        <v>664</v>
      </c>
      <c r="C75" s="23">
        <v>0.3</v>
      </c>
      <c r="D75" s="23">
        <v>400.08</v>
      </c>
      <c r="E75" s="53">
        <f t="shared" si="12"/>
        <v>200.04</v>
      </c>
      <c r="F75" s="41">
        <f t="shared" si="13"/>
        <v>600.12</v>
      </c>
      <c r="G75" s="53">
        <f t="shared" si="14"/>
        <v>450.09000000000003</v>
      </c>
      <c r="H75" s="54">
        <f t="shared" si="15"/>
        <v>200.04</v>
      </c>
      <c r="I75" s="55">
        <f t="shared" si="16"/>
        <v>800.16</v>
      </c>
      <c r="J75" s="56">
        <f t="shared" si="17"/>
        <v>600.12</v>
      </c>
      <c r="K75" s="177"/>
    </row>
    <row r="76" spans="1:11" x14ac:dyDescent="0.25">
      <c r="A76" s="26" t="s">
        <v>665</v>
      </c>
      <c r="B76" s="23" t="s">
        <v>666</v>
      </c>
      <c r="C76" s="23">
        <v>0.3</v>
      </c>
      <c r="D76" s="23">
        <v>400.08</v>
      </c>
      <c r="E76" s="53">
        <f t="shared" si="12"/>
        <v>200.04</v>
      </c>
      <c r="F76" s="41">
        <f t="shared" si="13"/>
        <v>600.12</v>
      </c>
      <c r="G76" s="53">
        <f t="shared" si="14"/>
        <v>450.09000000000003</v>
      </c>
      <c r="H76" s="54">
        <f t="shared" si="15"/>
        <v>200.04</v>
      </c>
      <c r="I76" s="55">
        <f t="shared" si="16"/>
        <v>800.16</v>
      </c>
      <c r="J76" s="56">
        <f t="shared" si="17"/>
        <v>600.12</v>
      </c>
      <c r="K76" s="177"/>
    </row>
    <row r="77" spans="1:11" x14ac:dyDescent="0.25">
      <c r="A77" s="26" t="s">
        <v>667</v>
      </c>
      <c r="B77" s="23" t="s">
        <v>668</v>
      </c>
      <c r="C77" s="23">
        <v>0.3</v>
      </c>
      <c r="D77" s="23">
        <v>400.08</v>
      </c>
      <c r="E77" s="53">
        <f t="shared" si="12"/>
        <v>200.04</v>
      </c>
      <c r="F77" s="41">
        <f t="shared" si="13"/>
        <v>600.12</v>
      </c>
      <c r="G77" s="53">
        <f t="shared" si="14"/>
        <v>450.09000000000003</v>
      </c>
      <c r="H77" s="54">
        <f t="shared" si="15"/>
        <v>200.04</v>
      </c>
      <c r="I77" s="55">
        <f t="shared" si="16"/>
        <v>800.16</v>
      </c>
      <c r="J77" s="56">
        <f t="shared" si="17"/>
        <v>600.12</v>
      </c>
      <c r="K77" s="177"/>
    </row>
    <row r="78" spans="1:11" x14ac:dyDescent="0.25">
      <c r="A78" s="26" t="s">
        <v>669</v>
      </c>
      <c r="B78" s="23" t="s">
        <v>670</v>
      </c>
      <c r="C78" s="23">
        <v>0.3</v>
      </c>
      <c r="D78" s="23">
        <v>400.08</v>
      </c>
      <c r="E78" s="53">
        <f t="shared" si="12"/>
        <v>200.04</v>
      </c>
      <c r="F78" s="41">
        <f t="shared" si="13"/>
        <v>600.12</v>
      </c>
      <c r="G78" s="53">
        <f t="shared" si="14"/>
        <v>450.09000000000003</v>
      </c>
      <c r="H78" s="54">
        <f t="shared" si="15"/>
        <v>200.04</v>
      </c>
      <c r="I78" s="55">
        <f t="shared" si="16"/>
        <v>800.16</v>
      </c>
      <c r="J78" s="56">
        <f t="shared" si="17"/>
        <v>600.12</v>
      </c>
      <c r="K78" s="177"/>
    </row>
    <row r="79" spans="1:11" s="2" customFormat="1" x14ac:dyDescent="0.25">
      <c r="A79" s="26" t="s">
        <v>671</v>
      </c>
      <c r="B79" s="23" t="s">
        <v>672</v>
      </c>
      <c r="C79" s="23">
        <v>0.3</v>
      </c>
      <c r="D79" s="23">
        <v>400.08</v>
      </c>
      <c r="E79" s="53">
        <f t="shared" si="12"/>
        <v>200.04</v>
      </c>
      <c r="F79" s="41">
        <f t="shared" si="13"/>
        <v>600.12</v>
      </c>
      <c r="G79" s="53">
        <f t="shared" si="14"/>
        <v>450.09000000000003</v>
      </c>
      <c r="H79" s="54">
        <f t="shared" si="15"/>
        <v>200.04</v>
      </c>
      <c r="I79" s="55">
        <f t="shared" si="16"/>
        <v>800.16</v>
      </c>
      <c r="J79" s="56">
        <f t="shared" si="17"/>
        <v>600.12</v>
      </c>
      <c r="K79" s="180"/>
    </row>
    <row r="80" spans="1:11" x14ac:dyDescent="0.25">
      <c r="A80" s="26" t="s">
        <v>673</v>
      </c>
      <c r="B80" s="23" t="s">
        <v>556</v>
      </c>
      <c r="C80" s="23">
        <v>0.3</v>
      </c>
      <c r="D80" s="23">
        <v>400.08</v>
      </c>
      <c r="E80" s="53">
        <f t="shared" si="12"/>
        <v>200.04</v>
      </c>
      <c r="F80" s="41">
        <f t="shared" si="13"/>
        <v>600.12</v>
      </c>
      <c r="G80" s="53">
        <f t="shared" si="14"/>
        <v>450.09000000000003</v>
      </c>
      <c r="H80" s="54">
        <f t="shared" si="15"/>
        <v>200.04</v>
      </c>
      <c r="I80" s="55">
        <f t="shared" si="16"/>
        <v>800.16</v>
      </c>
      <c r="J80" s="56">
        <f t="shared" si="17"/>
        <v>600.12</v>
      </c>
      <c r="K80" s="177"/>
    </row>
    <row r="81" spans="1:11" x14ac:dyDescent="0.25">
      <c r="A81" s="26" t="s">
        <v>674</v>
      </c>
      <c r="B81" s="23" t="s">
        <v>556</v>
      </c>
      <c r="C81" s="23">
        <v>0.3</v>
      </c>
      <c r="D81" s="23">
        <v>400.08</v>
      </c>
      <c r="E81" s="53">
        <f t="shared" si="12"/>
        <v>200.04</v>
      </c>
      <c r="F81" s="41">
        <f t="shared" si="13"/>
        <v>600.12</v>
      </c>
      <c r="G81" s="53">
        <f t="shared" si="14"/>
        <v>450.09000000000003</v>
      </c>
      <c r="H81" s="54">
        <f t="shared" si="15"/>
        <v>200.04</v>
      </c>
      <c r="I81" s="55">
        <f t="shared" si="16"/>
        <v>800.16</v>
      </c>
      <c r="J81" s="56">
        <f t="shared" si="17"/>
        <v>600.12</v>
      </c>
      <c r="K81" s="177"/>
    </row>
    <row r="82" spans="1:11" x14ac:dyDescent="0.25">
      <c r="A82" s="26" t="s">
        <v>675</v>
      </c>
      <c r="B82" s="23"/>
      <c r="C82" s="23">
        <v>0.3</v>
      </c>
      <c r="D82" s="23">
        <v>400.08</v>
      </c>
      <c r="E82" s="53">
        <f t="shared" si="12"/>
        <v>200.04</v>
      </c>
      <c r="F82" s="41">
        <f t="shared" si="13"/>
        <v>600.12</v>
      </c>
      <c r="G82" s="53">
        <f t="shared" si="14"/>
        <v>450.09000000000003</v>
      </c>
      <c r="H82" s="54">
        <f t="shared" si="15"/>
        <v>200.04</v>
      </c>
      <c r="I82" s="55">
        <f t="shared" si="16"/>
        <v>800.16</v>
      </c>
      <c r="J82" s="56">
        <f t="shared" si="17"/>
        <v>600.12</v>
      </c>
      <c r="K82" s="177"/>
    </row>
    <row r="83" spans="1:11" x14ac:dyDescent="0.25">
      <c r="A83" s="26" t="s">
        <v>676</v>
      </c>
      <c r="B83" s="23" t="s">
        <v>2138</v>
      </c>
      <c r="C83" s="23">
        <v>0.3</v>
      </c>
      <c r="D83" s="23">
        <v>400.08</v>
      </c>
      <c r="E83" s="53">
        <f t="shared" si="12"/>
        <v>200.04</v>
      </c>
      <c r="F83" s="41">
        <f t="shared" si="13"/>
        <v>600.12</v>
      </c>
      <c r="G83" s="53">
        <f t="shared" si="14"/>
        <v>450.09000000000003</v>
      </c>
      <c r="H83" s="54">
        <f t="shared" si="15"/>
        <v>200.04</v>
      </c>
      <c r="I83" s="55">
        <f t="shared" si="16"/>
        <v>800.16</v>
      </c>
      <c r="J83" s="56">
        <f t="shared" si="17"/>
        <v>600.12</v>
      </c>
      <c r="K83" s="177"/>
    </row>
    <row r="84" spans="1:11" x14ac:dyDescent="0.25">
      <c r="A84" s="26" t="s">
        <v>677</v>
      </c>
      <c r="B84" s="23" t="s">
        <v>678</v>
      </c>
      <c r="C84" s="23">
        <v>0.3</v>
      </c>
      <c r="D84" s="23">
        <v>400.08</v>
      </c>
      <c r="E84" s="53">
        <f t="shared" si="12"/>
        <v>200.04</v>
      </c>
      <c r="F84" s="41">
        <f t="shared" si="13"/>
        <v>600.12</v>
      </c>
      <c r="G84" s="53">
        <f t="shared" si="14"/>
        <v>450.09000000000003</v>
      </c>
      <c r="H84" s="54">
        <f t="shared" si="15"/>
        <v>200.04</v>
      </c>
      <c r="I84" s="55">
        <f t="shared" si="16"/>
        <v>800.16</v>
      </c>
      <c r="J84" s="56">
        <f t="shared" si="17"/>
        <v>600.12</v>
      </c>
      <c r="K84" s="177"/>
    </row>
    <row r="85" spans="1:11" x14ac:dyDescent="0.25">
      <c r="A85" s="26" t="s">
        <v>679</v>
      </c>
      <c r="B85" s="23" t="s">
        <v>2125</v>
      </c>
      <c r="C85" s="23">
        <v>0.3</v>
      </c>
      <c r="D85" s="23">
        <v>400.08</v>
      </c>
      <c r="E85" s="53">
        <f t="shared" si="12"/>
        <v>200.04</v>
      </c>
      <c r="F85" s="41">
        <f t="shared" si="13"/>
        <v>600.12</v>
      </c>
      <c r="G85" s="53">
        <f t="shared" si="14"/>
        <v>450.09000000000003</v>
      </c>
      <c r="H85" s="54">
        <f t="shared" si="15"/>
        <v>200.04</v>
      </c>
      <c r="I85" s="55">
        <f t="shared" si="16"/>
        <v>800.16</v>
      </c>
      <c r="J85" s="56">
        <f t="shared" si="17"/>
        <v>600.12</v>
      </c>
      <c r="K85" s="177"/>
    </row>
    <row r="86" spans="1:11" x14ac:dyDescent="0.25">
      <c r="A86" s="26" t="s">
        <v>680</v>
      </c>
      <c r="B86" s="23" t="s">
        <v>2282</v>
      </c>
      <c r="C86" s="23">
        <v>0.3</v>
      </c>
      <c r="D86" s="23">
        <v>400.08</v>
      </c>
      <c r="E86" s="53">
        <f t="shared" si="12"/>
        <v>200.04</v>
      </c>
      <c r="F86" s="41">
        <f t="shared" si="13"/>
        <v>600.12</v>
      </c>
      <c r="G86" s="53">
        <f t="shared" si="14"/>
        <v>450.09000000000003</v>
      </c>
      <c r="H86" s="54">
        <f t="shared" si="15"/>
        <v>200.04</v>
      </c>
      <c r="I86" s="55">
        <f t="shared" si="16"/>
        <v>800.16</v>
      </c>
      <c r="J86" s="56">
        <f t="shared" si="17"/>
        <v>600.12</v>
      </c>
      <c r="K86" s="177"/>
    </row>
    <row r="87" spans="1:11" x14ac:dyDescent="0.25">
      <c r="A87" s="26" t="s">
        <v>681</v>
      </c>
      <c r="B87" s="23" t="s">
        <v>682</v>
      </c>
      <c r="C87" s="23">
        <v>0.3</v>
      </c>
      <c r="D87" s="23">
        <v>400.08</v>
      </c>
      <c r="E87" s="53">
        <f t="shared" si="12"/>
        <v>200.04</v>
      </c>
      <c r="F87" s="41">
        <f t="shared" si="13"/>
        <v>600.12</v>
      </c>
      <c r="G87" s="53">
        <f t="shared" si="14"/>
        <v>450.09000000000003</v>
      </c>
      <c r="H87" s="54">
        <f t="shared" si="15"/>
        <v>200.04</v>
      </c>
      <c r="I87" s="55">
        <f t="shared" si="16"/>
        <v>800.16</v>
      </c>
      <c r="J87" s="56">
        <f t="shared" si="17"/>
        <v>600.12</v>
      </c>
      <c r="K87" s="177"/>
    </row>
    <row r="88" spans="1:11" s="8" customFormat="1" x14ac:dyDescent="0.25">
      <c r="A88" s="84"/>
      <c r="B88" s="60"/>
      <c r="C88" s="60"/>
      <c r="D88" s="60"/>
      <c r="E88" s="53"/>
      <c r="F88" s="41"/>
      <c r="G88" s="53"/>
      <c r="H88" s="54"/>
      <c r="I88" s="55"/>
      <c r="J88" s="56"/>
      <c r="K88" s="179"/>
    </row>
    <row r="89" spans="1:11" s="31" customFormat="1" x14ac:dyDescent="0.25">
      <c r="A89" s="355" t="s">
        <v>1327</v>
      </c>
      <c r="B89" s="356"/>
      <c r="C89" s="306">
        <f>SUM(C69:C88)</f>
        <v>5.6999999999999984</v>
      </c>
      <c r="D89" s="33"/>
      <c r="E89" s="32"/>
      <c r="F89" s="32"/>
      <c r="G89" s="30"/>
      <c r="H89" s="40"/>
      <c r="I89" s="204">
        <f>SUM(I69:I88)</f>
        <v>15203.039999999999</v>
      </c>
      <c r="J89" s="28">
        <f t="shared" si="17"/>
        <v>11402.279999999999</v>
      </c>
      <c r="K89" s="30"/>
    </row>
    <row r="90" spans="1:11" x14ac:dyDescent="0.25">
      <c r="A90" s="87"/>
    </row>
  </sheetData>
  <mergeCells count="2">
    <mergeCell ref="A89:B89"/>
    <mergeCell ref="A29:B29"/>
  </mergeCells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J23" sqref="J23"/>
    </sheetView>
  </sheetViews>
  <sheetFormatPr defaultRowHeight="15.75" x14ac:dyDescent="0.25"/>
  <cols>
    <col min="1" max="1" width="11.85546875" style="31" customWidth="1"/>
    <col min="2" max="2" width="25.5703125" style="31" customWidth="1"/>
    <col min="3" max="3" width="10.140625" style="31" customWidth="1"/>
    <col min="4" max="5" width="12.28515625" style="31" customWidth="1"/>
    <col min="6" max="6" width="12.28515625" style="74" customWidth="1"/>
    <col min="7" max="7" width="12.28515625" style="89" customWidth="1"/>
    <col min="8" max="8" width="12.28515625" style="90" customWidth="1"/>
    <col min="9" max="9" width="12.28515625" style="91" customWidth="1"/>
    <col min="10" max="11" width="12.28515625" style="92" customWidth="1"/>
    <col min="12" max="12" width="15.5703125" customWidth="1"/>
  </cols>
  <sheetData>
    <row r="1" spans="1:12" x14ac:dyDescent="0.25">
      <c r="B1" s="21" t="s">
        <v>705</v>
      </c>
    </row>
    <row r="2" spans="1:12" s="101" customFormat="1" ht="45" x14ac:dyDescent="0.25">
      <c r="A2" s="13" t="s">
        <v>1705</v>
      </c>
      <c r="B2" s="73" t="s">
        <v>1847</v>
      </c>
      <c r="C2" s="13" t="s">
        <v>1874</v>
      </c>
      <c r="D2" s="13" t="s">
        <v>1875</v>
      </c>
      <c r="E2" s="17" t="s">
        <v>1876</v>
      </c>
      <c r="F2" s="70" t="s">
        <v>1877</v>
      </c>
      <c r="G2" s="71" t="s">
        <v>1878</v>
      </c>
      <c r="H2" s="15" t="s">
        <v>1895</v>
      </c>
      <c r="I2" s="72" t="s">
        <v>1880</v>
      </c>
      <c r="J2" s="16" t="s">
        <v>1881</v>
      </c>
      <c r="K2" s="16" t="s">
        <v>1612</v>
      </c>
      <c r="L2" s="13" t="s">
        <v>1964</v>
      </c>
    </row>
    <row r="3" spans="1:12" x14ac:dyDescent="0.25">
      <c r="A3" s="26" t="s">
        <v>683</v>
      </c>
      <c r="B3" s="23" t="s">
        <v>2280</v>
      </c>
      <c r="C3" s="44">
        <v>13.75</v>
      </c>
      <c r="D3" s="46">
        <v>13.75</v>
      </c>
      <c r="E3" s="45">
        <v>1620.71</v>
      </c>
      <c r="F3" s="53">
        <f t="shared" ref="F3:F22" si="0">E3*50%</f>
        <v>810.35500000000002</v>
      </c>
      <c r="G3" s="41">
        <f t="shared" ref="G3:G22" si="1">E3+F3</f>
        <v>2431.0650000000001</v>
      </c>
      <c r="H3" s="53">
        <f t="shared" ref="H3:H22" si="2">G3-(G3*25%)</f>
        <v>1823.2987499999999</v>
      </c>
      <c r="I3" s="54">
        <f t="shared" ref="I3:I22" si="3">E3*50%</f>
        <v>810.35500000000002</v>
      </c>
      <c r="J3" s="55">
        <f t="shared" ref="J3:J22" si="4">E3+(I3*2)</f>
        <v>3241.42</v>
      </c>
      <c r="K3" s="56">
        <f t="shared" ref="K3:K23" si="5">J3-(J3*25%)</f>
        <v>2431.0650000000001</v>
      </c>
      <c r="L3" s="177"/>
    </row>
    <row r="4" spans="1:12" x14ac:dyDescent="0.25">
      <c r="A4" s="26" t="s">
        <v>684</v>
      </c>
      <c r="B4" s="23" t="s">
        <v>2280</v>
      </c>
      <c r="C4" s="44">
        <v>13.75</v>
      </c>
      <c r="D4" s="46">
        <v>13.75</v>
      </c>
      <c r="E4" s="45">
        <v>1620.71</v>
      </c>
      <c r="F4" s="53">
        <f t="shared" si="0"/>
        <v>810.35500000000002</v>
      </c>
      <c r="G4" s="41">
        <f t="shared" si="1"/>
        <v>2431.0650000000001</v>
      </c>
      <c r="H4" s="53">
        <f t="shared" si="2"/>
        <v>1823.2987499999999</v>
      </c>
      <c r="I4" s="54">
        <f t="shared" si="3"/>
        <v>810.35500000000002</v>
      </c>
      <c r="J4" s="55">
        <f t="shared" si="4"/>
        <v>3241.42</v>
      </c>
      <c r="K4" s="56">
        <f t="shared" si="5"/>
        <v>2431.0650000000001</v>
      </c>
      <c r="L4" s="177"/>
    </row>
    <row r="5" spans="1:12" x14ac:dyDescent="0.25">
      <c r="A5" s="26" t="s">
        <v>685</v>
      </c>
      <c r="B5" s="23" t="s">
        <v>1445</v>
      </c>
      <c r="C5" s="44">
        <v>13.75</v>
      </c>
      <c r="D5" s="46">
        <v>13.75</v>
      </c>
      <c r="E5" s="45">
        <v>1620.71</v>
      </c>
      <c r="F5" s="53">
        <f t="shared" si="0"/>
        <v>810.35500000000002</v>
      </c>
      <c r="G5" s="41">
        <f t="shared" si="1"/>
        <v>2431.0650000000001</v>
      </c>
      <c r="H5" s="53">
        <f t="shared" si="2"/>
        <v>1823.2987499999999</v>
      </c>
      <c r="I5" s="54">
        <f t="shared" si="3"/>
        <v>810.35500000000002</v>
      </c>
      <c r="J5" s="55">
        <f t="shared" si="4"/>
        <v>3241.42</v>
      </c>
      <c r="K5" s="56">
        <f t="shared" si="5"/>
        <v>2431.0650000000001</v>
      </c>
      <c r="L5" s="177"/>
    </row>
    <row r="6" spans="1:12" x14ac:dyDescent="0.25">
      <c r="A6" s="26" t="s">
        <v>686</v>
      </c>
      <c r="B6" s="23" t="s">
        <v>2192</v>
      </c>
      <c r="C6" s="44">
        <v>13.75</v>
      </c>
      <c r="D6" s="46">
        <v>13.75</v>
      </c>
      <c r="E6" s="45">
        <v>1620.71</v>
      </c>
      <c r="F6" s="53">
        <f t="shared" si="0"/>
        <v>810.35500000000002</v>
      </c>
      <c r="G6" s="41">
        <f t="shared" si="1"/>
        <v>2431.0650000000001</v>
      </c>
      <c r="H6" s="53">
        <f t="shared" si="2"/>
        <v>1823.2987499999999</v>
      </c>
      <c r="I6" s="54">
        <f t="shared" si="3"/>
        <v>810.35500000000002</v>
      </c>
      <c r="J6" s="55">
        <f t="shared" si="4"/>
        <v>3241.42</v>
      </c>
      <c r="K6" s="56">
        <f t="shared" si="5"/>
        <v>2431.0650000000001</v>
      </c>
      <c r="L6" s="177"/>
    </row>
    <row r="7" spans="1:12" x14ac:dyDescent="0.25">
      <c r="A7" s="26" t="s">
        <v>687</v>
      </c>
      <c r="B7" s="23" t="s">
        <v>1484</v>
      </c>
      <c r="C7" s="44">
        <v>13.75</v>
      </c>
      <c r="D7" s="46">
        <v>13.75</v>
      </c>
      <c r="E7" s="45">
        <v>1620.71</v>
      </c>
      <c r="F7" s="53">
        <f t="shared" si="0"/>
        <v>810.35500000000002</v>
      </c>
      <c r="G7" s="41">
        <f t="shared" si="1"/>
        <v>2431.0650000000001</v>
      </c>
      <c r="H7" s="53">
        <f t="shared" si="2"/>
        <v>1823.2987499999999</v>
      </c>
      <c r="I7" s="54">
        <f t="shared" si="3"/>
        <v>810.35500000000002</v>
      </c>
      <c r="J7" s="55">
        <f t="shared" si="4"/>
        <v>3241.42</v>
      </c>
      <c r="K7" s="56">
        <f t="shared" si="5"/>
        <v>2431.0650000000001</v>
      </c>
      <c r="L7" s="177"/>
    </row>
    <row r="8" spans="1:12" x14ac:dyDescent="0.25">
      <c r="A8" s="26" t="s">
        <v>688</v>
      </c>
      <c r="B8" s="23" t="s">
        <v>689</v>
      </c>
      <c r="C8" s="44">
        <v>13.75</v>
      </c>
      <c r="D8" s="46">
        <v>13.75</v>
      </c>
      <c r="E8" s="45">
        <v>1620.71</v>
      </c>
      <c r="F8" s="53">
        <f t="shared" si="0"/>
        <v>810.35500000000002</v>
      </c>
      <c r="G8" s="41">
        <f t="shared" si="1"/>
        <v>2431.0650000000001</v>
      </c>
      <c r="H8" s="53">
        <f t="shared" si="2"/>
        <v>1823.2987499999999</v>
      </c>
      <c r="I8" s="54">
        <f t="shared" si="3"/>
        <v>810.35500000000002</v>
      </c>
      <c r="J8" s="55">
        <f t="shared" si="4"/>
        <v>3241.42</v>
      </c>
      <c r="K8" s="56">
        <f t="shared" si="5"/>
        <v>2431.0650000000001</v>
      </c>
      <c r="L8" s="177"/>
    </row>
    <row r="9" spans="1:12" x14ac:dyDescent="0.25">
      <c r="A9" s="26" t="s">
        <v>690</v>
      </c>
      <c r="B9" s="23" t="s">
        <v>1454</v>
      </c>
      <c r="C9" s="44">
        <v>13.75</v>
      </c>
      <c r="D9" s="46">
        <v>13.75</v>
      </c>
      <c r="E9" s="45">
        <v>1620.71</v>
      </c>
      <c r="F9" s="53">
        <f t="shared" si="0"/>
        <v>810.35500000000002</v>
      </c>
      <c r="G9" s="41">
        <f t="shared" si="1"/>
        <v>2431.0650000000001</v>
      </c>
      <c r="H9" s="53">
        <f t="shared" si="2"/>
        <v>1823.2987499999999</v>
      </c>
      <c r="I9" s="54">
        <f t="shared" si="3"/>
        <v>810.35500000000002</v>
      </c>
      <c r="J9" s="55">
        <f t="shared" si="4"/>
        <v>3241.42</v>
      </c>
      <c r="K9" s="56">
        <f t="shared" si="5"/>
        <v>2431.0650000000001</v>
      </c>
      <c r="L9" s="177"/>
    </row>
    <row r="10" spans="1:12" x14ac:dyDescent="0.25">
      <c r="A10" s="26" t="s">
        <v>691</v>
      </c>
      <c r="B10" s="23" t="s">
        <v>1551</v>
      </c>
      <c r="C10" s="44">
        <v>13.75</v>
      </c>
      <c r="D10" s="46">
        <v>13.75</v>
      </c>
      <c r="E10" s="45">
        <v>1620.71</v>
      </c>
      <c r="F10" s="53">
        <f t="shared" si="0"/>
        <v>810.35500000000002</v>
      </c>
      <c r="G10" s="41">
        <f t="shared" si="1"/>
        <v>2431.0650000000001</v>
      </c>
      <c r="H10" s="53">
        <f t="shared" si="2"/>
        <v>1823.2987499999999</v>
      </c>
      <c r="I10" s="54">
        <f t="shared" si="3"/>
        <v>810.35500000000002</v>
      </c>
      <c r="J10" s="55">
        <f t="shared" si="4"/>
        <v>3241.42</v>
      </c>
      <c r="K10" s="56">
        <f t="shared" si="5"/>
        <v>2431.0650000000001</v>
      </c>
      <c r="L10" s="177"/>
    </row>
    <row r="11" spans="1:12" x14ac:dyDescent="0.25">
      <c r="A11" s="26" t="s">
        <v>692</v>
      </c>
      <c r="B11" s="23" t="s">
        <v>2193</v>
      </c>
      <c r="C11" s="44">
        <v>13.75</v>
      </c>
      <c r="D11" s="46">
        <v>13.75</v>
      </c>
      <c r="E11" s="45">
        <v>1620.71</v>
      </c>
      <c r="F11" s="53">
        <f t="shared" si="0"/>
        <v>810.35500000000002</v>
      </c>
      <c r="G11" s="41">
        <f t="shared" si="1"/>
        <v>2431.0650000000001</v>
      </c>
      <c r="H11" s="53">
        <f t="shared" si="2"/>
        <v>1823.2987499999999</v>
      </c>
      <c r="I11" s="54">
        <f t="shared" si="3"/>
        <v>810.35500000000002</v>
      </c>
      <c r="J11" s="55">
        <f t="shared" si="4"/>
        <v>3241.42</v>
      </c>
      <c r="K11" s="56">
        <f t="shared" si="5"/>
        <v>2431.0650000000001</v>
      </c>
      <c r="L11" s="177"/>
    </row>
    <row r="12" spans="1:12" x14ac:dyDescent="0.25">
      <c r="A12" s="26" t="s">
        <v>693</v>
      </c>
      <c r="B12" s="23" t="s">
        <v>2193</v>
      </c>
      <c r="C12" s="44">
        <v>13.75</v>
      </c>
      <c r="D12" s="46">
        <v>13.75</v>
      </c>
      <c r="E12" s="45">
        <v>1620.71</v>
      </c>
      <c r="F12" s="53">
        <f t="shared" si="0"/>
        <v>810.35500000000002</v>
      </c>
      <c r="G12" s="41">
        <f t="shared" si="1"/>
        <v>2431.0650000000001</v>
      </c>
      <c r="H12" s="53">
        <f t="shared" si="2"/>
        <v>1823.2987499999999</v>
      </c>
      <c r="I12" s="54">
        <f t="shared" si="3"/>
        <v>810.35500000000002</v>
      </c>
      <c r="J12" s="55">
        <f t="shared" si="4"/>
        <v>3241.42</v>
      </c>
      <c r="K12" s="56">
        <f t="shared" si="5"/>
        <v>2431.0650000000001</v>
      </c>
      <c r="L12" s="177"/>
    </row>
    <row r="13" spans="1:12" x14ac:dyDescent="0.25">
      <c r="A13" s="26" t="s">
        <v>694</v>
      </c>
      <c r="B13" s="23" t="s">
        <v>695</v>
      </c>
      <c r="C13" s="44">
        <v>13.75</v>
      </c>
      <c r="D13" s="46">
        <v>13.75</v>
      </c>
      <c r="E13" s="45">
        <v>1620.71</v>
      </c>
      <c r="F13" s="53">
        <f t="shared" si="0"/>
        <v>810.35500000000002</v>
      </c>
      <c r="G13" s="41">
        <f t="shared" si="1"/>
        <v>2431.0650000000001</v>
      </c>
      <c r="H13" s="53">
        <f t="shared" si="2"/>
        <v>1823.2987499999999</v>
      </c>
      <c r="I13" s="54">
        <f t="shared" si="3"/>
        <v>810.35500000000002</v>
      </c>
      <c r="J13" s="55">
        <f t="shared" si="4"/>
        <v>3241.42</v>
      </c>
      <c r="K13" s="56">
        <f t="shared" si="5"/>
        <v>2431.0650000000001</v>
      </c>
      <c r="L13" s="177"/>
    </row>
    <row r="14" spans="1:12" x14ac:dyDescent="0.25">
      <c r="A14" s="26" t="s">
        <v>696</v>
      </c>
      <c r="B14" s="23" t="s">
        <v>695</v>
      </c>
      <c r="C14" s="44">
        <v>13.75</v>
      </c>
      <c r="D14" s="46">
        <v>13.75</v>
      </c>
      <c r="E14" s="45">
        <v>1620.71</v>
      </c>
      <c r="F14" s="53">
        <f t="shared" si="0"/>
        <v>810.35500000000002</v>
      </c>
      <c r="G14" s="41">
        <f t="shared" si="1"/>
        <v>2431.0650000000001</v>
      </c>
      <c r="H14" s="53">
        <f t="shared" si="2"/>
        <v>1823.2987499999999</v>
      </c>
      <c r="I14" s="54">
        <f t="shared" si="3"/>
        <v>810.35500000000002</v>
      </c>
      <c r="J14" s="55">
        <f t="shared" si="4"/>
        <v>3241.42</v>
      </c>
      <c r="K14" s="56">
        <f t="shared" si="5"/>
        <v>2431.0650000000001</v>
      </c>
      <c r="L14" s="177"/>
    </row>
    <row r="15" spans="1:12" x14ac:dyDescent="0.25">
      <c r="A15" s="26" t="s">
        <v>697</v>
      </c>
      <c r="B15" s="23" t="s">
        <v>1915</v>
      </c>
      <c r="C15" s="44">
        <v>13.75</v>
      </c>
      <c r="D15" s="46">
        <v>13.75</v>
      </c>
      <c r="E15" s="45">
        <v>1620.71</v>
      </c>
      <c r="F15" s="53">
        <f t="shared" si="0"/>
        <v>810.35500000000002</v>
      </c>
      <c r="G15" s="41">
        <f t="shared" si="1"/>
        <v>2431.0650000000001</v>
      </c>
      <c r="H15" s="53">
        <f t="shared" si="2"/>
        <v>1823.2987499999999</v>
      </c>
      <c r="I15" s="54">
        <f t="shared" si="3"/>
        <v>810.35500000000002</v>
      </c>
      <c r="J15" s="55">
        <f t="shared" si="4"/>
        <v>3241.42</v>
      </c>
      <c r="K15" s="56">
        <f t="shared" si="5"/>
        <v>2431.0650000000001</v>
      </c>
      <c r="L15" s="177"/>
    </row>
    <row r="16" spans="1:12" x14ac:dyDescent="0.25">
      <c r="A16" s="26" t="s">
        <v>698</v>
      </c>
      <c r="B16" s="23" t="s">
        <v>1916</v>
      </c>
      <c r="C16" s="44">
        <v>13.75</v>
      </c>
      <c r="D16" s="46">
        <v>13.75</v>
      </c>
      <c r="E16" s="45">
        <v>1620.71</v>
      </c>
      <c r="F16" s="53">
        <f t="shared" si="0"/>
        <v>810.35500000000002</v>
      </c>
      <c r="G16" s="41">
        <f t="shared" si="1"/>
        <v>2431.0650000000001</v>
      </c>
      <c r="H16" s="53">
        <f t="shared" si="2"/>
        <v>1823.2987499999999</v>
      </c>
      <c r="I16" s="54">
        <f t="shared" si="3"/>
        <v>810.35500000000002</v>
      </c>
      <c r="J16" s="55">
        <f t="shared" si="4"/>
        <v>3241.42</v>
      </c>
      <c r="K16" s="56">
        <f t="shared" si="5"/>
        <v>2431.0650000000001</v>
      </c>
      <c r="L16" s="177"/>
    </row>
    <row r="17" spans="1:12" x14ac:dyDescent="0.25">
      <c r="A17" s="26" t="s">
        <v>699</v>
      </c>
      <c r="B17" s="23" t="s">
        <v>1735</v>
      </c>
      <c r="C17" s="44">
        <v>13.75</v>
      </c>
      <c r="D17" s="46">
        <v>13.75</v>
      </c>
      <c r="E17" s="45">
        <v>1620.71</v>
      </c>
      <c r="F17" s="53">
        <f t="shared" si="0"/>
        <v>810.35500000000002</v>
      </c>
      <c r="G17" s="41">
        <f t="shared" si="1"/>
        <v>2431.0650000000001</v>
      </c>
      <c r="H17" s="53">
        <f t="shared" si="2"/>
        <v>1823.2987499999999</v>
      </c>
      <c r="I17" s="54">
        <f t="shared" si="3"/>
        <v>810.35500000000002</v>
      </c>
      <c r="J17" s="55">
        <f t="shared" si="4"/>
        <v>3241.42</v>
      </c>
      <c r="K17" s="56">
        <f t="shared" si="5"/>
        <v>2431.0650000000001</v>
      </c>
      <c r="L17" s="177"/>
    </row>
    <row r="18" spans="1:12" x14ac:dyDescent="0.25">
      <c r="A18" s="26" t="s">
        <v>700</v>
      </c>
      <c r="B18" s="23" t="s">
        <v>1735</v>
      </c>
      <c r="C18" s="44">
        <v>13.75</v>
      </c>
      <c r="D18" s="46">
        <v>13.75</v>
      </c>
      <c r="E18" s="45">
        <v>1620.71</v>
      </c>
      <c r="F18" s="53">
        <f t="shared" si="0"/>
        <v>810.35500000000002</v>
      </c>
      <c r="G18" s="41">
        <f t="shared" si="1"/>
        <v>2431.0650000000001</v>
      </c>
      <c r="H18" s="53">
        <f t="shared" si="2"/>
        <v>1823.2987499999999</v>
      </c>
      <c r="I18" s="54">
        <f t="shared" si="3"/>
        <v>810.35500000000002</v>
      </c>
      <c r="J18" s="55">
        <f t="shared" si="4"/>
        <v>3241.42</v>
      </c>
      <c r="K18" s="56">
        <f t="shared" si="5"/>
        <v>2431.0650000000001</v>
      </c>
      <c r="L18" s="177"/>
    </row>
    <row r="19" spans="1:12" x14ac:dyDescent="0.25">
      <c r="A19" s="26" t="s">
        <v>701</v>
      </c>
      <c r="B19" s="23" t="s">
        <v>1455</v>
      </c>
      <c r="C19" s="44">
        <v>13.75</v>
      </c>
      <c r="D19" s="46">
        <v>13.75</v>
      </c>
      <c r="E19" s="45">
        <v>1620.71</v>
      </c>
      <c r="F19" s="53">
        <f t="shared" si="0"/>
        <v>810.35500000000002</v>
      </c>
      <c r="G19" s="41">
        <f t="shared" si="1"/>
        <v>2431.0650000000001</v>
      </c>
      <c r="H19" s="53">
        <f t="shared" si="2"/>
        <v>1823.2987499999999</v>
      </c>
      <c r="I19" s="54">
        <f t="shared" si="3"/>
        <v>810.35500000000002</v>
      </c>
      <c r="J19" s="55">
        <f t="shared" si="4"/>
        <v>3241.42</v>
      </c>
      <c r="K19" s="56">
        <f t="shared" si="5"/>
        <v>2431.0650000000001</v>
      </c>
      <c r="L19" s="177"/>
    </row>
    <row r="20" spans="1:12" x14ac:dyDescent="0.25">
      <c r="A20" s="26" t="s">
        <v>702</v>
      </c>
      <c r="B20" s="23" t="s">
        <v>1455</v>
      </c>
      <c r="C20" s="44">
        <v>13.75</v>
      </c>
      <c r="D20" s="46">
        <v>13.75</v>
      </c>
      <c r="E20" s="45">
        <v>1620.71</v>
      </c>
      <c r="F20" s="53">
        <f t="shared" si="0"/>
        <v>810.35500000000002</v>
      </c>
      <c r="G20" s="41">
        <f t="shared" si="1"/>
        <v>2431.0650000000001</v>
      </c>
      <c r="H20" s="53">
        <f t="shared" si="2"/>
        <v>1823.2987499999999</v>
      </c>
      <c r="I20" s="54">
        <f t="shared" si="3"/>
        <v>810.35500000000002</v>
      </c>
      <c r="J20" s="55">
        <f t="shared" si="4"/>
        <v>3241.42</v>
      </c>
      <c r="K20" s="56">
        <f t="shared" si="5"/>
        <v>2431.0650000000001</v>
      </c>
      <c r="L20" s="177"/>
    </row>
    <row r="21" spans="1:12" x14ac:dyDescent="0.25">
      <c r="A21" s="26" t="s">
        <v>703</v>
      </c>
      <c r="B21" s="23" t="s">
        <v>1794</v>
      </c>
      <c r="C21" s="44">
        <v>13.75</v>
      </c>
      <c r="D21" s="46">
        <v>13.75</v>
      </c>
      <c r="E21" s="45">
        <v>1620.71</v>
      </c>
      <c r="F21" s="53">
        <f t="shared" si="0"/>
        <v>810.35500000000002</v>
      </c>
      <c r="G21" s="41">
        <f t="shared" si="1"/>
        <v>2431.0650000000001</v>
      </c>
      <c r="H21" s="53">
        <f t="shared" si="2"/>
        <v>1823.2987499999999</v>
      </c>
      <c r="I21" s="54">
        <f t="shared" si="3"/>
        <v>810.35500000000002</v>
      </c>
      <c r="J21" s="55">
        <f t="shared" si="4"/>
        <v>3241.42</v>
      </c>
      <c r="K21" s="56">
        <f t="shared" si="5"/>
        <v>2431.0650000000001</v>
      </c>
      <c r="L21" s="177"/>
    </row>
    <row r="22" spans="1:12" x14ac:dyDescent="0.25">
      <c r="A22" s="26" t="s">
        <v>704</v>
      </c>
      <c r="B22" s="23" t="s">
        <v>1509</v>
      </c>
      <c r="C22" s="44">
        <v>13.75</v>
      </c>
      <c r="D22" s="46">
        <v>13.75</v>
      </c>
      <c r="E22" s="45">
        <v>1620.71</v>
      </c>
      <c r="F22" s="53">
        <f t="shared" si="0"/>
        <v>810.35500000000002</v>
      </c>
      <c r="G22" s="41">
        <f t="shared" si="1"/>
        <v>2431.0650000000001</v>
      </c>
      <c r="H22" s="53">
        <f t="shared" si="2"/>
        <v>1823.2987499999999</v>
      </c>
      <c r="I22" s="54">
        <f t="shared" si="3"/>
        <v>810.35500000000002</v>
      </c>
      <c r="J22" s="55">
        <f t="shared" si="4"/>
        <v>3241.42</v>
      </c>
      <c r="K22" s="56">
        <f t="shared" si="5"/>
        <v>2431.0650000000001</v>
      </c>
      <c r="L22" s="177"/>
    </row>
    <row r="23" spans="1:12" s="36" customFormat="1" x14ac:dyDescent="0.25">
      <c r="A23" s="355" t="s">
        <v>1327</v>
      </c>
      <c r="B23" s="356"/>
      <c r="C23" s="34"/>
      <c r="D23" s="34">
        <f>SUM(D3:D22)</f>
        <v>275</v>
      </c>
      <c r="E23" s="35"/>
      <c r="F23" s="35"/>
      <c r="G23" s="35"/>
      <c r="H23" s="35"/>
      <c r="I23" s="35"/>
      <c r="J23" s="93">
        <f>SUM(J3:J22)</f>
        <v>64828.39999999998</v>
      </c>
      <c r="K23" s="93">
        <f t="shared" si="5"/>
        <v>48621.299999999988</v>
      </c>
      <c r="L23" s="37"/>
    </row>
  </sheetData>
  <mergeCells count="1">
    <mergeCell ref="A23:B23"/>
  </mergeCells>
  <pageMargins left="0.19685039370078741" right="0.19685039370078741" top="0.74803149606299213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I16" sqref="I16"/>
    </sheetView>
  </sheetViews>
  <sheetFormatPr defaultRowHeight="15.75" x14ac:dyDescent="0.25"/>
  <cols>
    <col min="1" max="1" width="9.85546875" style="31" customWidth="1"/>
    <col min="2" max="2" width="25.7109375" style="31" customWidth="1"/>
    <col min="3" max="3" width="11.42578125" style="31" customWidth="1"/>
    <col min="4" max="4" width="14.7109375" style="74" customWidth="1"/>
    <col min="5" max="5" width="13.42578125" style="95" customWidth="1"/>
    <col min="6" max="6" width="13.5703125" style="90" customWidth="1"/>
    <col min="7" max="7" width="13.85546875" style="96" customWidth="1"/>
    <col min="8" max="8" width="14" style="92" customWidth="1"/>
    <col min="9" max="9" width="13.140625" style="195" customWidth="1"/>
    <col min="10" max="10" width="14.7109375" style="92" customWidth="1"/>
    <col min="11" max="11" width="16.42578125" customWidth="1"/>
  </cols>
  <sheetData>
    <row r="1" spans="1:12" x14ac:dyDescent="0.25">
      <c r="B1" s="21" t="s">
        <v>720</v>
      </c>
    </row>
    <row r="2" spans="1:12" s="100" customFormat="1" ht="45" x14ac:dyDescent="0.25">
      <c r="A2" s="13" t="s">
        <v>1705</v>
      </c>
      <c r="B2" s="73" t="s">
        <v>1847</v>
      </c>
      <c r="C2" s="13" t="s">
        <v>1875</v>
      </c>
      <c r="D2" s="17" t="s">
        <v>1876</v>
      </c>
      <c r="E2" s="70" t="s">
        <v>1877</v>
      </c>
      <c r="F2" s="71" t="s">
        <v>1878</v>
      </c>
      <c r="G2" s="15" t="s">
        <v>1895</v>
      </c>
      <c r="H2" s="72" t="s">
        <v>1880</v>
      </c>
      <c r="I2" s="196" t="s">
        <v>1881</v>
      </c>
      <c r="J2" s="16" t="s">
        <v>1612</v>
      </c>
      <c r="K2" s="13" t="s">
        <v>1964</v>
      </c>
    </row>
    <row r="3" spans="1:12" x14ac:dyDescent="0.25">
      <c r="A3" s="24" t="s">
        <v>706</v>
      </c>
      <c r="B3" s="30" t="s">
        <v>2261</v>
      </c>
      <c r="C3" s="98">
        <v>5</v>
      </c>
      <c r="D3" s="99">
        <v>1247.6400000000001</v>
      </c>
      <c r="E3" s="53">
        <f t="shared" ref="E3:E15" si="0">D3*50%</f>
        <v>623.82000000000005</v>
      </c>
      <c r="F3" s="41">
        <f t="shared" ref="F3:F15" si="1">D3+E3</f>
        <v>1871.46</v>
      </c>
      <c r="G3" s="53">
        <f t="shared" ref="G3:G15" si="2">F3-(F3*25%)</f>
        <v>1403.595</v>
      </c>
      <c r="H3" s="54">
        <f t="shared" ref="H3:H15" si="3">D3*50%</f>
        <v>623.82000000000005</v>
      </c>
      <c r="I3" s="55">
        <f t="shared" ref="I3:I15" si="4">D3+(H3*2)</f>
        <v>2495.2800000000002</v>
      </c>
      <c r="J3" s="56">
        <f t="shared" ref="J3:J15" si="5">I3-(I3*25%)</f>
        <v>1871.46</v>
      </c>
      <c r="K3" s="177"/>
    </row>
    <row r="4" spans="1:12" x14ac:dyDescent="0.25">
      <c r="A4" s="24" t="s">
        <v>707</v>
      </c>
      <c r="B4" s="30" t="s">
        <v>1857</v>
      </c>
      <c r="C4" s="98">
        <v>5</v>
      </c>
      <c r="D4" s="99">
        <v>1247.6400000000001</v>
      </c>
      <c r="E4" s="53">
        <f t="shared" si="0"/>
        <v>623.82000000000005</v>
      </c>
      <c r="F4" s="41">
        <f t="shared" si="1"/>
        <v>1871.46</v>
      </c>
      <c r="G4" s="53">
        <f t="shared" si="2"/>
        <v>1403.595</v>
      </c>
      <c r="H4" s="54">
        <f t="shared" si="3"/>
        <v>623.82000000000005</v>
      </c>
      <c r="I4" s="55">
        <f t="shared" si="4"/>
        <v>2495.2800000000002</v>
      </c>
      <c r="J4" s="56">
        <f t="shared" si="5"/>
        <v>1871.46</v>
      </c>
      <c r="K4" s="177"/>
    </row>
    <row r="5" spans="1:12" x14ac:dyDescent="0.25">
      <c r="A5" s="24" t="s">
        <v>708</v>
      </c>
      <c r="B5" s="30" t="s">
        <v>2036</v>
      </c>
      <c r="C5" s="98">
        <v>5</v>
      </c>
      <c r="D5" s="99">
        <v>1247.6400000000001</v>
      </c>
      <c r="E5" s="53">
        <f t="shared" si="0"/>
        <v>623.82000000000005</v>
      </c>
      <c r="F5" s="41">
        <f t="shared" si="1"/>
        <v>1871.46</v>
      </c>
      <c r="G5" s="53">
        <f t="shared" si="2"/>
        <v>1403.595</v>
      </c>
      <c r="H5" s="54">
        <f t="shared" si="3"/>
        <v>623.82000000000005</v>
      </c>
      <c r="I5" s="55">
        <f t="shared" si="4"/>
        <v>2495.2800000000002</v>
      </c>
      <c r="J5" s="56">
        <f t="shared" si="5"/>
        <v>1871.46</v>
      </c>
      <c r="K5" s="177"/>
    </row>
    <row r="6" spans="1:12" x14ac:dyDescent="0.25">
      <c r="A6" s="24" t="s">
        <v>709</v>
      </c>
      <c r="B6" s="30" t="s">
        <v>1759</v>
      </c>
      <c r="C6" s="98">
        <v>5</v>
      </c>
      <c r="D6" s="99">
        <v>1247.6400000000001</v>
      </c>
      <c r="E6" s="53">
        <f t="shared" si="0"/>
        <v>623.82000000000005</v>
      </c>
      <c r="F6" s="41">
        <f t="shared" si="1"/>
        <v>1871.46</v>
      </c>
      <c r="G6" s="53">
        <f t="shared" si="2"/>
        <v>1403.595</v>
      </c>
      <c r="H6" s="54">
        <f t="shared" si="3"/>
        <v>623.82000000000005</v>
      </c>
      <c r="I6" s="55">
        <f t="shared" si="4"/>
        <v>2495.2800000000002</v>
      </c>
      <c r="J6" s="56">
        <f t="shared" si="5"/>
        <v>1871.46</v>
      </c>
      <c r="K6" s="177"/>
    </row>
    <row r="7" spans="1:12" x14ac:dyDescent="0.25">
      <c r="A7" s="24" t="s">
        <v>710</v>
      </c>
      <c r="B7" s="30" t="s">
        <v>1848</v>
      </c>
      <c r="C7" s="98">
        <v>5</v>
      </c>
      <c r="D7" s="99">
        <v>1247.6400000000001</v>
      </c>
      <c r="E7" s="53">
        <f t="shared" si="0"/>
        <v>623.82000000000005</v>
      </c>
      <c r="F7" s="41">
        <f t="shared" si="1"/>
        <v>1871.46</v>
      </c>
      <c r="G7" s="53">
        <f t="shared" si="2"/>
        <v>1403.595</v>
      </c>
      <c r="H7" s="54">
        <f t="shared" si="3"/>
        <v>623.82000000000005</v>
      </c>
      <c r="I7" s="55">
        <f t="shared" si="4"/>
        <v>2495.2800000000002</v>
      </c>
      <c r="J7" s="56">
        <f t="shared" si="5"/>
        <v>1871.46</v>
      </c>
      <c r="K7" s="177"/>
    </row>
    <row r="8" spans="1:12" x14ac:dyDescent="0.25">
      <c r="A8" s="24" t="s">
        <v>711</v>
      </c>
      <c r="B8" s="30" t="s">
        <v>712</v>
      </c>
      <c r="C8" s="98">
        <v>5</v>
      </c>
      <c r="D8" s="99">
        <v>1247.6400000000001</v>
      </c>
      <c r="E8" s="53">
        <f t="shared" si="0"/>
        <v>623.82000000000005</v>
      </c>
      <c r="F8" s="41">
        <f t="shared" si="1"/>
        <v>1871.46</v>
      </c>
      <c r="G8" s="53">
        <f t="shared" si="2"/>
        <v>1403.595</v>
      </c>
      <c r="H8" s="54">
        <f t="shared" si="3"/>
        <v>623.82000000000005</v>
      </c>
      <c r="I8" s="55">
        <f t="shared" si="4"/>
        <v>2495.2800000000002</v>
      </c>
      <c r="J8" s="56">
        <f t="shared" si="5"/>
        <v>1871.46</v>
      </c>
      <c r="K8" s="177"/>
    </row>
    <row r="9" spans="1:12" x14ac:dyDescent="0.25">
      <c r="A9" s="24" t="s">
        <v>713</v>
      </c>
      <c r="B9" s="30" t="s">
        <v>1972</v>
      </c>
      <c r="C9" s="98">
        <v>5</v>
      </c>
      <c r="D9" s="99">
        <v>1247.6400000000001</v>
      </c>
      <c r="E9" s="53">
        <f t="shared" si="0"/>
        <v>623.82000000000005</v>
      </c>
      <c r="F9" s="41">
        <f t="shared" si="1"/>
        <v>1871.46</v>
      </c>
      <c r="G9" s="53">
        <f t="shared" si="2"/>
        <v>1403.595</v>
      </c>
      <c r="H9" s="54">
        <f t="shared" si="3"/>
        <v>623.82000000000005</v>
      </c>
      <c r="I9" s="55">
        <f t="shared" si="4"/>
        <v>2495.2800000000002</v>
      </c>
      <c r="J9" s="56">
        <f t="shared" si="5"/>
        <v>1871.46</v>
      </c>
      <c r="K9" s="177"/>
    </row>
    <row r="10" spans="1:12" x14ac:dyDescent="0.25">
      <c r="A10" s="24" t="s">
        <v>714</v>
      </c>
      <c r="B10" s="30" t="s">
        <v>1662</v>
      </c>
      <c r="C10" s="98">
        <v>5</v>
      </c>
      <c r="D10" s="99">
        <v>1247.6400000000001</v>
      </c>
      <c r="E10" s="53">
        <f t="shared" si="0"/>
        <v>623.82000000000005</v>
      </c>
      <c r="F10" s="41">
        <f t="shared" si="1"/>
        <v>1871.46</v>
      </c>
      <c r="G10" s="53">
        <f t="shared" si="2"/>
        <v>1403.595</v>
      </c>
      <c r="H10" s="54">
        <f t="shared" si="3"/>
        <v>623.82000000000005</v>
      </c>
      <c r="I10" s="55">
        <f t="shared" si="4"/>
        <v>2495.2800000000002</v>
      </c>
      <c r="J10" s="56">
        <f t="shared" si="5"/>
        <v>1871.46</v>
      </c>
      <c r="K10" s="177"/>
    </row>
    <row r="11" spans="1:12" x14ac:dyDescent="0.25">
      <c r="A11" s="24" t="s">
        <v>715</v>
      </c>
      <c r="B11" s="30" t="s">
        <v>1663</v>
      </c>
      <c r="C11" s="98">
        <v>5</v>
      </c>
      <c r="D11" s="99">
        <v>1247.6400000000001</v>
      </c>
      <c r="E11" s="53">
        <f t="shared" si="0"/>
        <v>623.82000000000005</v>
      </c>
      <c r="F11" s="41">
        <f t="shared" si="1"/>
        <v>1871.46</v>
      </c>
      <c r="G11" s="53">
        <f t="shared" si="2"/>
        <v>1403.595</v>
      </c>
      <c r="H11" s="54">
        <f t="shared" si="3"/>
        <v>623.82000000000005</v>
      </c>
      <c r="I11" s="55">
        <f t="shared" si="4"/>
        <v>2495.2800000000002</v>
      </c>
      <c r="J11" s="56">
        <f t="shared" si="5"/>
        <v>1871.46</v>
      </c>
      <c r="K11" s="177"/>
      <c r="L11" s="20"/>
    </row>
    <row r="12" spans="1:12" x14ac:dyDescent="0.25">
      <c r="A12" s="24" t="s">
        <v>716</v>
      </c>
      <c r="B12" s="30" t="s">
        <v>1953</v>
      </c>
      <c r="C12" s="98">
        <v>5</v>
      </c>
      <c r="D12" s="99">
        <v>1247.6400000000001</v>
      </c>
      <c r="E12" s="53">
        <f t="shared" si="0"/>
        <v>623.82000000000005</v>
      </c>
      <c r="F12" s="41">
        <f t="shared" si="1"/>
        <v>1871.46</v>
      </c>
      <c r="G12" s="53">
        <f t="shared" si="2"/>
        <v>1403.595</v>
      </c>
      <c r="H12" s="54">
        <f t="shared" si="3"/>
        <v>623.82000000000005</v>
      </c>
      <c r="I12" s="55">
        <f t="shared" si="4"/>
        <v>2495.2800000000002</v>
      </c>
      <c r="J12" s="56">
        <f t="shared" si="5"/>
        <v>1871.46</v>
      </c>
      <c r="K12" s="177"/>
    </row>
    <row r="13" spans="1:12" x14ac:dyDescent="0.25">
      <c r="A13" s="24" t="s">
        <v>717</v>
      </c>
      <c r="B13" s="23" t="s">
        <v>1549</v>
      </c>
      <c r="C13" s="98">
        <v>5</v>
      </c>
      <c r="D13" s="99">
        <v>1247.6400000000001</v>
      </c>
      <c r="E13" s="53">
        <f t="shared" si="0"/>
        <v>623.82000000000005</v>
      </c>
      <c r="F13" s="41">
        <f t="shared" si="1"/>
        <v>1871.46</v>
      </c>
      <c r="G13" s="53">
        <f t="shared" si="2"/>
        <v>1403.595</v>
      </c>
      <c r="H13" s="54">
        <f t="shared" si="3"/>
        <v>623.82000000000005</v>
      </c>
      <c r="I13" s="55">
        <f t="shared" si="4"/>
        <v>2495.2800000000002</v>
      </c>
      <c r="J13" s="56">
        <f t="shared" si="5"/>
        <v>1871.46</v>
      </c>
      <c r="K13" s="177"/>
      <c r="L13" s="20"/>
    </row>
    <row r="14" spans="1:12" x14ac:dyDescent="0.25">
      <c r="A14" s="24" t="s">
        <v>718</v>
      </c>
      <c r="B14" s="30" t="s">
        <v>1485</v>
      </c>
      <c r="C14" s="98">
        <v>5</v>
      </c>
      <c r="D14" s="99">
        <v>1247.6400000000001</v>
      </c>
      <c r="E14" s="53">
        <f t="shared" si="0"/>
        <v>623.82000000000005</v>
      </c>
      <c r="F14" s="41">
        <f t="shared" si="1"/>
        <v>1871.46</v>
      </c>
      <c r="G14" s="53">
        <f t="shared" si="2"/>
        <v>1403.595</v>
      </c>
      <c r="H14" s="54">
        <f t="shared" si="3"/>
        <v>623.82000000000005</v>
      </c>
      <c r="I14" s="55">
        <f t="shared" si="4"/>
        <v>2495.2800000000002</v>
      </c>
      <c r="J14" s="56">
        <f t="shared" si="5"/>
        <v>1871.46</v>
      </c>
      <c r="K14" s="177"/>
    </row>
    <row r="15" spans="1:12" x14ac:dyDescent="0.25">
      <c r="A15" s="24" t="s">
        <v>719</v>
      </c>
      <c r="B15" s="23" t="s">
        <v>1550</v>
      </c>
      <c r="C15" s="98">
        <v>5</v>
      </c>
      <c r="D15" s="99">
        <v>1247.6400000000001</v>
      </c>
      <c r="E15" s="53">
        <f t="shared" si="0"/>
        <v>623.82000000000005</v>
      </c>
      <c r="F15" s="41">
        <f t="shared" si="1"/>
        <v>1871.46</v>
      </c>
      <c r="G15" s="53">
        <f t="shared" si="2"/>
        <v>1403.595</v>
      </c>
      <c r="H15" s="54">
        <f t="shared" si="3"/>
        <v>623.82000000000005</v>
      </c>
      <c r="I15" s="55">
        <f t="shared" si="4"/>
        <v>2495.2800000000002</v>
      </c>
      <c r="J15" s="56">
        <f t="shared" si="5"/>
        <v>1871.46</v>
      </c>
      <c r="K15" s="177"/>
    </row>
    <row r="16" spans="1:12" s="36" customFormat="1" x14ac:dyDescent="0.25">
      <c r="A16" s="37"/>
      <c r="B16" s="24" t="s">
        <v>1327</v>
      </c>
      <c r="C16" s="25">
        <f>SUM(C3:C15)</f>
        <v>65</v>
      </c>
      <c r="D16" s="25"/>
      <c r="E16" s="25"/>
      <c r="F16" s="25"/>
      <c r="G16" s="25"/>
      <c r="H16" s="25"/>
      <c r="I16" s="25">
        <f t="shared" ref="I16:J16" si="6">SUM(I3:I15)</f>
        <v>32438.639999999996</v>
      </c>
      <c r="J16" s="25">
        <f t="shared" si="6"/>
        <v>24328.979999999992</v>
      </c>
      <c r="K16" s="37"/>
    </row>
  </sheetData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P128"/>
  <sheetViews>
    <sheetView topLeftCell="A97" workbookViewId="0">
      <selection activeCell="B1" sqref="B1"/>
    </sheetView>
  </sheetViews>
  <sheetFormatPr defaultRowHeight="15.75" x14ac:dyDescent="0.25"/>
  <cols>
    <col min="1" max="1" width="9.85546875" style="202" customWidth="1"/>
    <col min="2" max="2" width="24.5703125" style="202" customWidth="1"/>
    <col min="3" max="3" width="11.28515625" style="202" customWidth="1"/>
    <col min="4" max="4" width="11.140625" style="202" customWidth="1"/>
    <col min="5" max="6" width="12" style="202" customWidth="1"/>
    <col min="7" max="7" width="12" style="277" customWidth="1"/>
    <col min="8" max="8" width="12" style="278" customWidth="1"/>
    <col min="9" max="9" width="12" style="279" customWidth="1"/>
    <col min="10" max="10" width="13.140625" style="210" customWidth="1"/>
    <col min="11" max="11" width="14" style="202" customWidth="1"/>
    <col min="12" max="12" width="16.85546875" style="247" customWidth="1"/>
  </cols>
  <sheetData>
    <row r="1" spans="1:12" x14ac:dyDescent="0.25">
      <c r="B1" s="214" t="s">
        <v>1640</v>
      </c>
    </row>
    <row r="2" spans="1:12" s="18" customFormat="1" ht="43.5" customHeight="1" x14ac:dyDescent="0.25">
      <c r="A2" s="207" t="s">
        <v>1705</v>
      </c>
      <c r="B2" s="216" t="s">
        <v>1847</v>
      </c>
      <c r="C2" s="207" t="s">
        <v>1874</v>
      </c>
      <c r="D2" s="207" t="s">
        <v>1875</v>
      </c>
      <c r="E2" s="217" t="s">
        <v>1876</v>
      </c>
      <c r="F2" s="218" t="s">
        <v>1877</v>
      </c>
      <c r="G2" s="71" t="s">
        <v>1878</v>
      </c>
      <c r="H2" s="219" t="s">
        <v>1895</v>
      </c>
      <c r="I2" s="71" t="s">
        <v>1880</v>
      </c>
      <c r="J2" s="196" t="s">
        <v>1881</v>
      </c>
      <c r="K2" s="196" t="s">
        <v>1612</v>
      </c>
      <c r="L2" s="207" t="s">
        <v>1964</v>
      </c>
    </row>
    <row r="3" spans="1:12" x14ac:dyDescent="0.25">
      <c r="A3" s="49" t="s">
        <v>721</v>
      </c>
      <c r="B3" s="50" t="s">
        <v>1436</v>
      </c>
      <c r="C3" s="51">
        <v>51.8</v>
      </c>
      <c r="D3" s="50">
        <v>18.04</v>
      </c>
      <c r="E3" s="116">
        <v>1099.72</v>
      </c>
      <c r="F3" s="53">
        <f t="shared" ref="F3:F10" si="0">E3*50%</f>
        <v>549.86</v>
      </c>
      <c r="G3" s="41">
        <f t="shared" ref="G3:G10" si="1">E3+F3</f>
        <v>1649.58</v>
      </c>
      <c r="H3" s="53">
        <f t="shared" ref="H3:H10" si="2">G3-(G3*25%)</f>
        <v>1237.1849999999999</v>
      </c>
      <c r="I3" s="54">
        <f t="shared" ref="I3:I10" si="3">E3*50%</f>
        <v>549.86</v>
      </c>
      <c r="J3" s="55">
        <f t="shared" ref="J3:J10" si="4">E3+(I3*2)</f>
        <v>2199.44</v>
      </c>
      <c r="K3" s="56">
        <f t="shared" ref="K3:K10" si="5">J3-(J3*25%)</f>
        <v>1649.58</v>
      </c>
      <c r="L3" s="248"/>
    </row>
    <row r="4" spans="1:12" x14ac:dyDescent="0.25">
      <c r="A4" s="49" t="s">
        <v>722</v>
      </c>
      <c r="B4" s="280" t="s">
        <v>1436</v>
      </c>
      <c r="C4" s="50"/>
      <c r="D4" s="50">
        <v>18.04</v>
      </c>
      <c r="E4" s="116">
        <v>1099.72</v>
      </c>
      <c r="F4" s="53">
        <f t="shared" si="0"/>
        <v>549.86</v>
      </c>
      <c r="G4" s="41">
        <f t="shared" si="1"/>
        <v>1649.58</v>
      </c>
      <c r="H4" s="53">
        <f t="shared" si="2"/>
        <v>1237.1849999999999</v>
      </c>
      <c r="I4" s="54">
        <f t="shared" si="3"/>
        <v>549.86</v>
      </c>
      <c r="J4" s="55">
        <f t="shared" si="4"/>
        <v>2199.44</v>
      </c>
      <c r="K4" s="56">
        <f t="shared" si="5"/>
        <v>1649.58</v>
      </c>
      <c r="L4" s="248"/>
    </row>
    <row r="5" spans="1:12" x14ac:dyDescent="0.25">
      <c r="A5" s="49" t="s">
        <v>723</v>
      </c>
      <c r="B5" s="50" t="s">
        <v>773</v>
      </c>
      <c r="C5" s="51">
        <v>51.86</v>
      </c>
      <c r="D5" s="50">
        <v>18.04</v>
      </c>
      <c r="E5" s="116">
        <v>1099.72</v>
      </c>
      <c r="F5" s="53">
        <f t="shared" si="0"/>
        <v>549.86</v>
      </c>
      <c r="G5" s="41">
        <f t="shared" si="1"/>
        <v>1649.58</v>
      </c>
      <c r="H5" s="53">
        <f t="shared" si="2"/>
        <v>1237.1849999999999</v>
      </c>
      <c r="I5" s="54">
        <f t="shared" si="3"/>
        <v>549.86</v>
      </c>
      <c r="J5" s="55">
        <f t="shared" si="4"/>
        <v>2199.44</v>
      </c>
      <c r="K5" s="56">
        <f t="shared" si="5"/>
        <v>1649.58</v>
      </c>
      <c r="L5" s="248"/>
    </row>
    <row r="6" spans="1:12" x14ac:dyDescent="0.25">
      <c r="A6" s="49" t="s">
        <v>724</v>
      </c>
      <c r="B6" s="50" t="s">
        <v>773</v>
      </c>
      <c r="C6" s="50"/>
      <c r="D6" s="50">
        <v>18.04</v>
      </c>
      <c r="E6" s="116">
        <v>1099.72</v>
      </c>
      <c r="F6" s="53">
        <f t="shared" si="0"/>
        <v>549.86</v>
      </c>
      <c r="G6" s="41">
        <f t="shared" si="1"/>
        <v>1649.58</v>
      </c>
      <c r="H6" s="53">
        <f t="shared" si="2"/>
        <v>1237.1849999999999</v>
      </c>
      <c r="I6" s="54">
        <f t="shared" si="3"/>
        <v>549.86</v>
      </c>
      <c r="J6" s="55">
        <f t="shared" si="4"/>
        <v>2199.44</v>
      </c>
      <c r="K6" s="56">
        <f t="shared" si="5"/>
        <v>1649.58</v>
      </c>
      <c r="L6" s="248"/>
    </row>
    <row r="7" spans="1:12" x14ac:dyDescent="0.25">
      <c r="A7" s="49" t="s">
        <v>725</v>
      </c>
      <c r="B7" s="50" t="s">
        <v>774</v>
      </c>
      <c r="C7" s="51">
        <v>25.11</v>
      </c>
      <c r="D7" s="50">
        <v>18.04</v>
      </c>
      <c r="E7" s="116">
        <v>1099.72</v>
      </c>
      <c r="F7" s="53">
        <f t="shared" si="0"/>
        <v>549.86</v>
      </c>
      <c r="G7" s="41">
        <f t="shared" si="1"/>
        <v>1649.58</v>
      </c>
      <c r="H7" s="53">
        <f t="shared" si="2"/>
        <v>1237.1849999999999</v>
      </c>
      <c r="I7" s="54">
        <f t="shared" si="3"/>
        <v>549.86</v>
      </c>
      <c r="J7" s="55">
        <f t="shared" si="4"/>
        <v>2199.44</v>
      </c>
      <c r="K7" s="56">
        <f t="shared" si="5"/>
        <v>1649.58</v>
      </c>
      <c r="L7" s="248"/>
    </row>
    <row r="8" spans="1:12" x14ac:dyDescent="0.25">
      <c r="A8" s="49" t="s">
        <v>726</v>
      </c>
      <c r="B8" s="50" t="s">
        <v>1805</v>
      </c>
      <c r="C8" s="51">
        <v>26.74</v>
      </c>
      <c r="D8" s="50">
        <v>18.04</v>
      </c>
      <c r="E8" s="116">
        <v>1126.7</v>
      </c>
      <c r="F8" s="53">
        <f t="shared" si="0"/>
        <v>563.35</v>
      </c>
      <c r="G8" s="41">
        <f t="shared" si="1"/>
        <v>1690.0500000000002</v>
      </c>
      <c r="H8" s="53">
        <f t="shared" si="2"/>
        <v>1267.5375000000001</v>
      </c>
      <c r="I8" s="54">
        <f t="shared" si="3"/>
        <v>563.35</v>
      </c>
      <c r="J8" s="55">
        <f t="shared" si="4"/>
        <v>2253.4</v>
      </c>
      <c r="K8" s="56">
        <f t="shared" si="5"/>
        <v>1690.0500000000002</v>
      </c>
      <c r="L8" s="248"/>
    </row>
    <row r="9" spans="1:12" x14ac:dyDescent="0.25">
      <c r="A9" s="49" t="s">
        <v>727</v>
      </c>
      <c r="B9" s="50" t="s">
        <v>1805</v>
      </c>
      <c r="C9" s="51">
        <v>59.39</v>
      </c>
      <c r="D9" s="50">
        <v>18.04</v>
      </c>
      <c r="E9" s="116">
        <v>1099.72</v>
      </c>
      <c r="F9" s="53">
        <f t="shared" si="0"/>
        <v>549.86</v>
      </c>
      <c r="G9" s="41">
        <f t="shared" si="1"/>
        <v>1649.58</v>
      </c>
      <c r="H9" s="53">
        <f t="shared" si="2"/>
        <v>1237.1849999999999</v>
      </c>
      <c r="I9" s="54">
        <f t="shared" si="3"/>
        <v>549.86</v>
      </c>
      <c r="J9" s="55">
        <f t="shared" si="4"/>
        <v>2199.44</v>
      </c>
      <c r="K9" s="56">
        <f t="shared" si="5"/>
        <v>1649.58</v>
      </c>
      <c r="L9" s="248"/>
    </row>
    <row r="10" spans="1:12" x14ac:dyDescent="0.25">
      <c r="A10" s="49" t="s">
        <v>728</v>
      </c>
      <c r="B10" s="50" t="s">
        <v>1322</v>
      </c>
      <c r="C10" s="50"/>
      <c r="D10" s="65">
        <v>18.04</v>
      </c>
      <c r="E10" s="116">
        <v>1099.72</v>
      </c>
      <c r="F10" s="53">
        <f t="shared" si="0"/>
        <v>549.86</v>
      </c>
      <c r="G10" s="41">
        <f t="shared" si="1"/>
        <v>1649.58</v>
      </c>
      <c r="H10" s="53">
        <f t="shared" si="2"/>
        <v>1237.1849999999999</v>
      </c>
      <c r="I10" s="54">
        <f t="shared" si="3"/>
        <v>549.86</v>
      </c>
      <c r="J10" s="55">
        <f t="shared" si="4"/>
        <v>2199.44</v>
      </c>
      <c r="K10" s="56">
        <f t="shared" si="5"/>
        <v>1649.58</v>
      </c>
      <c r="L10" s="248"/>
    </row>
    <row r="11" spans="1:12" x14ac:dyDescent="0.25">
      <c r="A11" s="49"/>
      <c r="B11" s="65"/>
      <c r="C11" s="65"/>
      <c r="D11" s="65"/>
      <c r="E11" s="50"/>
      <c r="F11" s="50"/>
      <c r="G11" s="56"/>
      <c r="H11" s="281"/>
      <c r="I11" s="282"/>
      <c r="J11" s="283"/>
      <c r="K11" s="65"/>
      <c r="L11" s="248"/>
    </row>
    <row r="12" spans="1:12" x14ac:dyDescent="0.25">
      <c r="A12" s="49" t="s">
        <v>729</v>
      </c>
      <c r="B12" s="50" t="s">
        <v>775</v>
      </c>
      <c r="C12" s="51">
        <v>29.53</v>
      </c>
      <c r="D12" s="50">
        <v>16.489999999999998</v>
      </c>
      <c r="E12" s="116">
        <v>1005.23</v>
      </c>
      <c r="F12" s="53">
        <f t="shared" ref="F12:F23" si="6">E12*50%</f>
        <v>502.61500000000001</v>
      </c>
      <c r="G12" s="41">
        <f t="shared" ref="G12:G23" si="7">E12+F12</f>
        <v>1507.845</v>
      </c>
      <c r="H12" s="53">
        <f t="shared" ref="H12:H23" si="8">G12-(G12*25%)</f>
        <v>1130.88375</v>
      </c>
      <c r="I12" s="54">
        <f t="shared" ref="I12:I23" si="9">E12*50%</f>
        <v>502.61500000000001</v>
      </c>
      <c r="J12" s="55">
        <f t="shared" ref="J12:J23" si="10">E12+(I12*2)</f>
        <v>2010.46</v>
      </c>
      <c r="K12" s="56">
        <f t="shared" ref="K12:K23" si="11">J12-(J12*25%)</f>
        <v>1507.845</v>
      </c>
      <c r="L12" s="248"/>
    </row>
    <row r="13" spans="1:12" x14ac:dyDescent="0.25">
      <c r="A13" s="49" t="s">
        <v>730</v>
      </c>
      <c r="B13" s="50" t="s">
        <v>775</v>
      </c>
      <c r="C13" s="284">
        <v>93</v>
      </c>
      <c r="D13" s="50">
        <v>16.489999999999998</v>
      </c>
      <c r="E13" s="116">
        <v>1005.23</v>
      </c>
      <c r="F13" s="53">
        <f t="shared" si="6"/>
        <v>502.61500000000001</v>
      </c>
      <c r="G13" s="41">
        <f t="shared" si="7"/>
        <v>1507.845</v>
      </c>
      <c r="H13" s="53">
        <f t="shared" si="8"/>
        <v>1130.88375</v>
      </c>
      <c r="I13" s="54">
        <f t="shared" si="9"/>
        <v>502.61500000000001</v>
      </c>
      <c r="J13" s="55">
        <f t="shared" si="10"/>
        <v>2010.46</v>
      </c>
      <c r="K13" s="56">
        <f t="shared" si="11"/>
        <v>1507.845</v>
      </c>
      <c r="L13" s="248"/>
    </row>
    <row r="14" spans="1:12" x14ac:dyDescent="0.25">
      <c r="A14" s="49" t="s">
        <v>731</v>
      </c>
      <c r="B14" s="50" t="s">
        <v>1520</v>
      </c>
      <c r="C14" s="51">
        <v>25.93</v>
      </c>
      <c r="D14" s="50">
        <v>16.489999999999998</v>
      </c>
      <c r="E14" s="116">
        <v>1144.79</v>
      </c>
      <c r="F14" s="53">
        <f t="shared" si="6"/>
        <v>572.39499999999998</v>
      </c>
      <c r="G14" s="41">
        <f t="shared" si="7"/>
        <v>1717.1849999999999</v>
      </c>
      <c r="H14" s="53">
        <f t="shared" si="8"/>
        <v>1287.8887500000001</v>
      </c>
      <c r="I14" s="54">
        <f t="shared" si="9"/>
        <v>572.39499999999998</v>
      </c>
      <c r="J14" s="55">
        <f t="shared" si="10"/>
        <v>2289.58</v>
      </c>
      <c r="K14" s="56">
        <f t="shared" si="11"/>
        <v>1717.1849999999999</v>
      </c>
      <c r="L14" s="248"/>
    </row>
    <row r="15" spans="1:12" x14ac:dyDescent="0.25">
      <c r="A15" s="49" t="s">
        <v>732</v>
      </c>
      <c r="B15" s="50" t="s">
        <v>1969</v>
      </c>
      <c r="C15" s="51">
        <v>30.93</v>
      </c>
      <c r="D15" s="50">
        <v>16.489999999999998</v>
      </c>
      <c r="E15" s="116">
        <v>1005.23</v>
      </c>
      <c r="F15" s="53">
        <f t="shared" si="6"/>
        <v>502.61500000000001</v>
      </c>
      <c r="G15" s="41">
        <f t="shared" si="7"/>
        <v>1507.845</v>
      </c>
      <c r="H15" s="53">
        <f t="shared" si="8"/>
        <v>1130.88375</v>
      </c>
      <c r="I15" s="54">
        <f t="shared" si="9"/>
        <v>502.61500000000001</v>
      </c>
      <c r="J15" s="55">
        <f t="shared" si="10"/>
        <v>2010.46</v>
      </c>
      <c r="K15" s="56">
        <f t="shared" si="11"/>
        <v>1507.845</v>
      </c>
      <c r="L15" s="248"/>
    </row>
    <row r="16" spans="1:12" x14ac:dyDescent="0.25">
      <c r="A16" s="49" t="s">
        <v>733</v>
      </c>
      <c r="B16" s="50" t="s">
        <v>2105</v>
      </c>
      <c r="C16" s="51">
        <v>63.4</v>
      </c>
      <c r="D16" s="50">
        <v>16.489999999999998</v>
      </c>
      <c r="E16" s="116">
        <v>1005.23</v>
      </c>
      <c r="F16" s="53">
        <f t="shared" si="6"/>
        <v>502.61500000000001</v>
      </c>
      <c r="G16" s="41">
        <f t="shared" si="7"/>
        <v>1507.845</v>
      </c>
      <c r="H16" s="53">
        <f t="shared" si="8"/>
        <v>1130.88375</v>
      </c>
      <c r="I16" s="54">
        <f t="shared" si="9"/>
        <v>502.61500000000001</v>
      </c>
      <c r="J16" s="55">
        <f t="shared" si="10"/>
        <v>2010.46</v>
      </c>
      <c r="K16" s="56">
        <f t="shared" si="11"/>
        <v>1507.845</v>
      </c>
      <c r="L16" s="248"/>
    </row>
    <row r="17" spans="1:12" x14ac:dyDescent="0.25">
      <c r="A17" s="49" t="s">
        <v>734</v>
      </c>
      <c r="B17" s="50" t="s">
        <v>2105</v>
      </c>
      <c r="C17" s="51"/>
      <c r="D17" s="50">
        <v>16.489999999999998</v>
      </c>
      <c r="E17" s="116">
        <v>1005.23</v>
      </c>
      <c r="F17" s="53">
        <f t="shared" si="6"/>
        <v>502.61500000000001</v>
      </c>
      <c r="G17" s="41">
        <f t="shared" si="7"/>
        <v>1507.845</v>
      </c>
      <c r="H17" s="53">
        <f t="shared" si="8"/>
        <v>1130.88375</v>
      </c>
      <c r="I17" s="54">
        <f t="shared" si="9"/>
        <v>502.61500000000001</v>
      </c>
      <c r="J17" s="55">
        <f t="shared" si="10"/>
        <v>2010.46</v>
      </c>
      <c r="K17" s="56">
        <f t="shared" si="11"/>
        <v>1507.845</v>
      </c>
      <c r="L17" s="248"/>
    </row>
    <row r="18" spans="1:12" x14ac:dyDescent="0.25">
      <c r="A18" s="49" t="s">
        <v>735</v>
      </c>
      <c r="B18" s="50" t="s">
        <v>776</v>
      </c>
      <c r="C18" s="51">
        <v>62.3</v>
      </c>
      <c r="D18" s="50">
        <v>24.73</v>
      </c>
      <c r="E18" s="116">
        <v>1256.54</v>
      </c>
      <c r="F18" s="53">
        <f t="shared" si="6"/>
        <v>628.27</v>
      </c>
      <c r="G18" s="41">
        <f t="shared" si="7"/>
        <v>1884.81</v>
      </c>
      <c r="H18" s="53">
        <f t="shared" si="8"/>
        <v>1413.6075000000001</v>
      </c>
      <c r="I18" s="54">
        <f t="shared" si="9"/>
        <v>628.27</v>
      </c>
      <c r="J18" s="55">
        <f t="shared" si="10"/>
        <v>2513.08</v>
      </c>
      <c r="K18" s="56">
        <f t="shared" si="11"/>
        <v>1884.81</v>
      </c>
      <c r="L18" s="248"/>
    </row>
    <row r="19" spans="1:12" x14ac:dyDescent="0.25">
      <c r="A19" s="49" t="s">
        <v>736</v>
      </c>
      <c r="B19" s="50" t="s">
        <v>776</v>
      </c>
      <c r="C19" s="50"/>
      <c r="D19" s="65">
        <v>16.399999999999999</v>
      </c>
      <c r="E19" s="65">
        <v>1256.54</v>
      </c>
      <c r="F19" s="53">
        <f t="shared" si="6"/>
        <v>628.27</v>
      </c>
      <c r="G19" s="41">
        <f t="shared" si="7"/>
        <v>1884.81</v>
      </c>
      <c r="H19" s="53">
        <f t="shared" si="8"/>
        <v>1413.6075000000001</v>
      </c>
      <c r="I19" s="54">
        <f t="shared" si="9"/>
        <v>628.27</v>
      </c>
      <c r="J19" s="55">
        <f t="shared" si="10"/>
        <v>2513.08</v>
      </c>
      <c r="K19" s="56">
        <f t="shared" si="11"/>
        <v>1884.81</v>
      </c>
      <c r="L19" s="248"/>
    </row>
    <row r="20" spans="1:12" x14ac:dyDescent="0.25">
      <c r="A20" s="49" t="s">
        <v>737</v>
      </c>
      <c r="B20" s="50" t="s">
        <v>1798</v>
      </c>
      <c r="C20" s="51">
        <v>52.67</v>
      </c>
      <c r="D20" s="50">
        <v>24.73</v>
      </c>
      <c r="E20" s="116">
        <v>1507.54</v>
      </c>
      <c r="F20" s="53">
        <f t="shared" si="6"/>
        <v>753.77</v>
      </c>
      <c r="G20" s="41">
        <f t="shared" si="7"/>
        <v>2261.31</v>
      </c>
      <c r="H20" s="53">
        <f t="shared" si="8"/>
        <v>1695.9825000000001</v>
      </c>
      <c r="I20" s="54">
        <f t="shared" si="9"/>
        <v>753.77</v>
      </c>
      <c r="J20" s="55">
        <f t="shared" si="10"/>
        <v>3015.08</v>
      </c>
      <c r="K20" s="56">
        <f t="shared" si="11"/>
        <v>2261.31</v>
      </c>
      <c r="L20" s="248"/>
    </row>
    <row r="21" spans="1:12" x14ac:dyDescent="0.25">
      <c r="A21" s="49" t="s">
        <v>738</v>
      </c>
      <c r="B21" s="231" t="s">
        <v>777</v>
      </c>
      <c r="C21" s="65"/>
      <c r="D21" s="50"/>
      <c r="E21" s="65"/>
      <c r="F21" s="53">
        <f t="shared" si="6"/>
        <v>0</v>
      </c>
      <c r="G21" s="41">
        <f t="shared" si="7"/>
        <v>0</v>
      </c>
      <c r="H21" s="53">
        <f t="shared" si="8"/>
        <v>0</v>
      </c>
      <c r="I21" s="54">
        <f t="shared" si="9"/>
        <v>0</v>
      </c>
      <c r="J21" s="55">
        <f t="shared" si="10"/>
        <v>0</v>
      </c>
      <c r="K21" s="56">
        <f t="shared" si="11"/>
        <v>0</v>
      </c>
      <c r="L21" s="248"/>
    </row>
    <row r="22" spans="1:12" x14ac:dyDescent="0.25">
      <c r="A22" s="49" t="s">
        <v>739</v>
      </c>
      <c r="B22" s="231" t="s">
        <v>777</v>
      </c>
      <c r="C22" s="65"/>
      <c r="D22" s="50"/>
      <c r="E22" s="65"/>
      <c r="F22" s="53">
        <f t="shared" si="6"/>
        <v>0</v>
      </c>
      <c r="G22" s="41">
        <f t="shared" si="7"/>
        <v>0</v>
      </c>
      <c r="H22" s="53">
        <f t="shared" si="8"/>
        <v>0</v>
      </c>
      <c r="I22" s="54">
        <f t="shared" si="9"/>
        <v>0</v>
      </c>
      <c r="J22" s="55">
        <f t="shared" si="10"/>
        <v>0</v>
      </c>
      <c r="K22" s="56">
        <f t="shared" si="11"/>
        <v>0</v>
      </c>
      <c r="L22" s="248"/>
    </row>
    <row r="23" spans="1:12" x14ac:dyDescent="0.25">
      <c r="A23" s="49" t="s">
        <v>740</v>
      </c>
      <c r="B23" s="50" t="s">
        <v>1535</v>
      </c>
      <c r="C23" s="65"/>
      <c r="D23" s="50">
        <v>17.12</v>
      </c>
      <c r="E23" s="57">
        <v>1043.5</v>
      </c>
      <c r="F23" s="53">
        <f t="shared" si="6"/>
        <v>521.75</v>
      </c>
      <c r="G23" s="41">
        <f t="shared" si="7"/>
        <v>1565.25</v>
      </c>
      <c r="H23" s="53">
        <f t="shared" si="8"/>
        <v>1173.9375</v>
      </c>
      <c r="I23" s="54">
        <f t="shared" si="9"/>
        <v>521.75</v>
      </c>
      <c r="J23" s="55">
        <f t="shared" si="10"/>
        <v>2087</v>
      </c>
      <c r="K23" s="56">
        <f t="shared" si="11"/>
        <v>1565.25</v>
      </c>
      <c r="L23" s="248"/>
    </row>
    <row r="24" spans="1:12" x14ac:dyDescent="0.25">
      <c r="A24" s="285"/>
      <c r="B24" s="65"/>
      <c r="C24" s="65"/>
      <c r="D24" s="50"/>
      <c r="E24" s="65"/>
      <c r="F24" s="65"/>
      <c r="G24" s="56"/>
      <c r="H24" s="281"/>
      <c r="I24" s="282"/>
      <c r="J24" s="283"/>
      <c r="K24" s="65"/>
      <c r="L24" s="248"/>
    </row>
    <row r="25" spans="1:12" x14ac:dyDescent="0.25">
      <c r="A25" s="49" t="s">
        <v>741</v>
      </c>
      <c r="B25" s="50" t="s">
        <v>1350</v>
      </c>
      <c r="C25" s="51">
        <v>39.299999999999997</v>
      </c>
      <c r="D25" s="50">
        <v>15.94</v>
      </c>
      <c r="E25" s="116">
        <v>1038.1500000000001</v>
      </c>
      <c r="F25" s="53">
        <f t="shared" ref="F25:F32" si="12">E25*50%</f>
        <v>519.07500000000005</v>
      </c>
      <c r="G25" s="41">
        <f t="shared" ref="G25:G32" si="13">E25+F25</f>
        <v>1557.2250000000001</v>
      </c>
      <c r="H25" s="53">
        <f t="shared" ref="H25:H32" si="14">G25-(G25*25%)</f>
        <v>1167.91875</v>
      </c>
      <c r="I25" s="54">
        <f t="shared" ref="I25:I32" si="15">E25*50%</f>
        <v>519.07500000000005</v>
      </c>
      <c r="J25" s="55">
        <f t="shared" ref="J25:J32" si="16">E25+(I25*2)</f>
        <v>2076.3000000000002</v>
      </c>
      <c r="K25" s="56">
        <f t="shared" ref="K25:K32" si="17">J25-(J25*25%)</f>
        <v>1557.2250000000001</v>
      </c>
      <c r="L25" s="248"/>
    </row>
    <row r="26" spans="1:12" x14ac:dyDescent="0.25">
      <c r="A26" s="49" t="s">
        <v>742</v>
      </c>
      <c r="B26" s="50" t="s">
        <v>1350</v>
      </c>
      <c r="C26" s="51"/>
      <c r="D26" s="50">
        <v>15.94</v>
      </c>
      <c r="E26" s="116">
        <v>1038.1500000000001</v>
      </c>
      <c r="F26" s="53">
        <f t="shared" si="12"/>
        <v>519.07500000000005</v>
      </c>
      <c r="G26" s="41">
        <f t="shared" si="13"/>
        <v>1557.2250000000001</v>
      </c>
      <c r="H26" s="53">
        <f t="shared" si="14"/>
        <v>1167.91875</v>
      </c>
      <c r="I26" s="54">
        <f t="shared" si="15"/>
        <v>519.07500000000005</v>
      </c>
      <c r="J26" s="55">
        <f t="shared" si="16"/>
        <v>2076.3000000000002</v>
      </c>
      <c r="K26" s="56">
        <f t="shared" si="17"/>
        <v>1557.2250000000001</v>
      </c>
      <c r="L26" s="248"/>
    </row>
    <row r="27" spans="1:12" x14ac:dyDescent="0.25">
      <c r="A27" s="49" t="s">
        <v>743</v>
      </c>
      <c r="B27" s="50" t="s">
        <v>1752</v>
      </c>
      <c r="C27" s="51">
        <v>33.56</v>
      </c>
      <c r="D27" s="50">
        <v>17.03</v>
      </c>
      <c r="E27" s="116">
        <v>1038.1500000000001</v>
      </c>
      <c r="F27" s="53">
        <f t="shared" si="12"/>
        <v>519.07500000000005</v>
      </c>
      <c r="G27" s="41">
        <f t="shared" si="13"/>
        <v>1557.2250000000001</v>
      </c>
      <c r="H27" s="53">
        <f t="shared" si="14"/>
        <v>1167.91875</v>
      </c>
      <c r="I27" s="54">
        <f t="shared" si="15"/>
        <v>519.07500000000005</v>
      </c>
      <c r="J27" s="55">
        <f t="shared" si="16"/>
        <v>2076.3000000000002</v>
      </c>
      <c r="K27" s="56">
        <f t="shared" si="17"/>
        <v>1557.2250000000001</v>
      </c>
      <c r="L27" s="248"/>
    </row>
    <row r="28" spans="1:12" x14ac:dyDescent="0.25">
      <c r="A28" s="49" t="s">
        <v>744</v>
      </c>
      <c r="B28" s="50" t="s">
        <v>1752</v>
      </c>
      <c r="C28" s="51"/>
      <c r="D28" s="50">
        <v>17.03</v>
      </c>
      <c r="E28" s="116">
        <v>1038.1500000000001</v>
      </c>
      <c r="F28" s="53">
        <f t="shared" si="12"/>
        <v>519.07500000000005</v>
      </c>
      <c r="G28" s="41">
        <f t="shared" si="13"/>
        <v>1557.2250000000001</v>
      </c>
      <c r="H28" s="53">
        <f t="shared" si="14"/>
        <v>1167.91875</v>
      </c>
      <c r="I28" s="54">
        <f t="shared" si="15"/>
        <v>519.07500000000005</v>
      </c>
      <c r="J28" s="55">
        <f t="shared" si="16"/>
        <v>2076.3000000000002</v>
      </c>
      <c r="K28" s="56">
        <f t="shared" si="17"/>
        <v>1557.2250000000001</v>
      </c>
      <c r="L28" s="248"/>
    </row>
    <row r="29" spans="1:12" x14ac:dyDescent="0.25">
      <c r="A29" s="49" t="s">
        <v>745</v>
      </c>
      <c r="B29" s="50" t="s">
        <v>1352</v>
      </c>
      <c r="C29" s="51">
        <v>24.52</v>
      </c>
      <c r="D29" s="50">
        <v>17.03</v>
      </c>
      <c r="E29" s="116">
        <v>1038.1500000000001</v>
      </c>
      <c r="F29" s="53">
        <f t="shared" si="12"/>
        <v>519.07500000000005</v>
      </c>
      <c r="G29" s="41">
        <f t="shared" si="13"/>
        <v>1557.2250000000001</v>
      </c>
      <c r="H29" s="53">
        <f t="shared" si="14"/>
        <v>1167.91875</v>
      </c>
      <c r="I29" s="54">
        <f t="shared" si="15"/>
        <v>519.07500000000005</v>
      </c>
      <c r="J29" s="55">
        <f t="shared" si="16"/>
        <v>2076.3000000000002</v>
      </c>
      <c r="K29" s="56">
        <f t="shared" si="17"/>
        <v>1557.2250000000001</v>
      </c>
      <c r="L29" s="248"/>
    </row>
    <row r="30" spans="1:12" x14ac:dyDescent="0.25">
      <c r="A30" s="49" t="s">
        <v>746</v>
      </c>
      <c r="B30" s="50" t="s">
        <v>1352</v>
      </c>
      <c r="C30" s="50"/>
      <c r="D30" s="50">
        <v>17.03</v>
      </c>
      <c r="E30" s="116">
        <v>1038.1500000000001</v>
      </c>
      <c r="F30" s="53">
        <f t="shared" si="12"/>
        <v>519.07500000000005</v>
      </c>
      <c r="G30" s="41">
        <f t="shared" si="13"/>
        <v>1557.2250000000001</v>
      </c>
      <c r="H30" s="53">
        <f t="shared" si="14"/>
        <v>1167.91875</v>
      </c>
      <c r="I30" s="54">
        <f t="shared" si="15"/>
        <v>519.07500000000005</v>
      </c>
      <c r="J30" s="55">
        <f t="shared" si="16"/>
        <v>2076.3000000000002</v>
      </c>
      <c r="K30" s="56">
        <f t="shared" si="17"/>
        <v>1557.2250000000001</v>
      </c>
      <c r="L30" s="248"/>
    </row>
    <row r="31" spans="1:12" x14ac:dyDescent="0.25">
      <c r="A31" s="49" t="s">
        <v>747</v>
      </c>
      <c r="B31" s="50" t="s">
        <v>1351</v>
      </c>
      <c r="C31" s="51">
        <v>21.96</v>
      </c>
      <c r="D31" s="50">
        <v>17.03</v>
      </c>
      <c r="E31" s="116">
        <v>1038.1500000000001</v>
      </c>
      <c r="F31" s="53">
        <f t="shared" si="12"/>
        <v>519.07500000000005</v>
      </c>
      <c r="G31" s="41">
        <f t="shared" si="13"/>
        <v>1557.2250000000001</v>
      </c>
      <c r="H31" s="53">
        <f t="shared" si="14"/>
        <v>1167.91875</v>
      </c>
      <c r="I31" s="54">
        <f t="shared" si="15"/>
        <v>519.07500000000005</v>
      </c>
      <c r="J31" s="55">
        <f t="shared" si="16"/>
        <v>2076.3000000000002</v>
      </c>
      <c r="K31" s="56">
        <f t="shared" si="17"/>
        <v>1557.2250000000001</v>
      </c>
      <c r="L31" s="248"/>
    </row>
    <row r="32" spans="1:12" x14ac:dyDescent="0.25">
      <c r="A32" s="49" t="s">
        <v>748</v>
      </c>
      <c r="B32" s="50" t="s">
        <v>1970</v>
      </c>
      <c r="C32" s="51">
        <v>15.5</v>
      </c>
      <c r="D32" s="50">
        <v>17.03</v>
      </c>
      <c r="E32" s="116">
        <v>1038.1500000000001</v>
      </c>
      <c r="F32" s="53">
        <f t="shared" si="12"/>
        <v>519.07500000000005</v>
      </c>
      <c r="G32" s="41">
        <f t="shared" si="13"/>
        <v>1557.2250000000001</v>
      </c>
      <c r="H32" s="53">
        <f t="shared" si="14"/>
        <v>1167.91875</v>
      </c>
      <c r="I32" s="54">
        <f t="shared" si="15"/>
        <v>519.07500000000005</v>
      </c>
      <c r="J32" s="55">
        <f t="shared" si="16"/>
        <v>2076.3000000000002</v>
      </c>
      <c r="K32" s="56">
        <f t="shared" si="17"/>
        <v>1557.2250000000001</v>
      </c>
      <c r="L32" s="248"/>
    </row>
    <row r="33" spans="1:12 16370:16370" x14ac:dyDescent="0.25">
      <c r="A33" s="285"/>
      <c r="B33" s="50"/>
      <c r="C33" s="65"/>
      <c r="D33" s="65"/>
      <c r="E33" s="50"/>
      <c r="F33" s="50"/>
      <c r="G33" s="56"/>
      <c r="H33" s="281"/>
      <c r="I33" s="282"/>
      <c r="J33" s="283"/>
      <c r="K33" s="65"/>
      <c r="L33" s="248"/>
    </row>
    <row r="34" spans="1:12 16370:16370" x14ac:dyDescent="0.25">
      <c r="A34" s="49" t="s">
        <v>749</v>
      </c>
      <c r="B34" s="50" t="s">
        <v>1520</v>
      </c>
      <c r="C34" s="51">
        <v>16.47</v>
      </c>
      <c r="D34" s="50">
        <v>15.82</v>
      </c>
      <c r="E34" s="116">
        <v>961.5</v>
      </c>
      <c r="F34" s="53">
        <f t="shared" ref="F34:F50" si="18">E34*50%</f>
        <v>480.75</v>
      </c>
      <c r="G34" s="41">
        <f t="shared" ref="G34:G50" si="19">E34+F34</f>
        <v>1442.25</v>
      </c>
      <c r="H34" s="53">
        <f t="shared" ref="H34:H50" si="20">G34-(G34*25%)</f>
        <v>1081.6875</v>
      </c>
      <c r="I34" s="54">
        <f t="shared" ref="I34:I50" si="21">E34*50%</f>
        <v>480.75</v>
      </c>
      <c r="J34" s="55">
        <f t="shared" ref="J34:J50" si="22">E34+(I34*2)</f>
        <v>1923</v>
      </c>
      <c r="K34" s="56">
        <f t="shared" ref="K34:K50" si="23">J34-(J34*25%)</f>
        <v>1442.25</v>
      </c>
      <c r="L34" s="248"/>
    </row>
    <row r="35" spans="1:12 16370:16370" x14ac:dyDescent="0.25">
      <c r="A35" s="49" t="s">
        <v>750</v>
      </c>
      <c r="B35" s="50" t="s">
        <v>1786</v>
      </c>
      <c r="C35" s="50"/>
      <c r="D35" s="50">
        <v>15.82</v>
      </c>
      <c r="E35" s="116">
        <v>964.27</v>
      </c>
      <c r="F35" s="53">
        <f t="shared" si="18"/>
        <v>482.13499999999999</v>
      </c>
      <c r="G35" s="41">
        <f t="shared" si="19"/>
        <v>1446.405</v>
      </c>
      <c r="H35" s="53">
        <f t="shared" si="20"/>
        <v>1084.80375</v>
      </c>
      <c r="I35" s="54">
        <f t="shared" si="21"/>
        <v>482.13499999999999</v>
      </c>
      <c r="J35" s="55">
        <f t="shared" si="22"/>
        <v>1928.54</v>
      </c>
      <c r="K35" s="56">
        <f t="shared" si="23"/>
        <v>1446.405</v>
      </c>
      <c r="L35" s="248"/>
    </row>
    <row r="36" spans="1:12 16370:16370" x14ac:dyDescent="0.25">
      <c r="A36" s="49" t="s">
        <v>751</v>
      </c>
      <c r="B36" s="50" t="s">
        <v>1521</v>
      </c>
      <c r="C36" s="50"/>
      <c r="D36" s="50">
        <v>15.82</v>
      </c>
      <c r="E36" s="116">
        <v>964.27</v>
      </c>
      <c r="F36" s="53">
        <f t="shared" si="18"/>
        <v>482.13499999999999</v>
      </c>
      <c r="G36" s="41">
        <f t="shared" si="19"/>
        <v>1446.405</v>
      </c>
      <c r="H36" s="53">
        <f t="shared" si="20"/>
        <v>1084.80375</v>
      </c>
      <c r="I36" s="54">
        <f t="shared" si="21"/>
        <v>482.13499999999999</v>
      </c>
      <c r="J36" s="55">
        <f t="shared" si="22"/>
        <v>1928.54</v>
      </c>
      <c r="K36" s="56">
        <f t="shared" si="23"/>
        <v>1446.405</v>
      </c>
      <c r="L36" s="248"/>
    </row>
    <row r="37" spans="1:12 16370:16370" x14ac:dyDescent="0.25">
      <c r="A37" s="49" t="s">
        <v>752</v>
      </c>
      <c r="B37" s="50" t="s">
        <v>1521</v>
      </c>
      <c r="C37" s="51">
        <v>34.67</v>
      </c>
      <c r="D37" s="50">
        <v>15.82</v>
      </c>
      <c r="E37" s="116">
        <v>859.03</v>
      </c>
      <c r="F37" s="53">
        <f t="shared" si="18"/>
        <v>429.51499999999999</v>
      </c>
      <c r="G37" s="41">
        <f t="shared" si="19"/>
        <v>1288.5450000000001</v>
      </c>
      <c r="H37" s="53">
        <f t="shared" si="20"/>
        <v>966.40875000000005</v>
      </c>
      <c r="I37" s="54">
        <f t="shared" si="21"/>
        <v>429.51499999999999</v>
      </c>
      <c r="J37" s="55">
        <f t="shared" si="22"/>
        <v>1718.06</v>
      </c>
      <c r="K37" s="56">
        <f t="shared" si="23"/>
        <v>1288.5450000000001</v>
      </c>
      <c r="L37" s="248"/>
    </row>
    <row r="38" spans="1:12 16370:16370" x14ac:dyDescent="0.25">
      <c r="A38" s="49" t="s">
        <v>753</v>
      </c>
      <c r="B38" s="50" t="s">
        <v>2019</v>
      </c>
      <c r="C38" s="51"/>
      <c r="D38" s="50">
        <v>15.82</v>
      </c>
      <c r="E38" s="116">
        <v>859.03499999999997</v>
      </c>
      <c r="F38" s="53">
        <f t="shared" si="18"/>
        <v>429.51749999999998</v>
      </c>
      <c r="G38" s="41">
        <f t="shared" si="19"/>
        <v>1288.5525</v>
      </c>
      <c r="H38" s="53">
        <f t="shared" si="20"/>
        <v>966.41437500000006</v>
      </c>
      <c r="I38" s="54">
        <f t="shared" si="21"/>
        <v>429.51749999999998</v>
      </c>
      <c r="J38" s="55">
        <f t="shared" si="22"/>
        <v>1718.07</v>
      </c>
      <c r="K38" s="56">
        <f t="shared" si="23"/>
        <v>1288.5525</v>
      </c>
      <c r="L38" s="248"/>
    </row>
    <row r="39" spans="1:12 16370:16370" x14ac:dyDescent="0.25">
      <c r="A39" s="49" t="s">
        <v>754</v>
      </c>
      <c r="B39" s="50" t="s">
        <v>2019</v>
      </c>
      <c r="C39" s="168" t="s">
        <v>779</v>
      </c>
      <c r="D39" s="50">
        <v>15.82</v>
      </c>
      <c r="E39" s="116">
        <v>859.03499999999997</v>
      </c>
      <c r="F39" s="53">
        <f t="shared" si="18"/>
        <v>429.51749999999998</v>
      </c>
      <c r="G39" s="41">
        <f t="shared" si="19"/>
        <v>1288.5525</v>
      </c>
      <c r="H39" s="53">
        <f t="shared" si="20"/>
        <v>966.41437500000006</v>
      </c>
      <c r="I39" s="54">
        <f t="shared" si="21"/>
        <v>429.51749999999998</v>
      </c>
      <c r="J39" s="55">
        <f t="shared" si="22"/>
        <v>1718.07</v>
      </c>
      <c r="K39" s="56">
        <f t="shared" si="23"/>
        <v>1288.5525</v>
      </c>
      <c r="L39" s="248"/>
    </row>
    <row r="40" spans="1:12 16370:16370" x14ac:dyDescent="0.25">
      <c r="A40" s="49" t="s">
        <v>755</v>
      </c>
      <c r="B40" s="50" t="s">
        <v>1755</v>
      </c>
      <c r="C40" s="51">
        <v>19.739999999999998</v>
      </c>
      <c r="D40" s="50">
        <v>23.74</v>
      </c>
      <c r="E40" s="116">
        <v>1417.25</v>
      </c>
      <c r="F40" s="53">
        <f t="shared" si="18"/>
        <v>708.625</v>
      </c>
      <c r="G40" s="41">
        <f t="shared" si="19"/>
        <v>2125.875</v>
      </c>
      <c r="H40" s="53">
        <f t="shared" si="20"/>
        <v>1594.40625</v>
      </c>
      <c r="I40" s="54">
        <f t="shared" si="21"/>
        <v>708.625</v>
      </c>
      <c r="J40" s="55">
        <f t="shared" si="22"/>
        <v>2834.5</v>
      </c>
      <c r="K40" s="56">
        <f t="shared" si="23"/>
        <v>2125.875</v>
      </c>
      <c r="L40" s="248"/>
    </row>
    <row r="41" spans="1:12 16370:16370" x14ac:dyDescent="0.25">
      <c r="A41" s="49" t="s">
        <v>756</v>
      </c>
      <c r="B41" s="50" t="s">
        <v>778</v>
      </c>
      <c r="C41" s="51">
        <v>14</v>
      </c>
      <c r="D41" s="50">
        <v>15.82</v>
      </c>
      <c r="E41" s="116">
        <v>1112.94</v>
      </c>
      <c r="F41" s="53">
        <f t="shared" si="18"/>
        <v>556.47</v>
      </c>
      <c r="G41" s="41">
        <f t="shared" si="19"/>
        <v>1669.41</v>
      </c>
      <c r="H41" s="53">
        <f t="shared" si="20"/>
        <v>1252.0575000000001</v>
      </c>
      <c r="I41" s="54">
        <f t="shared" si="21"/>
        <v>556.47</v>
      </c>
      <c r="J41" s="55">
        <f t="shared" si="22"/>
        <v>2225.88</v>
      </c>
      <c r="K41" s="56">
        <f t="shared" si="23"/>
        <v>1669.41</v>
      </c>
      <c r="L41" s="248"/>
    </row>
    <row r="42" spans="1:12 16370:16370" x14ac:dyDescent="0.25">
      <c r="A42" s="286"/>
      <c r="B42" s="65"/>
      <c r="C42" s="65"/>
      <c r="D42" s="65"/>
      <c r="E42" s="65"/>
      <c r="F42" s="53"/>
      <c r="G42" s="41"/>
      <c r="H42" s="53"/>
      <c r="I42" s="54"/>
      <c r="J42" s="55"/>
      <c r="K42" s="56"/>
      <c r="L42" s="248"/>
      <c r="XEP42">
        <f t="shared" ref="XEP42:XEP50" si="24">SUM(C42:XEO42)</f>
        <v>0</v>
      </c>
    </row>
    <row r="43" spans="1:12 16370:16370" x14ac:dyDescent="0.25">
      <c r="A43" s="49" t="s">
        <v>757</v>
      </c>
      <c r="B43" s="50" t="s">
        <v>1812</v>
      </c>
      <c r="C43" s="51">
        <v>71.55</v>
      </c>
      <c r="D43" s="236">
        <v>8.18</v>
      </c>
      <c r="E43" s="116">
        <v>511.79500000000002</v>
      </c>
      <c r="F43" s="53">
        <f t="shared" si="18"/>
        <v>255.89750000000001</v>
      </c>
      <c r="G43" s="41">
        <f t="shared" si="19"/>
        <v>767.6925</v>
      </c>
      <c r="H43" s="53">
        <f t="shared" si="20"/>
        <v>575.76937499999997</v>
      </c>
      <c r="I43" s="54">
        <f t="shared" si="21"/>
        <v>255.89750000000001</v>
      </c>
      <c r="J43" s="55">
        <f t="shared" si="22"/>
        <v>1023.59</v>
      </c>
      <c r="K43" s="56">
        <f t="shared" si="23"/>
        <v>767.6925</v>
      </c>
      <c r="L43" s="248"/>
      <c r="XEP43" s="7">
        <f t="shared" si="24"/>
        <v>4238.0643749999999</v>
      </c>
    </row>
    <row r="44" spans="1:12 16370:16370" x14ac:dyDescent="0.25">
      <c r="A44" s="49" t="s">
        <v>758</v>
      </c>
      <c r="B44" s="50" t="s">
        <v>1812</v>
      </c>
      <c r="C44" s="50"/>
      <c r="D44" s="287">
        <v>8.18</v>
      </c>
      <c r="E44" s="116">
        <v>511.79500000000002</v>
      </c>
      <c r="F44" s="53">
        <f t="shared" si="18"/>
        <v>255.89750000000001</v>
      </c>
      <c r="G44" s="41">
        <f t="shared" si="19"/>
        <v>767.6925</v>
      </c>
      <c r="H44" s="53">
        <f t="shared" si="20"/>
        <v>575.76937499999997</v>
      </c>
      <c r="I44" s="54">
        <f t="shared" si="21"/>
        <v>255.89750000000001</v>
      </c>
      <c r="J44" s="55">
        <f t="shared" si="22"/>
        <v>1023.59</v>
      </c>
      <c r="K44" s="56">
        <f t="shared" si="23"/>
        <v>767.6925</v>
      </c>
      <c r="L44" s="248"/>
      <c r="XEP44">
        <f t="shared" si="24"/>
        <v>4166.5143749999997</v>
      </c>
    </row>
    <row r="45" spans="1:12 16370:16370" x14ac:dyDescent="0.25">
      <c r="A45" s="49" t="s">
        <v>759</v>
      </c>
      <c r="B45" s="50" t="s">
        <v>1813</v>
      </c>
      <c r="C45" s="50"/>
      <c r="D45" s="50">
        <v>8.18</v>
      </c>
      <c r="E45" s="116">
        <v>503.09</v>
      </c>
      <c r="F45" s="53">
        <f t="shared" si="18"/>
        <v>251.54499999999999</v>
      </c>
      <c r="G45" s="41">
        <f t="shared" si="19"/>
        <v>754.63499999999999</v>
      </c>
      <c r="H45" s="53">
        <f t="shared" si="20"/>
        <v>565.97624999999994</v>
      </c>
      <c r="I45" s="54">
        <f t="shared" si="21"/>
        <v>251.54499999999999</v>
      </c>
      <c r="J45" s="55">
        <f t="shared" si="22"/>
        <v>1006.18</v>
      </c>
      <c r="K45" s="56">
        <f t="shared" si="23"/>
        <v>754.63499999999999</v>
      </c>
      <c r="L45" s="248"/>
      <c r="XEP45">
        <f t="shared" si="24"/>
        <v>4095.7862499999992</v>
      </c>
    </row>
    <row r="46" spans="1:12 16370:16370" x14ac:dyDescent="0.25">
      <c r="A46" s="49" t="s">
        <v>760</v>
      </c>
      <c r="B46" s="50" t="s">
        <v>1813</v>
      </c>
      <c r="C46" s="50"/>
      <c r="D46" s="50">
        <v>8.18</v>
      </c>
      <c r="E46" s="116">
        <v>503.09</v>
      </c>
      <c r="F46" s="53">
        <f t="shared" si="18"/>
        <v>251.54499999999999</v>
      </c>
      <c r="G46" s="41">
        <f t="shared" si="19"/>
        <v>754.63499999999999</v>
      </c>
      <c r="H46" s="53">
        <f t="shared" si="20"/>
        <v>565.97624999999994</v>
      </c>
      <c r="I46" s="54">
        <f t="shared" si="21"/>
        <v>251.54499999999999</v>
      </c>
      <c r="J46" s="55">
        <f t="shared" si="22"/>
        <v>1006.18</v>
      </c>
      <c r="K46" s="56">
        <f t="shared" si="23"/>
        <v>754.63499999999999</v>
      </c>
      <c r="L46" s="248"/>
      <c r="XEP46">
        <f t="shared" si="24"/>
        <v>4095.7862499999992</v>
      </c>
    </row>
    <row r="47" spans="1:12 16370:16370" x14ac:dyDescent="0.25">
      <c r="A47" s="49" t="s">
        <v>761</v>
      </c>
      <c r="B47" s="50" t="s">
        <v>1834</v>
      </c>
      <c r="C47" s="51"/>
      <c r="D47" s="50">
        <v>8.18</v>
      </c>
      <c r="E47" s="116">
        <v>511.79500000000002</v>
      </c>
      <c r="F47" s="53">
        <f t="shared" si="18"/>
        <v>255.89750000000001</v>
      </c>
      <c r="G47" s="41">
        <f t="shared" si="19"/>
        <v>767.6925</v>
      </c>
      <c r="H47" s="53">
        <f t="shared" si="20"/>
        <v>575.76937499999997</v>
      </c>
      <c r="I47" s="54">
        <f t="shared" si="21"/>
        <v>255.89750000000001</v>
      </c>
      <c r="J47" s="55">
        <f t="shared" si="22"/>
        <v>1023.59</v>
      </c>
      <c r="K47" s="56">
        <f t="shared" si="23"/>
        <v>767.6925</v>
      </c>
      <c r="L47" s="248"/>
      <c r="XEP47" s="7">
        <f t="shared" si="24"/>
        <v>4166.5143749999997</v>
      </c>
    </row>
    <row r="48" spans="1:12 16370:16370" x14ac:dyDescent="0.25">
      <c r="A48" s="49" t="s">
        <v>762</v>
      </c>
      <c r="B48" s="50" t="s">
        <v>1834</v>
      </c>
      <c r="C48" s="50"/>
      <c r="D48" s="50">
        <v>8.18</v>
      </c>
      <c r="E48" s="116">
        <v>511.79500000000002</v>
      </c>
      <c r="F48" s="53">
        <f t="shared" si="18"/>
        <v>255.89750000000001</v>
      </c>
      <c r="G48" s="41">
        <f t="shared" si="19"/>
        <v>767.6925</v>
      </c>
      <c r="H48" s="53">
        <f t="shared" si="20"/>
        <v>575.76937499999997</v>
      </c>
      <c r="I48" s="54">
        <f t="shared" si="21"/>
        <v>255.89750000000001</v>
      </c>
      <c r="J48" s="55">
        <f t="shared" si="22"/>
        <v>1023.59</v>
      </c>
      <c r="K48" s="56">
        <f t="shared" si="23"/>
        <v>767.6925</v>
      </c>
      <c r="L48" s="248"/>
      <c r="XEP48">
        <f t="shared" si="24"/>
        <v>4166.5143749999997</v>
      </c>
    </row>
    <row r="49" spans="1:12 16370:16370" x14ac:dyDescent="0.25">
      <c r="A49" s="49" t="s">
        <v>763</v>
      </c>
      <c r="B49" s="50" t="s">
        <v>1838</v>
      </c>
      <c r="C49" s="50"/>
      <c r="D49" s="50">
        <v>8.18</v>
      </c>
      <c r="E49" s="116">
        <v>503.09</v>
      </c>
      <c r="F49" s="53">
        <f t="shared" si="18"/>
        <v>251.54499999999999</v>
      </c>
      <c r="G49" s="41">
        <f t="shared" si="19"/>
        <v>754.63499999999999</v>
      </c>
      <c r="H49" s="53">
        <f t="shared" si="20"/>
        <v>565.97624999999994</v>
      </c>
      <c r="I49" s="54">
        <f t="shared" si="21"/>
        <v>251.54499999999999</v>
      </c>
      <c r="J49" s="55">
        <f t="shared" si="22"/>
        <v>1006.18</v>
      </c>
      <c r="K49" s="56">
        <f t="shared" si="23"/>
        <v>754.63499999999999</v>
      </c>
      <c r="L49" s="248"/>
      <c r="XEP49">
        <f t="shared" si="24"/>
        <v>4095.7862499999992</v>
      </c>
    </row>
    <row r="50" spans="1:12 16370:16370" x14ac:dyDescent="0.25">
      <c r="A50" s="49" t="s">
        <v>764</v>
      </c>
      <c r="B50" s="50" t="s">
        <v>1838</v>
      </c>
      <c r="C50" s="50"/>
      <c r="D50" s="50">
        <v>8.18</v>
      </c>
      <c r="E50" s="116">
        <v>503.09</v>
      </c>
      <c r="F50" s="53">
        <f t="shared" si="18"/>
        <v>251.54499999999999</v>
      </c>
      <c r="G50" s="41">
        <f t="shared" si="19"/>
        <v>754.63499999999999</v>
      </c>
      <c r="H50" s="53">
        <f t="shared" si="20"/>
        <v>565.97624999999994</v>
      </c>
      <c r="I50" s="54">
        <f t="shared" si="21"/>
        <v>251.54499999999999</v>
      </c>
      <c r="J50" s="55">
        <f t="shared" si="22"/>
        <v>1006.18</v>
      </c>
      <c r="K50" s="56">
        <f t="shared" si="23"/>
        <v>754.63499999999999</v>
      </c>
      <c r="L50" s="248"/>
      <c r="XEP50">
        <f t="shared" si="24"/>
        <v>4095.7862499999992</v>
      </c>
    </row>
    <row r="51" spans="1:12 16370:16370" x14ac:dyDescent="0.25">
      <c r="A51" s="49"/>
      <c r="B51" s="50"/>
      <c r="C51" s="50"/>
      <c r="D51" s="50"/>
      <c r="E51" s="50"/>
      <c r="F51" s="50"/>
      <c r="G51" s="56"/>
      <c r="H51" s="281"/>
      <c r="I51" s="282"/>
      <c r="J51" s="283"/>
      <c r="K51" s="65"/>
      <c r="L51" s="248"/>
    </row>
    <row r="52" spans="1:12 16370:16370" x14ac:dyDescent="0.25">
      <c r="A52" s="49" t="s">
        <v>765</v>
      </c>
      <c r="B52" s="50" t="s">
        <v>1693</v>
      </c>
      <c r="C52" s="51">
        <v>9.3000000000000007</v>
      </c>
      <c r="D52" s="50">
        <v>6.21</v>
      </c>
      <c r="E52" s="116">
        <v>503.35500000000002</v>
      </c>
      <c r="F52" s="53">
        <f t="shared" ref="F52:F60" si="25">E52*50%</f>
        <v>251.67750000000001</v>
      </c>
      <c r="G52" s="41">
        <f t="shared" ref="G52:G60" si="26">E52+F52</f>
        <v>755.03250000000003</v>
      </c>
      <c r="H52" s="53">
        <f t="shared" ref="H52:H60" si="27">G52-(G52*25%)</f>
        <v>566.27437499999996</v>
      </c>
      <c r="I52" s="54">
        <f t="shared" ref="I52:I60" si="28">E52*50%</f>
        <v>251.67750000000001</v>
      </c>
      <c r="J52" s="55">
        <f t="shared" ref="J52:J60" si="29">E52+(I52*2)</f>
        <v>1006.71</v>
      </c>
      <c r="K52" s="56">
        <f t="shared" ref="K52:K60" si="30">J52-(J52*25%)</f>
        <v>755.03250000000003</v>
      </c>
      <c r="L52" s="248"/>
      <c r="XEP52">
        <f>SUM(K52:XEO52)</f>
        <v>755.03250000000003</v>
      </c>
    </row>
    <row r="53" spans="1:12 16370:16370" x14ac:dyDescent="0.25">
      <c r="A53" s="49" t="s">
        <v>766</v>
      </c>
      <c r="B53" s="50" t="s">
        <v>1965</v>
      </c>
      <c r="C53" s="50"/>
      <c r="D53" s="51">
        <v>8.1</v>
      </c>
      <c r="E53" s="116">
        <v>503.35500000000002</v>
      </c>
      <c r="F53" s="53">
        <f t="shared" si="25"/>
        <v>251.67750000000001</v>
      </c>
      <c r="G53" s="41">
        <f t="shared" si="26"/>
        <v>755.03250000000003</v>
      </c>
      <c r="H53" s="53">
        <f t="shared" si="27"/>
        <v>566.27437499999996</v>
      </c>
      <c r="I53" s="54">
        <f t="shared" si="28"/>
        <v>251.67750000000001</v>
      </c>
      <c r="J53" s="55">
        <f t="shared" si="29"/>
        <v>1006.71</v>
      </c>
      <c r="K53" s="56">
        <f t="shared" si="30"/>
        <v>755.03250000000003</v>
      </c>
      <c r="L53" s="248"/>
      <c r="XEP53" s="7">
        <f>SUM(C53:XEO53)</f>
        <v>4097.859375</v>
      </c>
    </row>
    <row r="54" spans="1:12 16370:16370" x14ac:dyDescent="0.25">
      <c r="A54" s="49" t="s">
        <v>767</v>
      </c>
      <c r="B54" s="50" t="s">
        <v>1965</v>
      </c>
      <c r="C54" s="50"/>
      <c r="D54" s="50">
        <v>8.1</v>
      </c>
      <c r="E54" s="116">
        <v>503.35500000000002</v>
      </c>
      <c r="F54" s="53">
        <f t="shared" si="25"/>
        <v>251.67750000000001</v>
      </c>
      <c r="G54" s="41">
        <f t="shared" si="26"/>
        <v>755.03250000000003</v>
      </c>
      <c r="H54" s="53">
        <f t="shared" si="27"/>
        <v>566.27437499999996</v>
      </c>
      <c r="I54" s="54">
        <f t="shared" si="28"/>
        <v>251.67750000000001</v>
      </c>
      <c r="J54" s="55">
        <f t="shared" si="29"/>
        <v>1006.71</v>
      </c>
      <c r="K54" s="56">
        <f t="shared" si="30"/>
        <v>755.03250000000003</v>
      </c>
      <c r="L54" s="248"/>
      <c r="XEP54">
        <f>SUM(C54:XEO54)</f>
        <v>4097.859375</v>
      </c>
    </row>
    <row r="55" spans="1:12 16370:16370" x14ac:dyDescent="0.25">
      <c r="A55" s="49" t="s">
        <v>768</v>
      </c>
      <c r="B55" s="50" t="s">
        <v>1693</v>
      </c>
      <c r="C55" s="51"/>
      <c r="D55" s="50">
        <v>8.1</v>
      </c>
      <c r="E55" s="116">
        <v>503.35500000000002</v>
      </c>
      <c r="F55" s="53">
        <f t="shared" si="25"/>
        <v>251.67750000000001</v>
      </c>
      <c r="G55" s="41">
        <f t="shared" si="26"/>
        <v>755.03250000000003</v>
      </c>
      <c r="H55" s="53">
        <f t="shared" si="27"/>
        <v>566.27437499999996</v>
      </c>
      <c r="I55" s="54">
        <f t="shared" si="28"/>
        <v>251.67750000000001</v>
      </c>
      <c r="J55" s="55">
        <f t="shared" si="29"/>
        <v>1006.71</v>
      </c>
      <c r="K55" s="56">
        <f t="shared" si="30"/>
        <v>755.03250000000003</v>
      </c>
      <c r="L55" s="248"/>
      <c r="XEP55">
        <f>SUM(C55:XEO55)</f>
        <v>4097.859375</v>
      </c>
    </row>
    <row r="56" spans="1:12 16370:16370" x14ac:dyDescent="0.25">
      <c r="A56" s="49"/>
      <c r="B56" s="50"/>
      <c r="C56" s="51"/>
      <c r="D56" s="50"/>
      <c r="E56" s="116"/>
      <c r="F56" s="53"/>
      <c r="G56" s="41"/>
      <c r="H56" s="53"/>
      <c r="I56" s="54"/>
      <c r="J56" s="55"/>
      <c r="K56" s="56"/>
      <c r="L56" s="248"/>
    </row>
    <row r="57" spans="1:12 16370:16370" x14ac:dyDescent="0.25">
      <c r="A57" s="49" t="s">
        <v>769</v>
      </c>
      <c r="B57" s="50" t="s">
        <v>1726</v>
      </c>
      <c r="C57" s="51">
        <v>17.91</v>
      </c>
      <c r="D57" s="51">
        <v>7.3</v>
      </c>
      <c r="E57" s="116">
        <v>513.55999999999995</v>
      </c>
      <c r="F57" s="53">
        <f t="shared" si="25"/>
        <v>256.77999999999997</v>
      </c>
      <c r="G57" s="41">
        <f t="shared" si="26"/>
        <v>770.33999999999992</v>
      </c>
      <c r="H57" s="53">
        <f t="shared" si="27"/>
        <v>577.75499999999988</v>
      </c>
      <c r="I57" s="54">
        <f t="shared" si="28"/>
        <v>256.77999999999997</v>
      </c>
      <c r="J57" s="55">
        <f t="shared" si="29"/>
        <v>1027.1199999999999</v>
      </c>
      <c r="K57" s="56">
        <f t="shared" si="30"/>
        <v>770.33999999999992</v>
      </c>
      <c r="L57" s="248"/>
      <c r="XEP57" s="7">
        <f>SUM(C57:XEO57)</f>
        <v>4197.8849999999993</v>
      </c>
    </row>
    <row r="58" spans="1:12 16370:16370" x14ac:dyDescent="0.25">
      <c r="A58" s="49" t="s">
        <v>770</v>
      </c>
      <c r="B58" s="50" t="s">
        <v>1725</v>
      </c>
      <c r="C58" s="50"/>
      <c r="D58" s="51">
        <v>7.3</v>
      </c>
      <c r="E58" s="116">
        <v>513.55999999999995</v>
      </c>
      <c r="F58" s="53">
        <f t="shared" si="25"/>
        <v>256.77999999999997</v>
      </c>
      <c r="G58" s="41">
        <f t="shared" si="26"/>
        <v>770.33999999999992</v>
      </c>
      <c r="H58" s="53">
        <f t="shared" si="27"/>
        <v>577.75499999999988</v>
      </c>
      <c r="I58" s="54">
        <f t="shared" si="28"/>
        <v>256.77999999999997</v>
      </c>
      <c r="J58" s="55">
        <f t="shared" si="29"/>
        <v>1027.1199999999999</v>
      </c>
      <c r="K58" s="56">
        <f t="shared" si="30"/>
        <v>770.33999999999992</v>
      </c>
      <c r="L58" s="248"/>
      <c r="XEP58">
        <f>SUM(K58:XEO58)</f>
        <v>770.33999999999992</v>
      </c>
    </row>
    <row r="59" spans="1:12 16370:16370" x14ac:dyDescent="0.25">
      <c r="A59" s="49" t="s">
        <v>771</v>
      </c>
      <c r="B59" s="50" t="s">
        <v>1725</v>
      </c>
      <c r="C59" s="50"/>
      <c r="D59" s="51">
        <v>7.3</v>
      </c>
      <c r="E59" s="116">
        <v>513.55999999999995</v>
      </c>
      <c r="F59" s="53">
        <f t="shared" si="25"/>
        <v>256.77999999999997</v>
      </c>
      <c r="G59" s="41">
        <f t="shared" si="26"/>
        <v>770.33999999999992</v>
      </c>
      <c r="H59" s="53">
        <f t="shared" si="27"/>
        <v>577.75499999999988</v>
      </c>
      <c r="I59" s="54">
        <f t="shared" si="28"/>
        <v>256.77999999999997</v>
      </c>
      <c r="J59" s="55">
        <f t="shared" si="29"/>
        <v>1027.1199999999999</v>
      </c>
      <c r="K59" s="56">
        <f t="shared" si="30"/>
        <v>770.33999999999992</v>
      </c>
      <c r="L59" s="248"/>
      <c r="XEP59" s="7">
        <f>SUM(C59:XEO59)</f>
        <v>4179.9749999999995</v>
      </c>
    </row>
    <row r="60" spans="1:12 16370:16370" x14ac:dyDescent="0.25">
      <c r="A60" s="49" t="s">
        <v>772</v>
      </c>
      <c r="B60" s="50" t="s">
        <v>1670</v>
      </c>
      <c r="C60" s="50"/>
      <c r="D60" s="51">
        <v>7.3</v>
      </c>
      <c r="E60" s="116">
        <v>513.54999999999995</v>
      </c>
      <c r="F60" s="53">
        <f t="shared" si="25"/>
        <v>256.77499999999998</v>
      </c>
      <c r="G60" s="41">
        <f t="shared" si="26"/>
        <v>770.32499999999993</v>
      </c>
      <c r="H60" s="53">
        <f t="shared" si="27"/>
        <v>577.74374999999998</v>
      </c>
      <c r="I60" s="54">
        <f t="shared" si="28"/>
        <v>256.77499999999998</v>
      </c>
      <c r="J60" s="55">
        <f t="shared" si="29"/>
        <v>1027.0999999999999</v>
      </c>
      <c r="K60" s="56">
        <f t="shared" si="30"/>
        <v>770.32499999999993</v>
      </c>
      <c r="L60" s="248"/>
      <c r="XEP60">
        <f>SUM(C60:XEO60)</f>
        <v>4179.8937500000002</v>
      </c>
    </row>
    <row r="61" spans="1:12 16370:16370" x14ac:dyDescent="0.25">
      <c r="A61" s="49"/>
      <c r="B61" s="50"/>
      <c r="C61" s="50"/>
      <c r="D61" s="50"/>
      <c r="E61" s="50"/>
      <c r="F61" s="116"/>
      <c r="G61" s="56"/>
      <c r="H61" s="281"/>
      <c r="I61" s="282"/>
      <c r="J61" s="203"/>
      <c r="K61" s="65"/>
      <c r="L61" s="248"/>
    </row>
    <row r="62" spans="1:12 16370:16370" x14ac:dyDescent="0.25">
      <c r="A62" s="65"/>
      <c r="B62" s="229" t="s">
        <v>1610</v>
      </c>
      <c r="C62" s="65"/>
      <c r="D62" s="65"/>
      <c r="E62" s="65"/>
      <c r="F62" s="65"/>
      <c r="G62" s="56"/>
      <c r="H62" s="281"/>
      <c r="I62" s="288"/>
      <c r="J62" s="289"/>
      <c r="K62" s="65"/>
      <c r="L62" s="248"/>
      <c r="XEP62">
        <f>SUM(C62:XEO62)</f>
        <v>0</v>
      </c>
    </row>
    <row r="63" spans="1:12 16370:16370" x14ac:dyDescent="0.25">
      <c r="A63" s="49" t="s">
        <v>721</v>
      </c>
      <c r="B63" s="50" t="s">
        <v>1674</v>
      </c>
      <c r="C63" s="47">
        <v>6.25</v>
      </c>
      <c r="D63" s="47">
        <v>6.25</v>
      </c>
      <c r="E63" s="116">
        <v>490.96</v>
      </c>
      <c r="F63" s="53">
        <f t="shared" ref="F63:F68" si="31">E63*50%</f>
        <v>245.48</v>
      </c>
      <c r="G63" s="41">
        <f t="shared" ref="G63:G68" si="32">E63+F63</f>
        <v>736.43999999999994</v>
      </c>
      <c r="H63" s="53">
        <f t="shared" ref="H63:H68" si="33">G63-(G63*25%)</f>
        <v>552.32999999999993</v>
      </c>
      <c r="I63" s="54">
        <f t="shared" ref="I63:I68" si="34">E63*50%</f>
        <v>245.48</v>
      </c>
      <c r="J63" s="55">
        <f t="shared" ref="J63:J68" si="35">E63+(I63*2)</f>
        <v>981.92</v>
      </c>
      <c r="K63" s="56">
        <f t="shared" ref="K63:K68" si="36">J63-(J63*25%)</f>
        <v>736.43999999999994</v>
      </c>
      <c r="L63" s="248"/>
    </row>
    <row r="64" spans="1:12 16370:16370" x14ac:dyDescent="0.25">
      <c r="A64" s="49" t="s">
        <v>722</v>
      </c>
      <c r="B64" s="50" t="s">
        <v>1973</v>
      </c>
      <c r="C64" s="47">
        <v>12.5</v>
      </c>
      <c r="D64" s="47">
        <v>12.5</v>
      </c>
      <c r="E64" s="116">
        <v>573.83000000000004</v>
      </c>
      <c r="F64" s="53">
        <f t="shared" si="31"/>
        <v>286.91500000000002</v>
      </c>
      <c r="G64" s="41">
        <f t="shared" si="32"/>
        <v>860.74500000000012</v>
      </c>
      <c r="H64" s="53">
        <f t="shared" si="33"/>
        <v>645.55875000000015</v>
      </c>
      <c r="I64" s="54">
        <f t="shared" si="34"/>
        <v>286.91500000000002</v>
      </c>
      <c r="J64" s="55">
        <f t="shared" si="35"/>
        <v>1147.6600000000001</v>
      </c>
      <c r="K64" s="56">
        <f t="shared" si="36"/>
        <v>860.74500000000012</v>
      </c>
      <c r="L64" s="248"/>
    </row>
    <row r="65" spans="1:12" x14ac:dyDescent="0.25">
      <c r="A65" s="49" t="s">
        <v>723</v>
      </c>
      <c r="B65" s="50" t="s">
        <v>1565</v>
      </c>
      <c r="C65" s="47">
        <v>12.5</v>
      </c>
      <c r="D65" s="47">
        <v>12.5</v>
      </c>
      <c r="E65" s="116">
        <v>334.14499999999998</v>
      </c>
      <c r="F65" s="53">
        <f t="shared" si="31"/>
        <v>167.07249999999999</v>
      </c>
      <c r="G65" s="41">
        <f t="shared" si="32"/>
        <v>501.21749999999997</v>
      </c>
      <c r="H65" s="53">
        <f t="shared" si="33"/>
        <v>375.91312499999998</v>
      </c>
      <c r="I65" s="54">
        <f t="shared" si="34"/>
        <v>167.07249999999999</v>
      </c>
      <c r="J65" s="55">
        <f t="shared" si="35"/>
        <v>668.29</v>
      </c>
      <c r="K65" s="56">
        <f t="shared" si="36"/>
        <v>501.21749999999997</v>
      </c>
      <c r="L65" s="248"/>
    </row>
    <row r="66" spans="1:12" x14ac:dyDescent="0.25">
      <c r="A66" s="49" t="s">
        <v>724</v>
      </c>
      <c r="B66" s="50" t="s">
        <v>1896</v>
      </c>
      <c r="C66" s="235"/>
      <c r="D66" s="235"/>
      <c r="E66" s="116">
        <v>334.15</v>
      </c>
      <c r="F66" s="53">
        <f t="shared" si="31"/>
        <v>167.07499999999999</v>
      </c>
      <c r="G66" s="41">
        <f t="shared" si="32"/>
        <v>501.22499999999997</v>
      </c>
      <c r="H66" s="53">
        <f t="shared" si="33"/>
        <v>375.91874999999999</v>
      </c>
      <c r="I66" s="54">
        <f t="shared" si="34"/>
        <v>167.07499999999999</v>
      </c>
      <c r="J66" s="55">
        <f t="shared" si="35"/>
        <v>668.3</v>
      </c>
      <c r="K66" s="56">
        <f t="shared" si="36"/>
        <v>501.22499999999997</v>
      </c>
      <c r="L66" s="248"/>
    </row>
    <row r="67" spans="1:12" x14ac:dyDescent="0.25">
      <c r="A67" s="49" t="s">
        <v>725</v>
      </c>
      <c r="B67" s="50" t="s">
        <v>1973</v>
      </c>
      <c r="C67" s="235"/>
      <c r="D67" s="235"/>
      <c r="E67" s="116">
        <v>573.83000000000004</v>
      </c>
      <c r="F67" s="53">
        <f t="shared" si="31"/>
        <v>286.91500000000002</v>
      </c>
      <c r="G67" s="41">
        <f t="shared" si="32"/>
        <v>860.74500000000012</v>
      </c>
      <c r="H67" s="53">
        <f t="shared" si="33"/>
        <v>645.55875000000015</v>
      </c>
      <c r="I67" s="54">
        <f t="shared" si="34"/>
        <v>286.91500000000002</v>
      </c>
      <c r="J67" s="55">
        <f t="shared" si="35"/>
        <v>1147.6600000000001</v>
      </c>
      <c r="K67" s="56">
        <f t="shared" si="36"/>
        <v>860.74500000000012</v>
      </c>
      <c r="L67" s="248"/>
    </row>
    <row r="68" spans="1:12" x14ac:dyDescent="0.25">
      <c r="A68" s="49" t="s">
        <v>726</v>
      </c>
      <c r="B68" s="50" t="s">
        <v>1851</v>
      </c>
      <c r="C68" s="47">
        <v>6.25</v>
      </c>
      <c r="D68" s="47">
        <v>6.25</v>
      </c>
      <c r="E68" s="116">
        <v>329.06</v>
      </c>
      <c r="F68" s="53">
        <f t="shared" si="31"/>
        <v>164.53</v>
      </c>
      <c r="G68" s="41">
        <f t="shared" si="32"/>
        <v>493.59000000000003</v>
      </c>
      <c r="H68" s="53">
        <f t="shared" si="33"/>
        <v>370.1925</v>
      </c>
      <c r="I68" s="54">
        <f t="shared" si="34"/>
        <v>164.53</v>
      </c>
      <c r="J68" s="55">
        <f t="shared" si="35"/>
        <v>658.12</v>
      </c>
      <c r="K68" s="56">
        <f t="shared" si="36"/>
        <v>493.59000000000003</v>
      </c>
      <c r="L68" s="248"/>
    </row>
    <row r="69" spans="1:12" x14ac:dyDescent="0.25">
      <c r="A69" s="49"/>
      <c r="B69" s="50"/>
      <c r="C69" s="47"/>
      <c r="D69" s="47"/>
      <c r="E69" s="116"/>
      <c r="F69" s="56"/>
      <c r="G69" s="56"/>
      <c r="H69" s="281"/>
      <c r="I69" s="282"/>
      <c r="J69" s="283"/>
      <c r="K69" s="65"/>
      <c r="L69" s="248"/>
    </row>
    <row r="70" spans="1:12" x14ac:dyDescent="0.25">
      <c r="A70" s="49" t="s">
        <v>729</v>
      </c>
      <c r="B70" s="50" t="s">
        <v>2051</v>
      </c>
      <c r="C70" s="47">
        <v>12.5</v>
      </c>
      <c r="D70" s="47">
        <v>12.5</v>
      </c>
      <c r="E70" s="116">
        <v>409.48</v>
      </c>
      <c r="F70" s="53">
        <f t="shared" ref="F70:F73" si="37">E70*50%</f>
        <v>204.74</v>
      </c>
      <c r="G70" s="41">
        <f t="shared" ref="G70:G73" si="38">E70+F70</f>
        <v>614.22</v>
      </c>
      <c r="H70" s="53">
        <f t="shared" ref="H70:H73" si="39">G70-(G70*25%)</f>
        <v>460.66500000000002</v>
      </c>
      <c r="I70" s="54">
        <f t="shared" ref="I70:I73" si="40">E70*50%</f>
        <v>204.74</v>
      </c>
      <c r="J70" s="55">
        <f t="shared" ref="J70:J73" si="41">E70+(I70*2)</f>
        <v>818.96</v>
      </c>
      <c r="K70" s="56">
        <f t="shared" ref="K70:K73" si="42">J70-(J70*25%)</f>
        <v>614.22</v>
      </c>
      <c r="L70" s="248"/>
    </row>
    <row r="71" spans="1:12" x14ac:dyDescent="0.25">
      <c r="A71" s="49" t="s">
        <v>730</v>
      </c>
      <c r="B71" s="50" t="s">
        <v>1023</v>
      </c>
      <c r="C71" s="47">
        <v>12.5</v>
      </c>
      <c r="D71" s="47">
        <v>12.5</v>
      </c>
      <c r="E71" s="116">
        <v>411.60500000000002</v>
      </c>
      <c r="F71" s="53">
        <f t="shared" si="37"/>
        <v>205.80250000000001</v>
      </c>
      <c r="G71" s="41">
        <f t="shared" si="38"/>
        <v>617.40750000000003</v>
      </c>
      <c r="H71" s="53">
        <f t="shared" si="39"/>
        <v>463.05562500000002</v>
      </c>
      <c r="I71" s="54">
        <f t="shared" si="40"/>
        <v>205.80250000000001</v>
      </c>
      <c r="J71" s="55">
        <f t="shared" si="41"/>
        <v>823.21</v>
      </c>
      <c r="K71" s="56">
        <f t="shared" si="42"/>
        <v>617.40750000000003</v>
      </c>
      <c r="L71" s="248"/>
    </row>
    <row r="72" spans="1:12" x14ac:dyDescent="0.25">
      <c r="A72" s="49" t="s">
        <v>731</v>
      </c>
      <c r="B72" s="50" t="s">
        <v>1634</v>
      </c>
      <c r="C72" s="235"/>
      <c r="D72" s="235"/>
      <c r="E72" s="116">
        <v>411.61</v>
      </c>
      <c r="F72" s="53">
        <f t="shared" si="37"/>
        <v>205.80500000000001</v>
      </c>
      <c r="G72" s="41">
        <f t="shared" si="38"/>
        <v>617.41499999999996</v>
      </c>
      <c r="H72" s="53">
        <f t="shared" si="39"/>
        <v>463.06124999999997</v>
      </c>
      <c r="I72" s="54">
        <f t="shared" si="40"/>
        <v>205.80500000000001</v>
      </c>
      <c r="J72" s="55">
        <f t="shared" si="41"/>
        <v>823.22</v>
      </c>
      <c r="K72" s="56">
        <f t="shared" si="42"/>
        <v>617.41499999999996</v>
      </c>
      <c r="L72" s="248"/>
    </row>
    <row r="73" spans="1:12" x14ac:dyDescent="0.25">
      <c r="A73" s="49" t="s">
        <v>732</v>
      </c>
      <c r="B73" s="50" t="s">
        <v>2051</v>
      </c>
      <c r="C73" s="235"/>
      <c r="D73" s="235"/>
      <c r="E73" s="116">
        <v>409.48</v>
      </c>
      <c r="F73" s="53">
        <f t="shared" si="37"/>
        <v>204.74</v>
      </c>
      <c r="G73" s="41">
        <f t="shared" si="38"/>
        <v>614.22</v>
      </c>
      <c r="H73" s="53">
        <f t="shared" si="39"/>
        <v>460.66500000000002</v>
      </c>
      <c r="I73" s="54">
        <f t="shared" si="40"/>
        <v>204.74</v>
      </c>
      <c r="J73" s="55">
        <f t="shared" si="41"/>
        <v>818.96</v>
      </c>
      <c r="K73" s="56">
        <f t="shared" si="42"/>
        <v>614.22</v>
      </c>
      <c r="L73" s="248"/>
    </row>
    <row r="74" spans="1:12" x14ac:dyDescent="0.25">
      <c r="A74" s="49"/>
      <c r="B74" s="50"/>
      <c r="C74" s="47"/>
      <c r="D74" s="47"/>
      <c r="E74" s="116"/>
      <c r="F74" s="56"/>
      <c r="G74" s="56"/>
      <c r="H74" s="281"/>
      <c r="I74" s="282"/>
      <c r="J74" s="283"/>
      <c r="K74" s="65"/>
      <c r="L74" s="248"/>
    </row>
    <row r="75" spans="1:12" x14ac:dyDescent="0.25">
      <c r="A75" s="49" t="s">
        <v>741</v>
      </c>
      <c r="B75" s="50" t="s">
        <v>2203</v>
      </c>
      <c r="C75" s="47">
        <v>6.25</v>
      </c>
      <c r="D75" s="47">
        <v>6.25</v>
      </c>
      <c r="E75" s="116">
        <v>332.33</v>
      </c>
      <c r="F75" s="53">
        <f t="shared" ref="F75:F78" si="43">E75*50%</f>
        <v>166.16499999999999</v>
      </c>
      <c r="G75" s="41">
        <f t="shared" ref="G75:G78" si="44">E75+F75</f>
        <v>498.495</v>
      </c>
      <c r="H75" s="53">
        <f t="shared" ref="H75:H78" si="45">G75-(G75*25%)</f>
        <v>373.87125000000003</v>
      </c>
      <c r="I75" s="54">
        <f t="shared" ref="I75:I78" si="46">E75*50%</f>
        <v>166.16499999999999</v>
      </c>
      <c r="J75" s="55">
        <f t="shared" ref="J75:J78" si="47">E75+(I75*2)</f>
        <v>664.66</v>
      </c>
      <c r="K75" s="56">
        <f t="shared" ref="K75:K78" si="48">J75-(J75*25%)</f>
        <v>498.495</v>
      </c>
      <c r="L75" s="248"/>
    </row>
    <row r="76" spans="1:12" x14ac:dyDescent="0.25">
      <c r="A76" s="49" t="s">
        <v>742</v>
      </c>
      <c r="B76" s="50" t="s">
        <v>1024</v>
      </c>
      <c r="C76" s="47">
        <v>12.5</v>
      </c>
      <c r="D76" s="47">
        <v>12.5</v>
      </c>
      <c r="E76" s="116">
        <v>410.16500000000002</v>
      </c>
      <c r="F76" s="53">
        <f t="shared" si="43"/>
        <v>205.08250000000001</v>
      </c>
      <c r="G76" s="41">
        <f t="shared" si="44"/>
        <v>615.24750000000006</v>
      </c>
      <c r="H76" s="53">
        <f t="shared" si="45"/>
        <v>461.43562500000007</v>
      </c>
      <c r="I76" s="54">
        <f t="shared" si="46"/>
        <v>205.08250000000001</v>
      </c>
      <c r="J76" s="55">
        <f t="shared" si="47"/>
        <v>820.33</v>
      </c>
      <c r="K76" s="56">
        <f t="shared" si="48"/>
        <v>615.24750000000006</v>
      </c>
      <c r="L76" s="248"/>
    </row>
    <row r="77" spans="1:12" x14ac:dyDescent="0.25">
      <c r="A77" s="49" t="s">
        <v>743</v>
      </c>
      <c r="B77" s="50" t="s">
        <v>1635</v>
      </c>
      <c r="C77" s="235"/>
      <c r="D77" s="235"/>
      <c r="E77" s="116">
        <v>410.16500000000002</v>
      </c>
      <c r="F77" s="53">
        <f t="shared" si="43"/>
        <v>205.08250000000001</v>
      </c>
      <c r="G77" s="41">
        <f t="shared" si="44"/>
        <v>615.24750000000006</v>
      </c>
      <c r="H77" s="53">
        <f t="shared" si="45"/>
        <v>461.43562500000007</v>
      </c>
      <c r="I77" s="54">
        <f t="shared" si="46"/>
        <v>205.08250000000001</v>
      </c>
      <c r="J77" s="55">
        <f t="shared" si="47"/>
        <v>820.33</v>
      </c>
      <c r="K77" s="56">
        <f t="shared" si="48"/>
        <v>615.24750000000006</v>
      </c>
      <c r="L77" s="248"/>
    </row>
    <row r="78" spans="1:12" x14ac:dyDescent="0.25">
      <c r="A78" s="49" t="s">
        <v>744</v>
      </c>
      <c r="B78" s="50" t="s">
        <v>2203</v>
      </c>
      <c r="C78" s="47">
        <v>6.25</v>
      </c>
      <c r="D78" s="47">
        <v>6.25</v>
      </c>
      <c r="E78" s="116">
        <v>491.53</v>
      </c>
      <c r="F78" s="53">
        <f t="shared" si="43"/>
        <v>245.76499999999999</v>
      </c>
      <c r="G78" s="41">
        <f t="shared" si="44"/>
        <v>737.29499999999996</v>
      </c>
      <c r="H78" s="53">
        <f t="shared" si="45"/>
        <v>552.97124999999994</v>
      </c>
      <c r="I78" s="54">
        <f t="shared" si="46"/>
        <v>245.76499999999999</v>
      </c>
      <c r="J78" s="55">
        <f t="shared" si="47"/>
        <v>983.06</v>
      </c>
      <c r="K78" s="56">
        <f t="shared" si="48"/>
        <v>737.29499999999996</v>
      </c>
      <c r="L78" s="248"/>
    </row>
    <row r="79" spans="1:12" x14ac:dyDescent="0.25">
      <c r="A79" s="49"/>
      <c r="B79" s="50"/>
      <c r="C79" s="47"/>
      <c r="D79" s="47"/>
      <c r="E79" s="116"/>
      <c r="F79" s="56"/>
      <c r="G79" s="56"/>
      <c r="H79" s="281"/>
      <c r="I79" s="282"/>
      <c r="J79" s="283"/>
      <c r="K79" s="65"/>
      <c r="L79" s="248"/>
    </row>
    <row r="80" spans="1:12" x14ac:dyDescent="0.25">
      <c r="A80" s="49" t="s">
        <v>749</v>
      </c>
      <c r="B80" s="50" t="s">
        <v>1025</v>
      </c>
      <c r="C80" s="47">
        <v>12.5</v>
      </c>
      <c r="D80" s="47">
        <v>12.5</v>
      </c>
      <c r="E80" s="116">
        <v>409.23</v>
      </c>
      <c r="F80" s="53">
        <f t="shared" ref="F80:F85" si="49">E80*50%</f>
        <v>204.61500000000001</v>
      </c>
      <c r="G80" s="41">
        <f t="shared" ref="G80:G85" si="50">E80+F80</f>
        <v>613.84500000000003</v>
      </c>
      <c r="H80" s="53">
        <f t="shared" ref="H80:H85" si="51">G80-(G80*25%)</f>
        <v>460.38375000000002</v>
      </c>
      <c r="I80" s="54">
        <f t="shared" ref="I80:I85" si="52">E80*50%</f>
        <v>204.61500000000001</v>
      </c>
      <c r="J80" s="55">
        <f t="shared" ref="J80:J85" si="53">E80+(I80*2)</f>
        <v>818.46</v>
      </c>
      <c r="K80" s="56">
        <f t="shared" ref="K80:K85" si="54">J80-(J80*25%)</f>
        <v>613.84500000000003</v>
      </c>
      <c r="L80" s="248"/>
    </row>
    <row r="81" spans="1:12" x14ac:dyDescent="0.25">
      <c r="A81" s="49" t="s">
        <v>750</v>
      </c>
      <c r="B81" s="50" t="s">
        <v>1368</v>
      </c>
      <c r="C81" s="47">
        <v>12.5</v>
      </c>
      <c r="D81" s="47">
        <v>12.5</v>
      </c>
      <c r="E81" s="116">
        <v>613.84</v>
      </c>
      <c r="F81" s="53">
        <f t="shared" si="49"/>
        <v>306.92</v>
      </c>
      <c r="G81" s="41">
        <f t="shared" si="50"/>
        <v>920.76</v>
      </c>
      <c r="H81" s="53">
        <f t="shared" si="51"/>
        <v>690.56999999999994</v>
      </c>
      <c r="I81" s="54">
        <f t="shared" si="52"/>
        <v>306.92</v>
      </c>
      <c r="J81" s="55">
        <f t="shared" si="53"/>
        <v>1227.68</v>
      </c>
      <c r="K81" s="56">
        <f t="shared" si="54"/>
        <v>920.76</v>
      </c>
      <c r="L81" s="248"/>
    </row>
    <row r="82" spans="1:12" x14ac:dyDescent="0.25">
      <c r="A82" s="49" t="s">
        <v>751</v>
      </c>
      <c r="B82" s="50" t="s">
        <v>1784</v>
      </c>
      <c r="C82" s="47">
        <v>6.75</v>
      </c>
      <c r="D82" s="47">
        <v>6.75</v>
      </c>
      <c r="E82" s="116">
        <v>483.17</v>
      </c>
      <c r="F82" s="53">
        <f t="shared" si="49"/>
        <v>241.58500000000001</v>
      </c>
      <c r="G82" s="41">
        <f t="shared" si="50"/>
        <v>724.755</v>
      </c>
      <c r="H82" s="53">
        <f t="shared" si="51"/>
        <v>543.56624999999997</v>
      </c>
      <c r="I82" s="54">
        <f t="shared" si="52"/>
        <v>241.58500000000001</v>
      </c>
      <c r="J82" s="55">
        <f t="shared" si="53"/>
        <v>966.34</v>
      </c>
      <c r="K82" s="56">
        <f t="shared" si="54"/>
        <v>724.755</v>
      </c>
      <c r="L82" s="248"/>
    </row>
    <row r="83" spans="1:12" x14ac:dyDescent="0.25">
      <c r="A83" s="49" t="s">
        <v>752</v>
      </c>
      <c r="B83" s="290" t="s">
        <v>1368</v>
      </c>
      <c r="C83" s="235"/>
      <c r="D83" s="235"/>
      <c r="E83" s="116">
        <v>613.84</v>
      </c>
      <c r="F83" s="53">
        <f t="shared" si="49"/>
        <v>306.92</v>
      </c>
      <c r="G83" s="41">
        <f t="shared" si="50"/>
        <v>920.76</v>
      </c>
      <c r="H83" s="53">
        <f t="shared" si="51"/>
        <v>690.56999999999994</v>
      </c>
      <c r="I83" s="54">
        <f t="shared" si="52"/>
        <v>306.92</v>
      </c>
      <c r="J83" s="55">
        <f t="shared" si="53"/>
        <v>1227.68</v>
      </c>
      <c r="K83" s="56">
        <f t="shared" si="54"/>
        <v>920.76</v>
      </c>
      <c r="L83" s="248"/>
    </row>
    <row r="84" spans="1:12" x14ac:dyDescent="0.25">
      <c r="A84" s="49" t="s">
        <v>753</v>
      </c>
      <c r="B84" s="290" t="s">
        <v>1918</v>
      </c>
      <c r="C84" s="47">
        <v>6.25</v>
      </c>
      <c r="D84" s="47">
        <v>6.25</v>
      </c>
      <c r="E84" s="116">
        <v>409.22500000000002</v>
      </c>
      <c r="F84" s="53">
        <f t="shared" si="49"/>
        <v>204.61250000000001</v>
      </c>
      <c r="G84" s="41">
        <f t="shared" si="50"/>
        <v>613.83750000000009</v>
      </c>
      <c r="H84" s="53">
        <f t="shared" si="51"/>
        <v>460.37812500000007</v>
      </c>
      <c r="I84" s="54">
        <f t="shared" si="52"/>
        <v>204.61250000000001</v>
      </c>
      <c r="J84" s="55">
        <f t="shared" si="53"/>
        <v>818.45</v>
      </c>
      <c r="K84" s="56">
        <f t="shared" si="54"/>
        <v>613.83750000000009</v>
      </c>
      <c r="L84" s="248"/>
    </row>
    <row r="85" spans="1:12" x14ac:dyDescent="0.25">
      <c r="A85" s="49" t="s">
        <v>754</v>
      </c>
      <c r="B85" s="50" t="s">
        <v>1636</v>
      </c>
      <c r="C85" s="235"/>
      <c r="D85" s="235"/>
      <c r="E85" s="116">
        <v>409.23</v>
      </c>
      <c r="F85" s="56">
        <f t="shared" si="49"/>
        <v>204.61500000000001</v>
      </c>
      <c r="G85" s="56">
        <f t="shared" si="50"/>
        <v>613.84500000000003</v>
      </c>
      <c r="H85" s="58">
        <f t="shared" si="51"/>
        <v>460.38375000000002</v>
      </c>
      <c r="I85" s="58">
        <f t="shared" si="52"/>
        <v>204.61500000000001</v>
      </c>
      <c r="J85" s="169">
        <f t="shared" si="53"/>
        <v>818.46</v>
      </c>
      <c r="K85" s="300">
        <f t="shared" si="54"/>
        <v>613.84500000000003</v>
      </c>
      <c r="L85" s="248"/>
    </row>
    <row r="86" spans="1:12" x14ac:dyDescent="0.25">
      <c r="A86" s="49"/>
      <c r="B86" s="50"/>
      <c r="C86" s="47"/>
      <c r="D86" s="47"/>
      <c r="E86" s="116"/>
      <c r="F86" s="56"/>
      <c r="G86" s="56"/>
      <c r="H86" s="281"/>
      <c r="I86" s="282"/>
      <c r="J86" s="283"/>
      <c r="K86" s="209"/>
      <c r="L86" s="248"/>
    </row>
    <row r="87" spans="1:12" x14ac:dyDescent="0.25">
      <c r="A87" s="49" t="s">
        <v>757</v>
      </c>
      <c r="B87" s="50" t="s">
        <v>1667</v>
      </c>
      <c r="C87" s="47">
        <v>6.25</v>
      </c>
      <c r="D87" s="47">
        <v>6.25</v>
      </c>
      <c r="E87" s="116">
        <v>491.25</v>
      </c>
      <c r="F87" s="56">
        <f t="shared" ref="F87:F92" si="55">E87*50%</f>
        <v>245.625</v>
      </c>
      <c r="G87" s="56">
        <f t="shared" ref="G87:G92" si="56">E87+F87</f>
        <v>736.875</v>
      </c>
      <c r="H87" s="58">
        <f t="shared" ref="H87:H92" si="57">G87-(G87*25%)</f>
        <v>552.65625</v>
      </c>
      <c r="I87" s="58">
        <f t="shared" ref="I87:I92" si="58">E87*50%</f>
        <v>245.625</v>
      </c>
      <c r="J87" s="169">
        <f t="shared" ref="J87:J92" si="59">E87+(I87*2)</f>
        <v>982.5</v>
      </c>
      <c r="K87" s="300">
        <f t="shared" ref="K87:K92" si="60">J87-(J87*25%)</f>
        <v>736.875</v>
      </c>
      <c r="L87" s="248"/>
    </row>
    <row r="88" spans="1:12" x14ac:dyDescent="0.25">
      <c r="A88" s="49" t="s">
        <v>758</v>
      </c>
      <c r="B88" s="50" t="s">
        <v>1715</v>
      </c>
      <c r="C88" s="47">
        <v>12.5</v>
      </c>
      <c r="D88" s="47">
        <v>12.5</v>
      </c>
      <c r="E88" s="116">
        <v>409.98500000000001</v>
      </c>
      <c r="F88" s="56">
        <f t="shared" si="55"/>
        <v>204.99250000000001</v>
      </c>
      <c r="G88" s="56">
        <f t="shared" si="56"/>
        <v>614.97749999999996</v>
      </c>
      <c r="H88" s="58">
        <f t="shared" si="57"/>
        <v>461.23312499999997</v>
      </c>
      <c r="I88" s="58">
        <f t="shared" si="58"/>
        <v>204.99250000000001</v>
      </c>
      <c r="J88" s="169">
        <f t="shared" si="59"/>
        <v>819.97</v>
      </c>
      <c r="K88" s="300">
        <f t="shared" si="60"/>
        <v>614.97749999999996</v>
      </c>
      <c r="L88" s="248"/>
    </row>
    <row r="89" spans="1:12" x14ac:dyDescent="0.25">
      <c r="A89" s="49" t="s">
        <v>759</v>
      </c>
      <c r="B89" s="50" t="s">
        <v>1367</v>
      </c>
      <c r="C89" s="47">
        <v>12.5</v>
      </c>
      <c r="D89" s="47">
        <v>12.5</v>
      </c>
      <c r="E89" s="116">
        <v>376.565</v>
      </c>
      <c r="F89" s="56">
        <f t="shared" si="55"/>
        <v>188.2825</v>
      </c>
      <c r="G89" s="56">
        <f t="shared" si="56"/>
        <v>564.84749999999997</v>
      </c>
      <c r="H89" s="58">
        <f t="shared" si="57"/>
        <v>423.635625</v>
      </c>
      <c r="I89" s="58">
        <f t="shared" si="58"/>
        <v>188.2825</v>
      </c>
      <c r="J89" s="169">
        <f t="shared" si="59"/>
        <v>753.13</v>
      </c>
      <c r="K89" s="300">
        <f t="shared" si="60"/>
        <v>564.84749999999997</v>
      </c>
      <c r="L89" s="248"/>
    </row>
    <row r="90" spans="1:12" x14ac:dyDescent="0.25">
      <c r="A90" s="49" t="s">
        <v>760</v>
      </c>
      <c r="B90" s="50" t="s">
        <v>1367</v>
      </c>
      <c r="C90" s="235"/>
      <c r="D90" s="235"/>
      <c r="E90" s="116">
        <v>376.57</v>
      </c>
      <c r="F90" s="56">
        <f t="shared" si="55"/>
        <v>188.285</v>
      </c>
      <c r="G90" s="56">
        <f t="shared" si="56"/>
        <v>564.85500000000002</v>
      </c>
      <c r="H90" s="58">
        <f t="shared" si="57"/>
        <v>423.64125000000001</v>
      </c>
      <c r="I90" s="58">
        <f t="shared" si="58"/>
        <v>188.285</v>
      </c>
      <c r="J90" s="169">
        <f t="shared" si="59"/>
        <v>753.14</v>
      </c>
      <c r="K90" s="300">
        <f t="shared" si="60"/>
        <v>564.85500000000002</v>
      </c>
      <c r="L90" s="248"/>
    </row>
    <row r="91" spans="1:12" x14ac:dyDescent="0.25">
      <c r="A91" s="49" t="s">
        <v>761</v>
      </c>
      <c r="B91" s="50" t="s">
        <v>1715</v>
      </c>
      <c r="C91" s="235"/>
      <c r="D91" s="235"/>
      <c r="E91" s="116">
        <v>409.98500000000001</v>
      </c>
      <c r="F91" s="56">
        <f t="shared" si="55"/>
        <v>204.99250000000001</v>
      </c>
      <c r="G91" s="56">
        <f t="shared" si="56"/>
        <v>614.97749999999996</v>
      </c>
      <c r="H91" s="58">
        <f t="shared" si="57"/>
        <v>461.23312499999997</v>
      </c>
      <c r="I91" s="58">
        <f t="shared" si="58"/>
        <v>204.99250000000001</v>
      </c>
      <c r="J91" s="169">
        <f t="shared" si="59"/>
        <v>819.97</v>
      </c>
      <c r="K91" s="300">
        <f t="shared" si="60"/>
        <v>614.97749999999996</v>
      </c>
      <c r="L91" s="248"/>
    </row>
    <row r="92" spans="1:12" x14ac:dyDescent="0.25">
      <c r="A92" s="49" t="s">
        <v>762</v>
      </c>
      <c r="B92" s="50" t="s">
        <v>1667</v>
      </c>
      <c r="C92" s="47">
        <v>6.25</v>
      </c>
      <c r="D92" s="47">
        <v>6.25</v>
      </c>
      <c r="E92" s="116">
        <v>491.25</v>
      </c>
      <c r="F92" s="56">
        <f t="shared" si="55"/>
        <v>245.625</v>
      </c>
      <c r="G92" s="56">
        <f t="shared" si="56"/>
        <v>736.875</v>
      </c>
      <c r="H92" s="58">
        <f t="shared" si="57"/>
        <v>552.65625</v>
      </c>
      <c r="I92" s="58">
        <f t="shared" si="58"/>
        <v>245.625</v>
      </c>
      <c r="J92" s="169">
        <f t="shared" si="59"/>
        <v>982.5</v>
      </c>
      <c r="K92" s="300">
        <f t="shared" si="60"/>
        <v>736.875</v>
      </c>
      <c r="L92" s="248"/>
    </row>
    <row r="93" spans="1:12" x14ac:dyDescent="0.25">
      <c r="A93" s="49"/>
      <c r="B93" s="50"/>
      <c r="C93" s="47"/>
      <c r="D93" s="47"/>
      <c r="E93" s="116"/>
      <c r="F93" s="56"/>
      <c r="G93" s="56"/>
      <c r="H93" s="281"/>
      <c r="I93" s="282"/>
      <c r="J93" s="283"/>
      <c r="K93" s="209"/>
      <c r="L93" s="248"/>
    </row>
    <row r="94" spans="1:12" x14ac:dyDescent="0.25">
      <c r="A94" s="49" t="s">
        <v>765</v>
      </c>
      <c r="B94" s="50" t="s">
        <v>2258</v>
      </c>
      <c r="C94" s="47">
        <v>6.25</v>
      </c>
      <c r="D94" s="47">
        <v>6.25</v>
      </c>
      <c r="E94" s="116">
        <v>342.95</v>
      </c>
      <c r="F94" s="56">
        <f t="shared" ref="F94:F97" si="61">E94*50%</f>
        <v>171.47499999999999</v>
      </c>
      <c r="G94" s="56">
        <f t="shared" ref="G94:G97" si="62">E94+F94</f>
        <v>514.42499999999995</v>
      </c>
      <c r="H94" s="58">
        <f t="shared" ref="H94:H97" si="63">G94-(G94*25%)</f>
        <v>385.81874999999997</v>
      </c>
      <c r="I94" s="58">
        <f t="shared" ref="I94:I97" si="64">E94*50%</f>
        <v>171.47499999999999</v>
      </c>
      <c r="J94" s="169">
        <f t="shared" ref="J94:J97" si="65">E94+(I94*2)</f>
        <v>685.9</v>
      </c>
      <c r="K94" s="300">
        <f t="shared" ref="K94:K97" si="66">J94-(J94*25%)</f>
        <v>514.42499999999995</v>
      </c>
      <c r="L94" s="248"/>
    </row>
    <row r="95" spans="1:12" x14ac:dyDescent="0.25">
      <c r="A95" s="49" t="s">
        <v>766</v>
      </c>
      <c r="B95" s="50" t="s">
        <v>2257</v>
      </c>
      <c r="C95" s="47">
        <v>6.25</v>
      </c>
      <c r="D95" s="47">
        <v>6.25</v>
      </c>
      <c r="E95" s="116">
        <v>342.95</v>
      </c>
      <c r="F95" s="56">
        <f t="shared" si="61"/>
        <v>171.47499999999999</v>
      </c>
      <c r="G95" s="56">
        <f t="shared" si="62"/>
        <v>514.42499999999995</v>
      </c>
      <c r="H95" s="58">
        <f t="shared" si="63"/>
        <v>385.81874999999997</v>
      </c>
      <c r="I95" s="58">
        <f t="shared" si="64"/>
        <v>171.47499999999999</v>
      </c>
      <c r="J95" s="169">
        <f t="shared" si="65"/>
        <v>685.9</v>
      </c>
      <c r="K95" s="300">
        <f t="shared" si="66"/>
        <v>514.42499999999995</v>
      </c>
      <c r="L95" s="248"/>
    </row>
    <row r="96" spans="1:12" x14ac:dyDescent="0.25">
      <c r="A96" s="49" t="s">
        <v>767</v>
      </c>
      <c r="B96" s="50" t="s">
        <v>2257</v>
      </c>
      <c r="C96" s="47">
        <v>6.25</v>
      </c>
      <c r="D96" s="47">
        <v>6.25</v>
      </c>
      <c r="E96" s="116">
        <v>342.95</v>
      </c>
      <c r="F96" s="56">
        <f t="shared" si="61"/>
        <v>171.47499999999999</v>
      </c>
      <c r="G96" s="56">
        <f t="shared" si="62"/>
        <v>514.42499999999995</v>
      </c>
      <c r="H96" s="58">
        <f t="shared" si="63"/>
        <v>385.81874999999997</v>
      </c>
      <c r="I96" s="58">
        <f t="shared" si="64"/>
        <v>171.47499999999999</v>
      </c>
      <c r="J96" s="169">
        <f t="shared" si="65"/>
        <v>685.9</v>
      </c>
      <c r="K96" s="300">
        <f t="shared" si="66"/>
        <v>514.42499999999995</v>
      </c>
      <c r="L96" s="248"/>
    </row>
    <row r="97" spans="1:12" x14ac:dyDescent="0.25">
      <c r="A97" s="49" t="s">
        <v>768</v>
      </c>
      <c r="B97" s="50" t="s">
        <v>1756</v>
      </c>
      <c r="C97" s="47">
        <v>6.25</v>
      </c>
      <c r="D97" s="47">
        <v>6.25</v>
      </c>
      <c r="E97" s="116">
        <v>491.25</v>
      </c>
      <c r="F97" s="56">
        <f t="shared" si="61"/>
        <v>245.625</v>
      </c>
      <c r="G97" s="56">
        <f t="shared" si="62"/>
        <v>736.875</v>
      </c>
      <c r="H97" s="58">
        <f t="shared" si="63"/>
        <v>552.65625</v>
      </c>
      <c r="I97" s="58">
        <f t="shared" si="64"/>
        <v>245.625</v>
      </c>
      <c r="J97" s="169">
        <f t="shared" si="65"/>
        <v>982.5</v>
      </c>
      <c r="K97" s="300">
        <f t="shared" si="66"/>
        <v>736.875</v>
      </c>
      <c r="L97" s="248"/>
    </row>
    <row r="98" spans="1:12" x14ac:dyDescent="0.25">
      <c r="A98" s="49"/>
      <c r="B98" s="50"/>
      <c r="C98" s="47"/>
      <c r="D98" s="47"/>
      <c r="E98" s="116"/>
      <c r="F98" s="56"/>
      <c r="G98" s="56"/>
      <c r="H98" s="281"/>
      <c r="I98" s="282"/>
      <c r="J98" s="283"/>
      <c r="K98" s="209"/>
      <c r="L98" s="248"/>
    </row>
    <row r="99" spans="1:12" x14ac:dyDescent="0.25">
      <c r="A99" s="49" t="s">
        <v>769</v>
      </c>
      <c r="B99" s="50" t="s">
        <v>2114</v>
      </c>
      <c r="C99" s="47">
        <v>25</v>
      </c>
      <c r="D99" s="47">
        <v>6.25</v>
      </c>
      <c r="E99" s="116">
        <v>527.56500000000005</v>
      </c>
      <c r="F99" s="56">
        <f t="shared" ref="F99:F102" si="67">E99*50%</f>
        <v>263.78250000000003</v>
      </c>
      <c r="G99" s="56">
        <f t="shared" ref="G99:G102" si="68">E99+F99</f>
        <v>791.34750000000008</v>
      </c>
      <c r="H99" s="58">
        <f t="shared" ref="H99:H102" si="69">G99-(G99*25%)</f>
        <v>593.51062500000012</v>
      </c>
      <c r="I99" s="58">
        <f t="shared" ref="I99:I102" si="70">E99*50%</f>
        <v>263.78250000000003</v>
      </c>
      <c r="J99" s="169">
        <f t="shared" ref="J99:J102" si="71">E99+(I99*2)</f>
        <v>1055.1300000000001</v>
      </c>
      <c r="K99" s="300">
        <f t="shared" ref="K99:K102" si="72">J99-(J99*25%)</f>
        <v>791.34750000000008</v>
      </c>
      <c r="L99" s="248"/>
    </row>
    <row r="100" spans="1:12" x14ac:dyDescent="0.25">
      <c r="A100" s="49" t="s">
        <v>770</v>
      </c>
      <c r="B100" s="50" t="s">
        <v>2262</v>
      </c>
      <c r="C100" s="235"/>
      <c r="D100" s="47">
        <v>6.25</v>
      </c>
      <c r="E100" s="116">
        <v>527.56500000000005</v>
      </c>
      <c r="F100" s="56">
        <f t="shared" si="67"/>
        <v>263.78250000000003</v>
      </c>
      <c r="G100" s="56">
        <f t="shared" si="68"/>
        <v>791.34750000000008</v>
      </c>
      <c r="H100" s="58">
        <f t="shared" si="69"/>
        <v>593.51062500000012</v>
      </c>
      <c r="I100" s="58">
        <f t="shared" si="70"/>
        <v>263.78250000000003</v>
      </c>
      <c r="J100" s="169">
        <f t="shared" si="71"/>
        <v>1055.1300000000001</v>
      </c>
      <c r="K100" s="300">
        <f t="shared" si="72"/>
        <v>791.34750000000008</v>
      </c>
      <c r="L100" s="248"/>
    </row>
    <row r="101" spans="1:12" x14ac:dyDescent="0.25">
      <c r="A101" s="49" t="s">
        <v>771</v>
      </c>
      <c r="B101" s="50" t="s">
        <v>2262</v>
      </c>
      <c r="C101" s="235"/>
      <c r="D101" s="47">
        <v>6.25</v>
      </c>
      <c r="E101" s="116">
        <v>527.56500000000005</v>
      </c>
      <c r="F101" s="56">
        <f t="shared" si="67"/>
        <v>263.78250000000003</v>
      </c>
      <c r="G101" s="56">
        <f t="shared" si="68"/>
        <v>791.34750000000008</v>
      </c>
      <c r="H101" s="58">
        <f t="shared" si="69"/>
        <v>593.51062500000012</v>
      </c>
      <c r="I101" s="58">
        <f t="shared" si="70"/>
        <v>263.78250000000003</v>
      </c>
      <c r="J101" s="169">
        <f t="shared" si="71"/>
        <v>1055.1300000000001</v>
      </c>
      <c r="K101" s="300">
        <f t="shared" si="72"/>
        <v>791.34750000000008</v>
      </c>
      <c r="L101" s="248"/>
    </row>
    <row r="102" spans="1:12" x14ac:dyDescent="0.25">
      <c r="A102" s="49" t="s">
        <v>772</v>
      </c>
      <c r="B102" s="50" t="s">
        <v>2115</v>
      </c>
      <c r="C102" s="235"/>
      <c r="D102" s="47">
        <v>6.25</v>
      </c>
      <c r="E102" s="116">
        <v>527.56500000000005</v>
      </c>
      <c r="F102" s="56">
        <f t="shared" si="67"/>
        <v>263.78250000000003</v>
      </c>
      <c r="G102" s="56">
        <f t="shared" si="68"/>
        <v>791.34750000000008</v>
      </c>
      <c r="H102" s="58">
        <f t="shared" si="69"/>
        <v>593.51062500000012</v>
      </c>
      <c r="I102" s="58">
        <f t="shared" si="70"/>
        <v>263.78250000000003</v>
      </c>
      <c r="J102" s="169">
        <f t="shared" si="71"/>
        <v>1055.1300000000001</v>
      </c>
      <c r="K102" s="300">
        <f t="shared" si="72"/>
        <v>791.34750000000008</v>
      </c>
      <c r="L102" s="248"/>
    </row>
    <row r="103" spans="1:12" x14ac:dyDescent="0.25">
      <c r="A103" s="49"/>
      <c r="B103" s="50"/>
      <c r="C103" s="235"/>
      <c r="D103" s="235"/>
      <c r="E103" s="116"/>
      <c r="F103" s="56"/>
      <c r="G103" s="56"/>
      <c r="H103" s="281"/>
      <c r="I103" s="282"/>
      <c r="J103" s="283"/>
      <c r="K103" s="209"/>
      <c r="L103" s="248"/>
    </row>
    <row r="104" spans="1:12" x14ac:dyDescent="0.25">
      <c r="A104" s="49" t="s">
        <v>784</v>
      </c>
      <c r="B104" s="50" t="s">
        <v>1522</v>
      </c>
      <c r="C104" s="47">
        <v>9.56</v>
      </c>
      <c r="D104" s="47">
        <v>9.56</v>
      </c>
      <c r="E104" s="116">
        <v>369.185</v>
      </c>
      <c r="F104" s="56">
        <f t="shared" ref="F104:F109" si="73">E104*50%</f>
        <v>184.5925</v>
      </c>
      <c r="G104" s="56">
        <f t="shared" ref="G104:G109" si="74">E104+F104</f>
        <v>553.77750000000003</v>
      </c>
      <c r="H104" s="58">
        <f t="shared" ref="H104:H109" si="75">G104-(G104*25%)</f>
        <v>415.333125</v>
      </c>
      <c r="I104" s="58">
        <f t="shared" ref="I104:I109" si="76">E104*50%</f>
        <v>184.5925</v>
      </c>
      <c r="J104" s="169">
        <f t="shared" ref="J104:J109" si="77">E104+(I104*2)</f>
        <v>738.37</v>
      </c>
      <c r="K104" s="300">
        <f t="shared" ref="K104:K109" si="78">J104-(J104*25%)</f>
        <v>553.77750000000003</v>
      </c>
      <c r="L104" s="248"/>
    </row>
    <row r="105" spans="1:12" x14ac:dyDescent="0.25">
      <c r="A105" s="49" t="s">
        <v>785</v>
      </c>
      <c r="B105" s="50" t="s">
        <v>1522</v>
      </c>
      <c r="C105" s="235"/>
      <c r="D105" s="235"/>
      <c r="E105" s="116">
        <v>369.1875</v>
      </c>
      <c r="F105" s="56">
        <f t="shared" si="73"/>
        <v>184.59375</v>
      </c>
      <c r="G105" s="56">
        <f t="shared" si="74"/>
        <v>553.78125</v>
      </c>
      <c r="H105" s="58">
        <f t="shared" si="75"/>
        <v>415.3359375</v>
      </c>
      <c r="I105" s="58">
        <f t="shared" si="76"/>
        <v>184.59375</v>
      </c>
      <c r="J105" s="169">
        <f t="shared" si="77"/>
        <v>738.375</v>
      </c>
      <c r="K105" s="300">
        <f t="shared" si="78"/>
        <v>553.78125</v>
      </c>
      <c r="L105" s="248"/>
    </row>
    <row r="106" spans="1:12" x14ac:dyDescent="0.25">
      <c r="A106" s="49" t="s">
        <v>786</v>
      </c>
      <c r="B106" s="50" t="s">
        <v>2274</v>
      </c>
      <c r="C106" s="47">
        <v>9.31</v>
      </c>
      <c r="D106" s="47">
        <v>9.31</v>
      </c>
      <c r="E106" s="116">
        <v>731.4</v>
      </c>
      <c r="F106" s="56">
        <f t="shared" si="73"/>
        <v>365.7</v>
      </c>
      <c r="G106" s="56">
        <f t="shared" si="74"/>
        <v>1097.0999999999999</v>
      </c>
      <c r="H106" s="58">
        <f t="shared" si="75"/>
        <v>822.82499999999993</v>
      </c>
      <c r="I106" s="58">
        <f t="shared" si="76"/>
        <v>365.7</v>
      </c>
      <c r="J106" s="169">
        <f t="shared" si="77"/>
        <v>1462.8</v>
      </c>
      <c r="K106" s="301">
        <f t="shared" si="78"/>
        <v>1097.0999999999999</v>
      </c>
      <c r="L106" s="248"/>
    </row>
    <row r="107" spans="1:12" x14ac:dyDescent="0.25">
      <c r="A107" s="49" t="s">
        <v>787</v>
      </c>
      <c r="B107" s="50" t="s">
        <v>1791</v>
      </c>
      <c r="C107" s="47">
        <v>6.25</v>
      </c>
      <c r="D107" s="47">
        <v>6.25</v>
      </c>
      <c r="E107" s="116">
        <v>437.25</v>
      </c>
      <c r="F107" s="56">
        <f t="shared" si="73"/>
        <v>218.625</v>
      </c>
      <c r="G107" s="56">
        <f t="shared" si="74"/>
        <v>655.875</v>
      </c>
      <c r="H107" s="58">
        <f t="shared" si="75"/>
        <v>491.90625</v>
      </c>
      <c r="I107" s="58">
        <f t="shared" si="76"/>
        <v>218.625</v>
      </c>
      <c r="J107" s="169">
        <f t="shared" si="77"/>
        <v>874.5</v>
      </c>
      <c r="K107" s="300">
        <f t="shared" si="78"/>
        <v>655.875</v>
      </c>
      <c r="L107" s="248"/>
    </row>
    <row r="108" spans="1:12" x14ac:dyDescent="0.25">
      <c r="A108" s="49" t="s">
        <v>788</v>
      </c>
      <c r="B108" s="50" t="s">
        <v>1791</v>
      </c>
      <c r="C108" s="47">
        <v>6.25</v>
      </c>
      <c r="D108" s="47">
        <v>6.25</v>
      </c>
      <c r="E108" s="116">
        <v>437.25</v>
      </c>
      <c r="F108" s="56">
        <f t="shared" si="73"/>
        <v>218.625</v>
      </c>
      <c r="G108" s="56">
        <f t="shared" si="74"/>
        <v>655.875</v>
      </c>
      <c r="H108" s="58">
        <f t="shared" si="75"/>
        <v>491.90625</v>
      </c>
      <c r="I108" s="58">
        <f t="shared" si="76"/>
        <v>218.625</v>
      </c>
      <c r="J108" s="169">
        <f t="shared" si="77"/>
        <v>874.5</v>
      </c>
      <c r="K108" s="300">
        <f t="shared" si="78"/>
        <v>655.875</v>
      </c>
      <c r="L108" s="248"/>
    </row>
    <row r="109" spans="1:12" x14ac:dyDescent="0.25">
      <c r="A109" s="49" t="s">
        <v>789</v>
      </c>
      <c r="B109" s="50" t="s">
        <v>1790</v>
      </c>
      <c r="C109" s="47">
        <v>6.25</v>
      </c>
      <c r="D109" s="47">
        <v>6.25</v>
      </c>
      <c r="E109" s="116">
        <v>437.25</v>
      </c>
      <c r="F109" s="56">
        <f t="shared" si="73"/>
        <v>218.625</v>
      </c>
      <c r="G109" s="56">
        <f t="shared" si="74"/>
        <v>655.875</v>
      </c>
      <c r="H109" s="58">
        <f t="shared" si="75"/>
        <v>491.90625</v>
      </c>
      <c r="I109" s="58">
        <f t="shared" si="76"/>
        <v>218.625</v>
      </c>
      <c r="J109" s="169">
        <f t="shared" si="77"/>
        <v>874.5</v>
      </c>
      <c r="K109" s="300">
        <f t="shared" si="78"/>
        <v>655.875</v>
      </c>
      <c r="L109" s="248"/>
    </row>
    <row r="110" spans="1:12" x14ac:dyDescent="0.25">
      <c r="A110" s="49"/>
      <c r="B110" s="50"/>
      <c r="C110" s="254"/>
      <c r="D110" s="254"/>
      <c r="E110" s="209"/>
      <c r="F110" s="56"/>
      <c r="G110" s="56"/>
      <c r="H110" s="281"/>
      <c r="I110" s="282"/>
      <c r="J110" s="283"/>
      <c r="K110" s="209"/>
      <c r="L110" s="248"/>
    </row>
    <row r="111" spans="1:12" x14ac:dyDescent="0.25">
      <c r="A111" s="65"/>
      <c r="B111" s="231" t="s">
        <v>1611</v>
      </c>
      <c r="C111" s="65"/>
      <c r="D111" s="65"/>
      <c r="E111" s="65"/>
      <c r="F111" s="65"/>
      <c r="G111" s="56"/>
      <c r="H111" s="281"/>
      <c r="I111" s="288"/>
      <c r="J111" s="289"/>
      <c r="K111" s="209"/>
      <c r="L111" s="248"/>
    </row>
    <row r="112" spans="1:12" x14ac:dyDescent="0.25">
      <c r="A112" s="49" t="s">
        <v>944</v>
      </c>
      <c r="B112" s="50" t="s">
        <v>1638</v>
      </c>
      <c r="C112" s="47">
        <v>7.16</v>
      </c>
      <c r="D112" s="47">
        <v>7.16</v>
      </c>
      <c r="E112" s="116">
        <v>500.91500000000002</v>
      </c>
      <c r="F112" s="56">
        <f t="shared" ref="F112:F117" si="79">E112*50%</f>
        <v>250.45750000000001</v>
      </c>
      <c r="G112" s="56">
        <f t="shared" ref="G112:G117" si="80">E112+F112</f>
        <v>751.37250000000006</v>
      </c>
      <c r="H112" s="58">
        <f t="shared" ref="H112:H117" si="81">G112-(G112*25%)</f>
        <v>563.52937500000007</v>
      </c>
      <c r="I112" s="58">
        <f t="shared" ref="I112:I117" si="82">E112*50%</f>
        <v>250.45750000000001</v>
      </c>
      <c r="J112" s="169">
        <f t="shared" ref="J112:J117" si="83">E112+(I112*2)</f>
        <v>1001.83</v>
      </c>
      <c r="K112" s="300">
        <f t="shared" ref="K112:K117" si="84">J112-(J112*25%)</f>
        <v>751.37250000000006</v>
      </c>
      <c r="L112" s="248"/>
    </row>
    <row r="113" spans="1:12" x14ac:dyDescent="0.25">
      <c r="A113" s="49" t="s">
        <v>945</v>
      </c>
      <c r="B113" s="50" t="s">
        <v>1637</v>
      </c>
      <c r="C113" s="47">
        <v>7.16</v>
      </c>
      <c r="D113" s="47">
        <v>7.16</v>
      </c>
      <c r="E113" s="116">
        <v>500.91500000000002</v>
      </c>
      <c r="F113" s="56">
        <f t="shared" si="79"/>
        <v>250.45750000000001</v>
      </c>
      <c r="G113" s="56">
        <f t="shared" si="80"/>
        <v>751.37250000000006</v>
      </c>
      <c r="H113" s="58">
        <f t="shared" si="81"/>
        <v>563.52937500000007</v>
      </c>
      <c r="I113" s="58">
        <f t="shared" si="82"/>
        <v>250.45750000000001</v>
      </c>
      <c r="J113" s="169">
        <f t="shared" si="83"/>
        <v>1001.83</v>
      </c>
      <c r="K113" s="300">
        <f t="shared" si="84"/>
        <v>751.37250000000006</v>
      </c>
      <c r="L113" s="248"/>
    </row>
    <row r="114" spans="1:12" x14ac:dyDescent="0.25">
      <c r="A114" s="49" t="s">
        <v>946</v>
      </c>
      <c r="B114" s="50" t="s">
        <v>1040</v>
      </c>
      <c r="C114" s="47">
        <v>4.4000000000000004</v>
      </c>
      <c r="D114" s="47">
        <v>4.4000000000000004</v>
      </c>
      <c r="E114" s="116">
        <v>307.82</v>
      </c>
      <c r="F114" s="56">
        <f t="shared" si="79"/>
        <v>153.91</v>
      </c>
      <c r="G114" s="56">
        <f t="shared" si="80"/>
        <v>461.73</v>
      </c>
      <c r="H114" s="58">
        <f t="shared" si="81"/>
        <v>346.29750000000001</v>
      </c>
      <c r="I114" s="58">
        <f t="shared" si="82"/>
        <v>153.91</v>
      </c>
      <c r="J114" s="169">
        <f t="shared" si="83"/>
        <v>615.64</v>
      </c>
      <c r="K114" s="300">
        <f t="shared" si="84"/>
        <v>461.73</v>
      </c>
      <c r="L114" s="248"/>
    </row>
    <row r="115" spans="1:12" x14ac:dyDescent="0.25">
      <c r="A115" s="49" t="s">
        <v>947</v>
      </c>
      <c r="B115" s="50" t="s">
        <v>2209</v>
      </c>
      <c r="C115" s="47">
        <v>4.4000000000000004</v>
      </c>
      <c r="D115" s="47">
        <v>4.4000000000000004</v>
      </c>
      <c r="E115" s="116">
        <v>375.7</v>
      </c>
      <c r="F115" s="56">
        <f t="shared" si="79"/>
        <v>187.85</v>
      </c>
      <c r="G115" s="56">
        <f t="shared" si="80"/>
        <v>563.54999999999995</v>
      </c>
      <c r="H115" s="58">
        <f t="shared" si="81"/>
        <v>422.66249999999997</v>
      </c>
      <c r="I115" s="58">
        <f t="shared" si="82"/>
        <v>187.85</v>
      </c>
      <c r="J115" s="169">
        <f t="shared" si="83"/>
        <v>751.4</v>
      </c>
      <c r="K115" s="300">
        <f t="shared" si="84"/>
        <v>563.54999999999995</v>
      </c>
      <c r="L115" s="248"/>
    </row>
    <row r="116" spans="1:12" x14ac:dyDescent="0.25">
      <c r="A116" s="49" t="s">
        <v>948</v>
      </c>
      <c r="B116" s="50" t="s">
        <v>2075</v>
      </c>
      <c r="C116" s="47">
        <v>4.4000000000000004</v>
      </c>
      <c r="D116" s="47">
        <v>4.4000000000000004</v>
      </c>
      <c r="E116" s="116">
        <v>307.82</v>
      </c>
      <c r="F116" s="56">
        <f t="shared" si="79"/>
        <v>153.91</v>
      </c>
      <c r="G116" s="56">
        <f t="shared" si="80"/>
        <v>461.73</v>
      </c>
      <c r="H116" s="58">
        <f t="shared" si="81"/>
        <v>346.29750000000001</v>
      </c>
      <c r="I116" s="58">
        <f t="shared" si="82"/>
        <v>153.91</v>
      </c>
      <c r="J116" s="169">
        <f t="shared" si="83"/>
        <v>615.64</v>
      </c>
      <c r="K116" s="300">
        <f t="shared" si="84"/>
        <v>461.73</v>
      </c>
      <c r="L116" s="248"/>
    </row>
    <row r="117" spans="1:12" x14ac:dyDescent="0.25">
      <c r="A117" s="49" t="s">
        <v>949</v>
      </c>
      <c r="B117" s="50" t="s">
        <v>2102</v>
      </c>
      <c r="C117" s="47">
        <v>4.4000000000000004</v>
      </c>
      <c r="D117" s="47">
        <v>4.4000000000000004</v>
      </c>
      <c r="E117" s="116">
        <v>307.82</v>
      </c>
      <c r="F117" s="56">
        <f t="shared" si="79"/>
        <v>153.91</v>
      </c>
      <c r="G117" s="56">
        <f t="shared" si="80"/>
        <v>461.73</v>
      </c>
      <c r="H117" s="58">
        <f t="shared" si="81"/>
        <v>346.29750000000001</v>
      </c>
      <c r="I117" s="58">
        <f t="shared" si="82"/>
        <v>153.91</v>
      </c>
      <c r="J117" s="169">
        <f t="shared" si="83"/>
        <v>615.64</v>
      </c>
      <c r="K117" s="300">
        <f t="shared" si="84"/>
        <v>461.73</v>
      </c>
      <c r="L117" s="248"/>
    </row>
    <row r="118" spans="1:12" x14ac:dyDescent="0.25">
      <c r="A118" s="291"/>
      <c r="B118" s="292"/>
      <c r="C118" s="293"/>
      <c r="D118" s="293"/>
      <c r="E118" s="294"/>
      <c r="F118" s="295"/>
      <c r="G118" s="295"/>
      <c r="H118" s="281"/>
      <c r="I118" s="296"/>
      <c r="J118" s="283"/>
      <c r="K118" s="209"/>
      <c r="L118" s="248"/>
    </row>
    <row r="119" spans="1:12" s="6" customFormat="1" x14ac:dyDescent="0.25">
      <c r="A119" s="49" t="s">
        <v>950</v>
      </c>
      <c r="B119" s="50" t="s">
        <v>1479</v>
      </c>
      <c r="C119" s="47">
        <v>6.31</v>
      </c>
      <c r="D119" s="47">
        <v>6.31</v>
      </c>
      <c r="E119" s="116">
        <v>487.41500000000002</v>
      </c>
      <c r="F119" s="56">
        <f t="shared" ref="F119:F122" si="85">E119*50%</f>
        <v>243.70750000000001</v>
      </c>
      <c r="G119" s="56">
        <f t="shared" ref="G119:G122" si="86">E119+F119</f>
        <v>731.12250000000006</v>
      </c>
      <c r="H119" s="58">
        <f t="shared" ref="H119:H122" si="87">G119-(G119*25%)</f>
        <v>548.34187500000007</v>
      </c>
      <c r="I119" s="58">
        <f t="shared" ref="I119:I122" si="88">E119*50%</f>
        <v>243.70750000000001</v>
      </c>
      <c r="J119" s="169">
        <f t="shared" ref="J119:J122" si="89">E119+(I119*2)</f>
        <v>974.83</v>
      </c>
      <c r="K119" s="300">
        <f t="shared" ref="K119:K122" si="90">J119-(J119*25%)</f>
        <v>731.12250000000006</v>
      </c>
      <c r="L119" s="297"/>
    </row>
    <row r="120" spans="1:12" x14ac:dyDescent="0.25">
      <c r="A120" s="49" t="s">
        <v>951</v>
      </c>
      <c r="B120" s="50" t="s">
        <v>1041</v>
      </c>
      <c r="C120" s="47">
        <v>6.57</v>
      </c>
      <c r="D120" s="47">
        <v>6.57</v>
      </c>
      <c r="E120" s="116">
        <v>507.33499999999998</v>
      </c>
      <c r="F120" s="56">
        <f t="shared" si="85"/>
        <v>253.66749999999999</v>
      </c>
      <c r="G120" s="56">
        <f t="shared" si="86"/>
        <v>761.00249999999994</v>
      </c>
      <c r="H120" s="58">
        <f t="shared" si="87"/>
        <v>570.75187499999993</v>
      </c>
      <c r="I120" s="58">
        <f t="shared" si="88"/>
        <v>253.66749999999999</v>
      </c>
      <c r="J120" s="169">
        <f t="shared" si="89"/>
        <v>1014.67</v>
      </c>
      <c r="K120" s="300">
        <f t="shared" si="90"/>
        <v>761.00249999999994</v>
      </c>
      <c r="L120" s="248"/>
    </row>
    <row r="121" spans="1:12" x14ac:dyDescent="0.25">
      <c r="A121" s="49" t="s">
        <v>952</v>
      </c>
      <c r="B121" s="50" t="s">
        <v>1639</v>
      </c>
      <c r="C121" s="47">
        <v>6.57</v>
      </c>
      <c r="D121" s="47">
        <v>6.57</v>
      </c>
      <c r="E121" s="116">
        <v>507.33499999999998</v>
      </c>
      <c r="F121" s="56">
        <f t="shared" si="85"/>
        <v>253.66749999999999</v>
      </c>
      <c r="G121" s="56">
        <f t="shared" si="86"/>
        <v>761.00249999999994</v>
      </c>
      <c r="H121" s="58">
        <f t="shared" si="87"/>
        <v>570.75187499999993</v>
      </c>
      <c r="I121" s="58">
        <f t="shared" si="88"/>
        <v>253.66749999999999</v>
      </c>
      <c r="J121" s="169">
        <f t="shared" si="89"/>
        <v>1014.67</v>
      </c>
      <c r="K121" s="300">
        <f t="shared" si="90"/>
        <v>761.00249999999994</v>
      </c>
      <c r="L121" s="248"/>
    </row>
    <row r="122" spans="1:12" x14ac:dyDescent="0.25">
      <c r="A122" s="49" t="s">
        <v>953</v>
      </c>
      <c r="B122" s="50" t="s">
        <v>1639</v>
      </c>
      <c r="C122" s="47">
        <v>6.21</v>
      </c>
      <c r="D122" s="47">
        <v>6.21</v>
      </c>
      <c r="E122" s="116">
        <v>479.53500000000003</v>
      </c>
      <c r="F122" s="56">
        <f t="shared" si="85"/>
        <v>239.76750000000001</v>
      </c>
      <c r="G122" s="56">
        <f t="shared" si="86"/>
        <v>719.30250000000001</v>
      </c>
      <c r="H122" s="58">
        <f t="shared" si="87"/>
        <v>539.47687500000006</v>
      </c>
      <c r="I122" s="58">
        <f t="shared" si="88"/>
        <v>239.76750000000001</v>
      </c>
      <c r="J122" s="169">
        <f t="shared" si="89"/>
        <v>959.07</v>
      </c>
      <c r="K122" s="300">
        <f t="shared" si="90"/>
        <v>719.30250000000001</v>
      </c>
      <c r="L122" s="248"/>
    </row>
    <row r="123" spans="1:12" x14ac:dyDescent="0.25">
      <c r="A123" s="65"/>
      <c r="B123" s="50"/>
      <c r="C123" s="57"/>
      <c r="D123" s="57"/>
      <c r="E123" s="65"/>
      <c r="F123" s="56"/>
      <c r="G123" s="56"/>
      <c r="H123" s="281"/>
      <c r="I123" s="282"/>
      <c r="J123" s="283"/>
      <c r="K123" s="209"/>
      <c r="L123" s="248"/>
    </row>
    <row r="124" spans="1:12" x14ac:dyDescent="0.25">
      <c r="A124" s="49" t="s">
        <v>954</v>
      </c>
      <c r="B124" s="290" t="s">
        <v>1371</v>
      </c>
      <c r="C124" s="47">
        <v>12</v>
      </c>
      <c r="D124" s="47">
        <v>12</v>
      </c>
      <c r="E124" s="116">
        <v>392.86</v>
      </c>
      <c r="F124" s="56">
        <f t="shared" ref="F124:F127" si="91">E124*50%</f>
        <v>196.43</v>
      </c>
      <c r="G124" s="56">
        <f t="shared" ref="G124:G127" si="92">E124+F124</f>
        <v>589.29</v>
      </c>
      <c r="H124" s="58">
        <f t="shared" ref="H124:H127" si="93">G124-(G124*25%)</f>
        <v>441.96749999999997</v>
      </c>
      <c r="I124" s="58">
        <f t="shared" ref="I124:I127" si="94">E124*50%</f>
        <v>196.43</v>
      </c>
      <c r="J124" s="169">
        <f t="shared" ref="J124:J127" si="95">E124+(I124*2)</f>
        <v>785.72</v>
      </c>
      <c r="K124" s="300">
        <f t="shared" ref="K124:K127" si="96">J124-(J124*25%)</f>
        <v>589.29</v>
      </c>
      <c r="L124" s="248"/>
    </row>
    <row r="125" spans="1:12" x14ac:dyDescent="0.25">
      <c r="A125" s="49" t="s">
        <v>955</v>
      </c>
      <c r="B125" s="290" t="s">
        <v>1371</v>
      </c>
      <c r="C125" s="235"/>
      <c r="D125" s="235"/>
      <c r="E125" s="116">
        <v>392.86</v>
      </c>
      <c r="F125" s="56">
        <f t="shared" si="91"/>
        <v>196.43</v>
      </c>
      <c r="G125" s="56">
        <f t="shared" si="92"/>
        <v>589.29</v>
      </c>
      <c r="H125" s="58">
        <f t="shared" si="93"/>
        <v>441.96749999999997</v>
      </c>
      <c r="I125" s="58">
        <f t="shared" si="94"/>
        <v>196.43</v>
      </c>
      <c r="J125" s="169">
        <f t="shared" si="95"/>
        <v>785.72</v>
      </c>
      <c r="K125" s="300">
        <f t="shared" si="96"/>
        <v>589.29</v>
      </c>
      <c r="L125" s="248"/>
    </row>
    <row r="126" spans="1:12" x14ac:dyDescent="0.25">
      <c r="A126" s="49" t="s">
        <v>956</v>
      </c>
      <c r="B126" s="50" t="s">
        <v>1370</v>
      </c>
      <c r="C126" s="47">
        <v>12</v>
      </c>
      <c r="D126" s="47">
        <v>12</v>
      </c>
      <c r="E126" s="116">
        <v>385.56</v>
      </c>
      <c r="F126" s="56">
        <f t="shared" si="91"/>
        <v>192.78</v>
      </c>
      <c r="G126" s="56">
        <f t="shared" si="92"/>
        <v>578.34</v>
      </c>
      <c r="H126" s="58">
        <f t="shared" si="93"/>
        <v>433.755</v>
      </c>
      <c r="I126" s="58">
        <f t="shared" si="94"/>
        <v>192.78</v>
      </c>
      <c r="J126" s="169">
        <f t="shared" si="95"/>
        <v>771.12</v>
      </c>
      <c r="K126" s="300">
        <f t="shared" si="96"/>
        <v>578.34</v>
      </c>
      <c r="L126" s="248"/>
    </row>
    <row r="127" spans="1:12" x14ac:dyDescent="0.25">
      <c r="A127" s="49" t="s">
        <v>957</v>
      </c>
      <c r="B127" s="50" t="s">
        <v>1370</v>
      </c>
      <c r="C127" s="235"/>
      <c r="D127" s="235"/>
      <c r="E127" s="116">
        <v>385.56</v>
      </c>
      <c r="F127" s="56">
        <f t="shared" si="91"/>
        <v>192.78</v>
      </c>
      <c r="G127" s="56">
        <f t="shared" si="92"/>
        <v>578.34</v>
      </c>
      <c r="H127" s="58">
        <f t="shared" si="93"/>
        <v>433.755</v>
      </c>
      <c r="I127" s="58">
        <f t="shared" si="94"/>
        <v>192.78</v>
      </c>
      <c r="J127" s="169">
        <f t="shared" si="95"/>
        <v>771.12</v>
      </c>
      <c r="K127" s="300">
        <f t="shared" si="96"/>
        <v>578.34</v>
      </c>
      <c r="L127" s="248"/>
    </row>
    <row r="128" spans="1:12" x14ac:dyDescent="0.25">
      <c r="A128" s="359" t="s">
        <v>1327</v>
      </c>
      <c r="B128" s="360"/>
      <c r="C128" s="298"/>
      <c r="D128" s="299">
        <f>SUM(D3:D127)</f>
        <v>1052.1299999999992</v>
      </c>
      <c r="E128" s="298"/>
      <c r="F128" s="298"/>
      <c r="G128" s="282"/>
      <c r="H128" s="204"/>
      <c r="I128" s="204"/>
      <c r="J128" s="204">
        <f t="shared" ref="J128:K128" si="97">SUM(J3:J127)</f>
        <v>136314.66500000004</v>
      </c>
      <c r="K128" s="204">
        <f t="shared" si="97"/>
        <v>102235.99874999994</v>
      </c>
      <c r="L128" s="248"/>
    </row>
  </sheetData>
  <mergeCells count="1">
    <mergeCell ref="A128:B128"/>
  </mergeCells>
  <pageMargins left="0.19685039370078741" right="0.19685039370078741" top="0.51181102362204722" bottom="0.23622047244094491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"/>
  <sheetViews>
    <sheetView topLeftCell="A61" workbookViewId="0">
      <selection activeCell="D84" sqref="D84"/>
    </sheetView>
  </sheetViews>
  <sheetFormatPr defaultRowHeight="15" x14ac:dyDescent="0.25"/>
  <cols>
    <col min="1" max="1" width="10.5703125" customWidth="1"/>
    <col min="2" max="2" width="23.42578125" customWidth="1"/>
    <col min="3" max="3" width="10.7109375" customWidth="1"/>
    <col min="4" max="4" width="12" customWidth="1"/>
    <col min="5" max="5" width="11.42578125" customWidth="1"/>
    <col min="6" max="6" width="12.7109375" customWidth="1"/>
    <col min="7" max="7" width="12.5703125" customWidth="1"/>
    <col min="8" max="8" width="13.85546875" customWidth="1"/>
    <col min="9" max="9" width="12.28515625" customWidth="1"/>
    <col min="10" max="10" width="11.42578125" customWidth="1"/>
    <col min="11" max="11" width="14.5703125" customWidth="1"/>
    <col min="12" max="12" width="15.28515625" customWidth="1"/>
  </cols>
  <sheetData>
    <row r="1" spans="1:12" ht="15.75" x14ac:dyDescent="0.25">
      <c r="A1" s="241"/>
      <c r="B1" s="242" t="s">
        <v>1653</v>
      </c>
      <c r="C1" s="243"/>
      <c r="D1" s="202"/>
      <c r="E1" s="202"/>
      <c r="F1" s="202"/>
      <c r="G1" s="244"/>
      <c r="H1" s="245"/>
      <c r="I1" s="246"/>
      <c r="J1" s="211"/>
      <c r="K1" s="195"/>
      <c r="L1" s="247"/>
    </row>
    <row r="2" spans="1:12" s="101" customFormat="1" ht="46.5" customHeight="1" x14ac:dyDescent="0.25">
      <c r="A2" s="207" t="s">
        <v>1705</v>
      </c>
      <c r="B2" s="216" t="s">
        <v>1847</v>
      </c>
      <c r="C2" s="207" t="s">
        <v>1874</v>
      </c>
      <c r="D2" s="207" t="s">
        <v>1875</v>
      </c>
      <c r="E2" s="217" t="s">
        <v>1876</v>
      </c>
      <c r="F2" s="218" t="s">
        <v>1877</v>
      </c>
      <c r="G2" s="71" t="s">
        <v>1878</v>
      </c>
      <c r="H2" s="219" t="s">
        <v>1895</v>
      </c>
      <c r="I2" s="71" t="s">
        <v>1880</v>
      </c>
      <c r="J2" s="196" t="s">
        <v>1881</v>
      </c>
      <c r="K2" s="196" t="s">
        <v>1612</v>
      </c>
      <c r="L2" s="207" t="s">
        <v>1964</v>
      </c>
    </row>
    <row r="3" spans="1:12" ht="15.75" x14ac:dyDescent="0.25">
      <c r="A3" s="170" t="s">
        <v>790</v>
      </c>
      <c r="B3" s="50" t="s">
        <v>1766</v>
      </c>
      <c r="C3" s="47">
        <v>12.5</v>
      </c>
      <c r="D3" s="47">
        <v>12.5</v>
      </c>
      <c r="E3" s="116">
        <v>491.25</v>
      </c>
      <c r="F3" s="58">
        <f t="shared" ref="F3:F8" si="0">E3*50%</f>
        <v>245.625</v>
      </c>
      <c r="G3" s="41">
        <f t="shared" ref="G3:G8" si="1">E3+F3</f>
        <v>736.875</v>
      </c>
      <c r="H3" s="53">
        <f t="shared" ref="H3:H8" si="2">G3-(G3*25%)</f>
        <v>552.65625</v>
      </c>
      <c r="I3" s="54">
        <f t="shared" ref="I3:I8" si="3">E3*50%</f>
        <v>245.625</v>
      </c>
      <c r="J3" s="55">
        <f t="shared" ref="J3:J8" si="4">E3+(I3*2)</f>
        <v>982.5</v>
      </c>
      <c r="K3" s="56">
        <f t="shared" ref="K3:K8" si="5">J3-(J3*25%)</f>
        <v>736.875</v>
      </c>
      <c r="L3" s="248"/>
    </row>
    <row r="4" spans="1:12" ht="15.75" x14ac:dyDescent="0.25">
      <c r="A4" s="170" t="s">
        <v>791</v>
      </c>
      <c r="B4" s="50" t="s">
        <v>1766</v>
      </c>
      <c r="C4" s="235"/>
      <c r="D4" s="235"/>
      <c r="E4" s="116">
        <v>491.25</v>
      </c>
      <c r="F4" s="58">
        <f t="shared" si="0"/>
        <v>245.625</v>
      </c>
      <c r="G4" s="41">
        <f t="shared" si="1"/>
        <v>736.875</v>
      </c>
      <c r="H4" s="53">
        <f t="shared" si="2"/>
        <v>552.65625</v>
      </c>
      <c r="I4" s="54">
        <f t="shared" si="3"/>
        <v>245.625</v>
      </c>
      <c r="J4" s="55">
        <f t="shared" si="4"/>
        <v>982.5</v>
      </c>
      <c r="K4" s="56">
        <f t="shared" si="5"/>
        <v>736.875</v>
      </c>
      <c r="L4" s="248"/>
    </row>
    <row r="5" spans="1:12" ht="15.75" x14ac:dyDescent="0.25">
      <c r="A5" s="170" t="s">
        <v>792</v>
      </c>
      <c r="B5" s="50" t="s">
        <v>1766</v>
      </c>
      <c r="C5" s="47">
        <v>25</v>
      </c>
      <c r="D5" s="47">
        <v>25</v>
      </c>
      <c r="E5" s="116">
        <v>482.625</v>
      </c>
      <c r="F5" s="58">
        <f t="shared" si="0"/>
        <v>241.3125</v>
      </c>
      <c r="G5" s="41">
        <f t="shared" si="1"/>
        <v>723.9375</v>
      </c>
      <c r="H5" s="53">
        <f t="shared" si="2"/>
        <v>542.953125</v>
      </c>
      <c r="I5" s="54">
        <f t="shared" si="3"/>
        <v>241.3125</v>
      </c>
      <c r="J5" s="55">
        <f t="shared" si="4"/>
        <v>965.25</v>
      </c>
      <c r="K5" s="56">
        <f t="shared" si="5"/>
        <v>723.9375</v>
      </c>
      <c r="L5" s="248"/>
    </row>
    <row r="6" spans="1:12" ht="15.75" x14ac:dyDescent="0.25">
      <c r="A6" s="170" t="s">
        <v>793</v>
      </c>
      <c r="B6" s="50" t="s">
        <v>1766</v>
      </c>
      <c r="C6" s="235"/>
      <c r="D6" s="235"/>
      <c r="E6" s="116">
        <v>482.625</v>
      </c>
      <c r="F6" s="58">
        <f t="shared" si="0"/>
        <v>241.3125</v>
      </c>
      <c r="G6" s="41">
        <f t="shared" si="1"/>
        <v>723.9375</v>
      </c>
      <c r="H6" s="53">
        <f t="shared" si="2"/>
        <v>542.953125</v>
      </c>
      <c r="I6" s="54">
        <f t="shared" si="3"/>
        <v>241.3125</v>
      </c>
      <c r="J6" s="55">
        <f t="shared" si="4"/>
        <v>965.25</v>
      </c>
      <c r="K6" s="56">
        <f t="shared" si="5"/>
        <v>723.9375</v>
      </c>
      <c r="L6" s="248"/>
    </row>
    <row r="7" spans="1:12" ht="15.75" x14ac:dyDescent="0.25">
      <c r="A7" s="170" t="s">
        <v>794</v>
      </c>
      <c r="B7" s="50" t="s">
        <v>1766</v>
      </c>
      <c r="C7" s="235"/>
      <c r="D7" s="235"/>
      <c r="E7" s="116">
        <v>482.625</v>
      </c>
      <c r="F7" s="58">
        <f t="shared" si="0"/>
        <v>241.3125</v>
      </c>
      <c r="G7" s="41">
        <f t="shared" si="1"/>
        <v>723.9375</v>
      </c>
      <c r="H7" s="53">
        <f t="shared" si="2"/>
        <v>542.953125</v>
      </c>
      <c r="I7" s="54">
        <f t="shared" si="3"/>
        <v>241.3125</v>
      </c>
      <c r="J7" s="55">
        <f t="shared" si="4"/>
        <v>965.25</v>
      </c>
      <c r="K7" s="56">
        <f t="shared" si="5"/>
        <v>723.9375</v>
      </c>
      <c r="L7" s="248"/>
    </row>
    <row r="8" spans="1:12" ht="15.75" x14ac:dyDescent="0.25">
      <c r="A8" s="170" t="s">
        <v>795</v>
      </c>
      <c r="B8" s="50" t="s">
        <v>1766</v>
      </c>
      <c r="C8" s="235"/>
      <c r="D8" s="235"/>
      <c r="E8" s="116">
        <v>482.625</v>
      </c>
      <c r="F8" s="58">
        <f t="shared" si="0"/>
        <v>241.3125</v>
      </c>
      <c r="G8" s="41">
        <f t="shared" si="1"/>
        <v>723.9375</v>
      </c>
      <c r="H8" s="53">
        <f t="shared" si="2"/>
        <v>542.953125</v>
      </c>
      <c r="I8" s="54">
        <f t="shared" si="3"/>
        <v>241.3125</v>
      </c>
      <c r="J8" s="55">
        <f t="shared" si="4"/>
        <v>965.25</v>
      </c>
      <c r="K8" s="56">
        <f t="shared" si="5"/>
        <v>723.9375</v>
      </c>
      <c r="L8" s="248"/>
    </row>
    <row r="9" spans="1:12" ht="15.75" x14ac:dyDescent="0.25">
      <c r="A9" s="170"/>
      <c r="B9" s="50"/>
      <c r="C9" s="47"/>
      <c r="D9" s="47"/>
      <c r="E9" s="116"/>
      <c r="F9" s="56"/>
      <c r="G9" s="56"/>
      <c r="H9" s="249"/>
      <c r="I9" s="56"/>
      <c r="J9" s="212"/>
      <c r="K9" s="65"/>
      <c r="L9" s="248"/>
    </row>
    <row r="10" spans="1:12" ht="15.75" x14ac:dyDescent="0.25">
      <c r="A10" s="170" t="s">
        <v>796</v>
      </c>
      <c r="B10" s="50" t="s">
        <v>1026</v>
      </c>
      <c r="C10" s="47">
        <v>6.25</v>
      </c>
      <c r="D10" s="47">
        <v>6.25</v>
      </c>
      <c r="E10" s="116">
        <v>447.38</v>
      </c>
      <c r="F10" s="58">
        <f t="shared" ref="F10:F13" si="6">E10*50%</f>
        <v>223.69</v>
      </c>
      <c r="G10" s="41">
        <f t="shared" ref="G10:G13" si="7">E10+F10</f>
        <v>671.06999999999994</v>
      </c>
      <c r="H10" s="53">
        <f t="shared" ref="H10:H13" si="8">G10-(G10*25%)</f>
        <v>503.30249999999995</v>
      </c>
      <c r="I10" s="54">
        <f t="shared" ref="I10:I13" si="9">E10*50%</f>
        <v>223.69</v>
      </c>
      <c r="J10" s="55">
        <f t="shared" ref="J10:J13" si="10">E10+(I10*2)</f>
        <v>894.76</v>
      </c>
      <c r="K10" s="56">
        <f t="shared" ref="K10:K13" si="11">J10-(J10*25%)</f>
        <v>671.06999999999994</v>
      </c>
      <c r="L10" s="248"/>
    </row>
    <row r="11" spans="1:12" ht="15.75" x14ac:dyDescent="0.25">
      <c r="A11" s="170" t="s">
        <v>797</v>
      </c>
      <c r="B11" s="50" t="s">
        <v>2052</v>
      </c>
      <c r="C11" s="47">
        <v>6.25</v>
      </c>
      <c r="D11" s="47">
        <v>6.25</v>
      </c>
      <c r="E11" s="116">
        <v>447.38</v>
      </c>
      <c r="F11" s="58">
        <f t="shared" si="6"/>
        <v>223.69</v>
      </c>
      <c r="G11" s="41">
        <f t="shared" si="7"/>
        <v>671.06999999999994</v>
      </c>
      <c r="H11" s="53">
        <f t="shared" si="8"/>
        <v>503.30249999999995</v>
      </c>
      <c r="I11" s="54">
        <f t="shared" si="9"/>
        <v>223.69</v>
      </c>
      <c r="J11" s="55">
        <f t="shared" si="10"/>
        <v>894.76</v>
      </c>
      <c r="K11" s="56">
        <f t="shared" si="11"/>
        <v>671.06999999999994</v>
      </c>
      <c r="L11" s="248"/>
    </row>
    <row r="12" spans="1:12" ht="15.75" x14ac:dyDescent="0.25">
      <c r="A12" s="170" t="s">
        <v>798</v>
      </c>
      <c r="B12" s="50" t="s">
        <v>1582</v>
      </c>
      <c r="C12" s="47">
        <v>6.25</v>
      </c>
      <c r="D12" s="47">
        <v>6.25</v>
      </c>
      <c r="E12" s="116">
        <v>329.15</v>
      </c>
      <c r="F12" s="58">
        <f t="shared" si="6"/>
        <v>164.57499999999999</v>
      </c>
      <c r="G12" s="41">
        <f t="shared" si="7"/>
        <v>493.72499999999997</v>
      </c>
      <c r="H12" s="53">
        <f t="shared" si="8"/>
        <v>370.29374999999999</v>
      </c>
      <c r="I12" s="54">
        <f t="shared" si="9"/>
        <v>164.57499999999999</v>
      </c>
      <c r="J12" s="55">
        <f t="shared" si="10"/>
        <v>658.3</v>
      </c>
      <c r="K12" s="56">
        <f t="shared" si="11"/>
        <v>493.72499999999997</v>
      </c>
      <c r="L12" s="248"/>
    </row>
    <row r="13" spans="1:12" ht="15.75" x14ac:dyDescent="0.25">
      <c r="A13" s="170" t="s">
        <v>799</v>
      </c>
      <c r="B13" s="50" t="s">
        <v>1582</v>
      </c>
      <c r="C13" s="47">
        <v>6.25</v>
      </c>
      <c r="D13" s="47">
        <v>6.25</v>
      </c>
      <c r="E13" s="116">
        <v>329.15</v>
      </c>
      <c r="F13" s="58">
        <f t="shared" si="6"/>
        <v>164.57499999999999</v>
      </c>
      <c r="G13" s="41">
        <f t="shared" si="7"/>
        <v>493.72499999999997</v>
      </c>
      <c r="H13" s="53">
        <f t="shared" si="8"/>
        <v>370.29374999999999</v>
      </c>
      <c r="I13" s="54">
        <f t="shared" si="9"/>
        <v>164.57499999999999</v>
      </c>
      <c r="J13" s="55">
        <f t="shared" si="10"/>
        <v>658.3</v>
      </c>
      <c r="K13" s="56">
        <f t="shared" si="11"/>
        <v>493.72499999999997</v>
      </c>
      <c r="L13" s="248"/>
    </row>
    <row r="14" spans="1:12" ht="15.75" x14ac:dyDescent="0.25">
      <c r="A14" s="170"/>
      <c r="B14" s="250"/>
      <c r="C14" s="47"/>
      <c r="D14" s="47"/>
      <c r="E14" s="116"/>
      <c r="F14" s="56"/>
      <c r="G14" s="251"/>
      <c r="H14" s="56"/>
      <c r="I14" s="237"/>
      <c r="J14" s="213"/>
      <c r="K14" s="252"/>
      <c r="L14" s="248"/>
    </row>
    <row r="15" spans="1:12" ht="15.75" x14ac:dyDescent="0.25">
      <c r="A15" s="170" t="s">
        <v>802</v>
      </c>
      <c r="B15" s="50" t="s">
        <v>1027</v>
      </c>
      <c r="C15" s="47">
        <v>12.5</v>
      </c>
      <c r="D15" s="47">
        <v>12.5</v>
      </c>
      <c r="E15" s="116">
        <v>401.62</v>
      </c>
      <c r="F15" s="58">
        <f t="shared" ref="F15:F20" si="12">E15*50%</f>
        <v>200.81</v>
      </c>
      <c r="G15" s="41">
        <f t="shared" ref="G15:G20" si="13">E15+F15</f>
        <v>602.43000000000006</v>
      </c>
      <c r="H15" s="53">
        <f t="shared" ref="H15:H20" si="14">G15-(G15*25%)</f>
        <v>451.82250000000005</v>
      </c>
      <c r="I15" s="54">
        <f t="shared" ref="I15:I20" si="15">E15*50%</f>
        <v>200.81</v>
      </c>
      <c r="J15" s="55">
        <f t="shared" ref="J15:J20" si="16">E15+(I15*2)</f>
        <v>803.24</v>
      </c>
      <c r="K15" s="56">
        <f t="shared" ref="K15:K20" si="17">J15-(J15*25%)</f>
        <v>602.43000000000006</v>
      </c>
      <c r="L15" s="248"/>
    </row>
    <row r="16" spans="1:12" ht="15.75" x14ac:dyDescent="0.25">
      <c r="A16" s="170" t="s">
        <v>803</v>
      </c>
      <c r="B16" s="50" t="s">
        <v>1905</v>
      </c>
      <c r="C16" s="47">
        <v>6.25</v>
      </c>
      <c r="D16" s="47">
        <v>6.25</v>
      </c>
      <c r="E16" s="116">
        <v>461.97500000000002</v>
      </c>
      <c r="F16" s="58">
        <f t="shared" si="12"/>
        <v>230.98750000000001</v>
      </c>
      <c r="G16" s="41">
        <f t="shared" si="13"/>
        <v>692.96250000000009</v>
      </c>
      <c r="H16" s="53">
        <f t="shared" si="14"/>
        <v>519.72187500000007</v>
      </c>
      <c r="I16" s="54">
        <f t="shared" si="15"/>
        <v>230.98750000000001</v>
      </c>
      <c r="J16" s="55">
        <f t="shared" si="16"/>
        <v>923.95</v>
      </c>
      <c r="K16" s="56">
        <f t="shared" si="17"/>
        <v>692.96250000000009</v>
      </c>
      <c r="L16" s="248"/>
    </row>
    <row r="17" spans="1:12" ht="15.75" x14ac:dyDescent="0.25">
      <c r="A17" s="170" t="s">
        <v>804</v>
      </c>
      <c r="B17" s="50" t="s">
        <v>1905</v>
      </c>
      <c r="C17" s="47">
        <v>6.25</v>
      </c>
      <c r="D17" s="47">
        <v>6.25</v>
      </c>
      <c r="E17" s="116">
        <v>461.97500000000002</v>
      </c>
      <c r="F17" s="58">
        <f t="shared" si="12"/>
        <v>230.98750000000001</v>
      </c>
      <c r="G17" s="41">
        <f t="shared" si="13"/>
        <v>692.96250000000009</v>
      </c>
      <c r="H17" s="53">
        <f t="shared" si="14"/>
        <v>519.72187500000007</v>
      </c>
      <c r="I17" s="54">
        <f t="shared" si="15"/>
        <v>230.98750000000001</v>
      </c>
      <c r="J17" s="55">
        <f t="shared" si="16"/>
        <v>923.95</v>
      </c>
      <c r="K17" s="56">
        <f t="shared" si="17"/>
        <v>692.96250000000009</v>
      </c>
      <c r="L17" s="248"/>
    </row>
    <row r="18" spans="1:12" ht="15.75" x14ac:dyDescent="0.25">
      <c r="A18" s="170" t="s">
        <v>805</v>
      </c>
      <c r="B18" s="50" t="s">
        <v>1928</v>
      </c>
      <c r="C18" s="47">
        <v>12.5</v>
      </c>
      <c r="D18" s="47">
        <v>12.5</v>
      </c>
      <c r="E18" s="116">
        <v>482.625</v>
      </c>
      <c r="F18" s="58">
        <f t="shared" si="12"/>
        <v>241.3125</v>
      </c>
      <c r="G18" s="41">
        <f t="shared" si="13"/>
        <v>723.9375</v>
      </c>
      <c r="H18" s="53">
        <f t="shared" si="14"/>
        <v>542.953125</v>
      </c>
      <c r="I18" s="54">
        <f t="shared" si="15"/>
        <v>241.3125</v>
      </c>
      <c r="J18" s="55">
        <f t="shared" si="16"/>
        <v>965.25</v>
      </c>
      <c r="K18" s="56">
        <f t="shared" si="17"/>
        <v>723.9375</v>
      </c>
      <c r="L18" s="248"/>
    </row>
    <row r="19" spans="1:12" ht="15.75" x14ac:dyDescent="0.25">
      <c r="A19" s="170" t="s">
        <v>887</v>
      </c>
      <c r="B19" s="50" t="s">
        <v>1928</v>
      </c>
      <c r="C19" s="235"/>
      <c r="D19" s="235"/>
      <c r="E19" s="116">
        <v>482.625</v>
      </c>
      <c r="F19" s="58">
        <f t="shared" si="12"/>
        <v>241.3125</v>
      </c>
      <c r="G19" s="41">
        <f t="shared" si="13"/>
        <v>723.9375</v>
      </c>
      <c r="H19" s="53">
        <f t="shared" si="14"/>
        <v>542.953125</v>
      </c>
      <c r="I19" s="54">
        <f t="shared" si="15"/>
        <v>241.3125</v>
      </c>
      <c r="J19" s="55">
        <f t="shared" si="16"/>
        <v>965.25</v>
      </c>
      <c r="K19" s="56">
        <f t="shared" si="17"/>
        <v>723.9375</v>
      </c>
      <c r="L19" s="248"/>
    </row>
    <row r="20" spans="1:12" ht="15.75" x14ac:dyDescent="0.25">
      <c r="A20" s="170" t="s">
        <v>888</v>
      </c>
      <c r="B20" s="50" t="s">
        <v>1027</v>
      </c>
      <c r="C20" s="235"/>
      <c r="D20" s="235"/>
      <c r="E20" s="116">
        <v>401.62</v>
      </c>
      <c r="F20" s="58">
        <f t="shared" si="12"/>
        <v>200.81</v>
      </c>
      <c r="G20" s="41">
        <f t="shared" si="13"/>
        <v>602.43000000000006</v>
      </c>
      <c r="H20" s="53">
        <f t="shared" si="14"/>
        <v>451.82250000000005</v>
      </c>
      <c r="I20" s="54">
        <f t="shared" si="15"/>
        <v>200.81</v>
      </c>
      <c r="J20" s="55">
        <f t="shared" si="16"/>
        <v>803.24</v>
      </c>
      <c r="K20" s="56">
        <f t="shared" si="17"/>
        <v>602.43000000000006</v>
      </c>
      <c r="L20" s="248"/>
    </row>
    <row r="21" spans="1:12" ht="15.75" x14ac:dyDescent="0.25">
      <c r="A21" s="170"/>
      <c r="B21" s="50"/>
      <c r="C21" s="47"/>
      <c r="D21" s="47"/>
      <c r="E21" s="116"/>
      <c r="F21" s="56"/>
      <c r="G21" s="251"/>
      <c r="H21" s="56"/>
      <c r="I21" s="237"/>
      <c r="J21" s="213"/>
      <c r="K21" s="252"/>
      <c r="L21" s="248"/>
    </row>
    <row r="22" spans="1:12" ht="15.75" x14ac:dyDescent="0.25">
      <c r="A22" s="170" t="s">
        <v>889</v>
      </c>
      <c r="B22" s="50" t="s">
        <v>1028</v>
      </c>
      <c r="C22" s="47">
        <v>37.5</v>
      </c>
      <c r="D22" s="47">
        <v>37.5</v>
      </c>
      <c r="E22" s="116">
        <v>447.375</v>
      </c>
      <c r="F22" s="58">
        <f t="shared" ref="F22:F25" si="18">E22*50%</f>
        <v>223.6875</v>
      </c>
      <c r="G22" s="41">
        <f t="shared" ref="G22:G25" si="19">E22+F22</f>
        <v>671.0625</v>
      </c>
      <c r="H22" s="53">
        <f t="shared" ref="H22:H25" si="20">G22-(G22*25%)</f>
        <v>503.296875</v>
      </c>
      <c r="I22" s="54">
        <f t="shared" ref="I22:I25" si="21">E22*50%</f>
        <v>223.6875</v>
      </c>
      <c r="J22" s="55">
        <f t="shared" ref="J22:J25" si="22">E22+(I22*2)</f>
        <v>894.75</v>
      </c>
      <c r="K22" s="56">
        <f t="shared" ref="K22:K25" si="23">J22-(J22*25%)</f>
        <v>671.0625</v>
      </c>
      <c r="L22" s="248"/>
    </row>
    <row r="23" spans="1:12" ht="15.75" x14ac:dyDescent="0.25">
      <c r="A23" s="170" t="s">
        <v>890</v>
      </c>
      <c r="B23" s="50" t="s">
        <v>1898</v>
      </c>
      <c r="C23" s="235"/>
      <c r="D23" s="235"/>
      <c r="E23" s="116">
        <v>447.375</v>
      </c>
      <c r="F23" s="58">
        <f t="shared" si="18"/>
        <v>223.6875</v>
      </c>
      <c r="G23" s="41">
        <f t="shared" si="19"/>
        <v>671.0625</v>
      </c>
      <c r="H23" s="53">
        <f t="shared" si="20"/>
        <v>503.296875</v>
      </c>
      <c r="I23" s="54">
        <f t="shared" si="21"/>
        <v>223.6875</v>
      </c>
      <c r="J23" s="55">
        <f t="shared" si="22"/>
        <v>894.75</v>
      </c>
      <c r="K23" s="56">
        <f t="shared" si="23"/>
        <v>671.0625</v>
      </c>
      <c r="L23" s="248"/>
    </row>
    <row r="24" spans="1:12" ht="15.75" x14ac:dyDescent="0.25">
      <c r="A24" s="170" t="s">
        <v>891</v>
      </c>
      <c r="B24" s="50" t="s">
        <v>1898</v>
      </c>
      <c r="C24" s="235"/>
      <c r="D24" s="235"/>
      <c r="E24" s="116">
        <v>447.375</v>
      </c>
      <c r="F24" s="58">
        <f t="shared" si="18"/>
        <v>223.6875</v>
      </c>
      <c r="G24" s="41">
        <f t="shared" si="19"/>
        <v>671.0625</v>
      </c>
      <c r="H24" s="53">
        <f t="shared" si="20"/>
        <v>503.296875</v>
      </c>
      <c r="I24" s="54">
        <f t="shared" si="21"/>
        <v>223.6875</v>
      </c>
      <c r="J24" s="55">
        <f t="shared" si="22"/>
        <v>894.75</v>
      </c>
      <c r="K24" s="56">
        <f t="shared" si="23"/>
        <v>671.0625</v>
      </c>
      <c r="L24" s="248"/>
    </row>
    <row r="25" spans="1:12" ht="15.75" x14ac:dyDescent="0.25">
      <c r="A25" s="170" t="s">
        <v>892</v>
      </c>
      <c r="B25" s="50" t="s">
        <v>1898</v>
      </c>
      <c r="C25" s="235"/>
      <c r="D25" s="235"/>
      <c r="E25" s="116">
        <v>447.375</v>
      </c>
      <c r="F25" s="58">
        <f t="shared" si="18"/>
        <v>223.6875</v>
      </c>
      <c r="G25" s="41">
        <f t="shared" si="19"/>
        <v>671.0625</v>
      </c>
      <c r="H25" s="53">
        <f t="shared" si="20"/>
        <v>503.296875</v>
      </c>
      <c r="I25" s="54">
        <f t="shared" si="21"/>
        <v>223.6875</v>
      </c>
      <c r="J25" s="55">
        <f t="shared" si="22"/>
        <v>894.75</v>
      </c>
      <c r="K25" s="56">
        <f t="shared" si="23"/>
        <v>671.0625</v>
      </c>
      <c r="L25" s="248"/>
    </row>
    <row r="26" spans="1:12" ht="15.75" x14ac:dyDescent="0.25">
      <c r="A26" s="170"/>
      <c r="B26" s="50"/>
      <c r="C26" s="47"/>
      <c r="D26" s="47"/>
      <c r="E26" s="116"/>
      <c r="F26" s="56"/>
      <c r="G26" s="251"/>
      <c r="H26" s="56"/>
      <c r="I26" s="237"/>
      <c r="J26" s="213"/>
      <c r="K26" s="252"/>
      <c r="L26" s="248"/>
    </row>
    <row r="27" spans="1:12" ht="15.75" x14ac:dyDescent="0.25">
      <c r="A27" s="170" t="s">
        <v>893</v>
      </c>
      <c r="B27" s="50" t="s">
        <v>1029</v>
      </c>
      <c r="C27" s="47">
        <v>12.5</v>
      </c>
      <c r="D27" s="47">
        <v>12.5</v>
      </c>
      <c r="E27" s="116">
        <v>447.44499999999999</v>
      </c>
      <c r="F27" s="58">
        <f t="shared" ref="F27:F32" si="24">E27*50%</f>
        <v>223.7225</v>
      </c>
      <c r="G27" s="41">
        <f t="shared" ref="G27:G32" si="25">E27+F27</f>
        <v>671.16750000000002</v>
      </c>
      <c r="H27" s="53">
        <f t="shared" ref="H27:H32" si="26">G27-(G27*25%)</f>
        <v>503.37562500000001</v>
      </c>
      <c r="I27" s="54">
        <f t="shared" ref="I27:I32" si="27">E27*50%</f>
        <v>223.7225</v>
      </c>
      <c r="J27" s="55">
        <f t="shared" ref="J27:J32" si="28">E27+(I27*2)</f>
        <v>894.89</v>
      </c>
      <c r="K27" s="56">
        <f t="shared" ref="K27:K32" si="29">J27-(J27*25%)</f>
        <v>671.16750000000002</v>
      </c>
      <c r="L27" s="248"/>
    </row>
    <row r="28" spans="1:12" ht="15.75" x14ac:dyDescent="0.25">
      <c r="A28" s="170" t="s">
        <v>894</v>
      </c>
      <c r="B28" s="50" t="s">
        <v>1030</v>
      </c>
      <c r="C28" s="47">
        <v>12.5</v>
      </c>
      <c r="D28" s="47">
        <v>12.5</v>
      </c>
      <c r="E28" s="116">
        <v>482.62</v>
      </c>
      <c r="F28" s="58">
        <f t="shared" si="24"/>
        <v>241.31</v>
      </c>
      <c r="G28" s="41">
        <f t="shared" si="25"/>
        <v>723.93000000000006</v>
      </c>
      <c r="H28" s="53">
        <f t="shared" si="26"/>
        <v>542.94749999999999</v>
      </c>
      <c r="I28" s="54">
        <f t="shared" si="27"/>
        <v>241.31</v>
      </c>
      <c r="J28" s="55">
        <f t="shared" si="28"/>
        <v>965.24</v>
      </c>
      <c r="K28" s="56">
        <f t="shared" si="29"/>
        <v>723.93000000000006</v>
      </c>
      <c r="L28" s="248"/>
    </row>
    <row r="29" spans="1:12" ht="15.75" x14ac:dyDescent="0.25">
      <c r="A29" s="170" t="s">
        <v>895</v>
      </c>
      <c r="B29" s="50" t="s">
        <v>1904</v>
      </c>
      <c r="C29" s="235"/>
      <c r="D29" s="235"/>
      <c r="E29" s="116">
        <v>482.62</v>
      </c>
      <c r="F29" s="58">
        <f t="shared" si="24"/>
        <v>241.31</v>
      </c>
      <c r="G29" s="41">
        <f t="shared" si="25"/>
        <v>723.93000000000006</v>
      </c>
      <c r="H29" s="53">
        <f t="shared" si="26"/>
        <v>542.94749999999999</v>
      </c>
      <c r="I29" s="54">
        <f t="shared" si="27"/>
        <v>241.31</v>
      </c>
      <c r="J29" s="55">
        <f t="shared" si="28"/>
        <v>965.24</v>
      </c>
      <c r="K29" s="56">
        <f t="shared" si="29"/>
        <v>723.93000000000006</v>
      </c>
      <c r="L29" s="248"/>
    </row>
    <row r="30" spans="1:12" ht="15.75" x14ac:dyDescent="0.25">
      <c r="A30" s="170" t="s">
        <v>1369</v>
      </c>
      <c r="B30" s="50" t="s">
        <v>1031</v>
      </c>
      <c r="C30" s="47">
        <v>12.5</v>
      </c>
      <c r="D30" s="47">
        <v>12.5</v>
      </c>
      <c r="E30" s="116">
        <v>482.62</v>
      </c>
      <c r="F30" s="58">
        <f t="shared" si="24"/>
        <v>241.31</v>
      </c>
      <c r="G30" s="41">
        <f t="shared" si="25"/>
        <v>723.93000000000006</v>
      </c>
      <c r="H30" s="53">
        <f t="shared" si="26"/>
        <v>542.94749999999999</v>
      </c>
      <c r="I30" s="54">
        <f t="shared" si="27"/>
        <v>241.31</v>
      </c>
      <c r="J30" s="55">
        <f t="shared" si="28"/>
        <v>965.24</v>
      </c>
      <c r="K30" s="56">
        <f t="shared" si="29"/>
        <v>723.93000000000006</v>
      </c>
      <c r="L30" s="248"/>
    </row>
    <row r="31" spans="1:12" ht="15.75" x14ac:dyDescent="0.25">
      <c r="A31" s="170" t="s">
        <v>897</v>
      </c>
      <c r="B31" s="50" t="s">
        <v>1651</v>
      </c>
      <c r="C31" s="235"/>
      <c r="D31" s="235"/>
      <c r="E31" s="116">
        <v>482.62</v>
      </c>
      <c r="F31" s="58">
        <f t="shared" si="24"/>
        <v>241.31</v>
      </c>
      <c r="G31" s="41">
        <f t="shared" si="25"/>
        <v>723.93000000000006</v>
      </c>
      <c r="H31" s="53">
        <f t="shared" si="26"/>
        <v>542.94749999999999</v>
      </c>
      <c r="I31" s="54">
        <f t="shared" si="27"/>
        <v>241.31</v>
      </c>
      <c r="J31" s="55">
        <f t="shared" si="28"/>
        <v>965.24</v>
      </c>
      <c r="K31" s="56">
        <f t="shared" si="29"/>
        <v>723.93000000000006</v>
      </c>
      <c r="L31" s="248"/>
    </row>
    <row r="32" spans="1:12" ht="15.75" x14ac:dyDescent="0.25">
      <c r="A32" s="170" t="s">
        <v>898</v>
      </c>
      <c r="B32" s="50" t="s">
        <v>1903</v>
      </c>
      <c r="C32" s="235"/>
      <c r="D32" s="235"/>
      <c r="E32" s="116">
        <v>447.48</v>
      </c>
      <c r="F32" s="58">
        <f t="shared" si="24"/>
        <v>223.74</v>
      </c>
      <c r="G32" s="41">
        <f t="shared" si="25"/>
        <v>671.22</v>
      </c>
      <c r="H32" s="53">
        <f t="shared" si="26"/>
        <v>503.41500000000002</v>
      </c>
      <c r="I32" s="54">
        <f t="shared" si="27"/>
        <v>223.74</v>
      </c>
      <c r="J32" s="55">
        <f t="shared" si="28"/>
        <v>894.96</v>
      </c>
      <c r="K32" s="56">
        <f t="shared" si="29"/>
        <v>671.22</v>
      </c>
      <c r="L32" s="248"/>
    </row>
    <row r="33" spans="1:12" ht="15.75" x14ac:dyDescent="0.25">
      <c r="A33" s="170"/>
      <c r="B33" s="50"/>
      <c r="C33" s="47"/>
      <c r="D33" s="47"/>
      <c r="E33" s="116"/>
      <c r="F33" s="56"/>
      <c r="G33" s="251"/>
      <c r="H33" s="56"/>
      <c r="I33" s="237"/>
      <c r="J33" s="213"/>
      <c r="K33" s="252"/>
      <c r="L33" s="248"/>
    </row>
    <row r="34" spans="1:12" ht="15.75" x14ac:dyDescent="0.25">
      <c r="A34" s="170" t="s">
        <v>899</v>
      </c>
      <c r="B34" s="50" t="s">
        <v>1899</v>
      </c>
      <c r="C34" s="47">
        <v>12.5</v>
      </c>
      <c r="D34" s="47">
        <v>12.5</v>
      </c>
      <c r="E34" s="116">
        <v>447.35</v>
      </c>
      <c r="F34" s="58">
        <f t="shared" ref="F34:F37" si="30">E34*50%</f>
        <v>223.67500000000001</v>
      </c>
      <c r="G34" s="41">
        <f t="shared" ref="G34:G37" si="31">E34+F34</f>
        <v>671.02500000000009</v>
      </c>
      <c r="H34" s="53">
        <f t="shared" ref="H34:H37" si="32">G34-(G34*25%)</f>
        <v>503.26875000000007</v>
      </c>
      <c r="I34" s="54">
        <f t="shared" ref="I34:I37" si="33">E34*50%</f>
        <v>223.67500000000001</v>
      </c>
      <c r="J34" s="55">
        <f t="shared" ref="J34:J37" si="34">E34+(I34*2)</f>
        <v>894.7</v>
      </c>
      <c r="K34" s="56">
        <f t="shared" ref="K34:K37" si="35">J34-(J34*25%)</f>
        <v>671.02500000000009</v>
      </c>
      <c r="L34" s="248"/>
    </row>
    <row r="35" spans="1:12" ht="15.75" x14ac:dyDescent="0.25">
      <c r="A35" s="170" t="s">
        <v>900</v>
      </c>
      <c r="B35" s="50" t="s">
        <v>1899</v>
      </c>
      <c r="C35" s="235"/>
      <c r="D35" s="235"/>
      <c r="E35" s="116">
        <v>447.35</v>
      </c>
      <c r="F35" s="58">
        <f t="shared" si="30"/>
        <v>223.67500000000001</v>
      </c>
      <c r="G35" s="41">
        <f t="shared" si="31"/>
        <v>671.02500000000009</v>
      </c>
      <c r="H35" s="53">
        <f t="shared" si="32"/>
        <v>503.26875000000007</v>
      </c>
      <c r="I35" s="54">
        <f t="shared" si="33"/>
        <v>223.67500000000001</v>
      </c>
      <c r="J35" s="55">
        <f t="shared" si="34"/>
        <v>894.7</v>
      </c>
      <c r="K35" s="56">
        <f t="shared" si="35"/>
        <v>671.02500000000009</v>
      </c>
      <c r="L35" s="248"/>
    </row>
    <row r="36" spans="1:12" ht="15.75" x14ac:dyDescent="0.25">
      <c r="A36" s="170" t="s">
        <v>901</v>
      </c>
      <c r="B36" s="50" t="s">
        <v>1458</v>
      </c>
      <c r="C36" s="47">
        <v>12.5</v>
      </c>
      <c r="D36" s="47">
        <v>12.5</v>
      </c>
      <c r="E36" s="116">
        <v>447.37</v>
      </c>
      <c r="F36" s="58">
        <f t="shared" si="30"/>
        <v>223.685</v>
      </c>
      <c r="G36" s="41">
        <f t="shared" si="31"/>
        <v>671.05500000000006</v>
      </c>
      <c r="H36" s="53">
        <f t="shared" si="32"/>
        <v>503.29125000000005</v>
      </c>
      <c r="I36" s="54">
        <f t="shared" si="33"/>
        <v>223.685</v>
      </c>
      <c r="J36" s="55">
        <f t="shared" si="34"/>
        <v>894.74</v>
      </c>
      <c r="K36" s="56">
        <f t="shared" si="35"/>
        <v>671.05500000000006</v>
      </c>
      <c r="L36" s="248"/>
    </row>
    <row r="37" spans="1:12" ht="15.75" x14ac:dyDescent="0.25">
      <c r="A37" s="170" t="s">
        <v>902</v>
      </c>
      <c r="B37" s="50" t="s">
        <v>1459</v>
      </c>
      <c r="C37" s="235"/>
      <c r="D37" s="235"/>
      <c r="E37" s="116">
        <v>447.37</v>
      </c>
      <c r="F37" s="58">
        <f t="shared" si="30"/>
        <v>223.685</v>
      </c>
      <c r="G37" s="41">
        <f t="shared" si="31"/>
        <v>671.05500000000006</v>
      </c>
      <c r="H37" s="53">
        <f t="shared" si="32"/>
        <v>503.29125000000005</v>
      </c>
      <c r="I37" s="54">
        <f t="shared" si="33"/>
        <v>223.685</v>
      </c>
      <c r="J37" s="55">
        <f t="shared" si="34"/>
        <v>894.74</v>
      </c>
      <c r="K37" s="56">
        <f t="shared" si="35"/>
        <v>671.05500000000006</v>
      </c>
      <c r="L37" s="248"/>
    </row>
    <row r="38" spans="1:12" ht="15.75" x14ac:dyDescent="0.25">
      <c r="A38" s="170"/>
      <c r="B38" s="50"/>
      <c r="C38" s="47"/>
      <c r="D38" s="47"/>
      <c r="E38" s="116"/>
      <c r="F38" s="56"/>
      <c r="G38" s="251"/>
      <c r="H38" s="56"/>
      <c r="I38" s="237"/>
      <c r="J38" s="213"/>
      <c r="K38" s="252"/>
      <c r="L38" s="248"/>
    </row>
    <row r="39" spans="1:12" ht="15.75" x14ac:dyDescent="0.25">
      <c r="A39" s="170" t="s">
        <v>903</v>
      </c>
      <c r="B39" s="50" t="s">
        <v>1325</v>
      </c>
      <c r="C39" s="47">
        <v>7</v>
      </c>
      <c r="D39" s="47">
        <v>7</v>
      </c>
      <c r="E39" s="116">
        <v>540.54</v>
      </c>
      <c r="F39" s="58">
        <f t="shared" ref="F39:F77" si="36">E39*50%</f>
        <v>270.27</v>
      </c>
      <c r="G39" s="41">
        <f t="shared" ref="G39:G44" si="37">E39+F39</f>
        <v>810.81</v>
      </c>
      <c r="H39" s="53">
        <f t="shared" ref="H39:H44" si="38">G39-(G39*25%)</f>
        <v>608.10749999999996</v>
      </c>
      <c r="I39" s="54">
        <f t="shared" ref="I39:I44" si="39">E39*50%</f>
        <v>270.27</v>
      </c>
      <c r="J39" s="55">
        <f t="shared" ref="J39:J44" si="40">E39+(I39*2)</f>
        <v>1081.08</v>
      </c>
      <c r="K39" s="56">
        <f t="shared" ref="K39:K44" si="41">J39-(J39*25%)</f>
        <v>810.81</v>
      </c>
      <c r="L39" s="248"/>
    </row>
    <row r="40" spans="1:12" ht="15.75" x14ac:dyDescent="0.25">
      <c r="A40" s="170" t="s">
        <v>904</v>
      </c>
      <c r="B40" s="50" t="s">
        <v>1561</v>
      </c>
      <c r="C40" s="47">
        <v>14</v>
      </c>
      <c r="D40" s="47">
        <v>14</v>
      </c>
      <c r="E40" s="116">
        <v>540.54</v>
      </c>
      <c r="F40" s="58">
        <f t="shared" si="36"/>
        <v>270.27</v>
      </c>
      <c r="G40" s="41">
        <f t="shared" si="37"/>
        <v>810.81</v>
      </c>
      <c r="H40" s="53">
        <f t="shared" si="38"/>
        <v>608.10749999999996</v>
      </c>
      <c r="I40" s="54">
        <f t="shared" si="39"/>
        <v>270.27</v>
      </c>
      <c r="J40" s="55">
        <f t="shared" si="40"/>
        <v>1081.08</v>
      </c>
      <c r="K40" s="56">
        <f t="shared" si="41"/>
        <v>810.81</v>
      </c>
      <c r="L40" s="248"/>
    </row>
    <row r="41" spans="1:12" ht="15.75" x14ac:dyDescent="0.25">
      <c r="A41" s="170" t="s">
        <v>905</v>
      </c>
      <c r="B41" s="50" t="s">
        <v>1561</v>
      </c>
      <c r="C41" s="235"/>
      <c r="D41" s="235"/>
      <c r="E41" s="116">
        <v>540.54</v>
      </c>
      <c r="F41" s="58">
        <f t="shared" si="36"/>
        <v>270.27</v>
      </c>
      <c r="G41" s="41">
        <f t="shared" si="37"/>
        <v>810.81</v>
      </c>
      <c r="H41" s="53">
        <f t="shared" si="38"/>
        <v>608.10749999999996</v>
      </c>
      <c r="I41" s="54">
        <f t="shared" si="39"/>
        <v>270.27</v>
      </c>
      <c r="J41" s="55">
        <f t="shared" si="40"/>
        <v>1081.08</v>
      </c>
      <c r="K41" s="56">
        <f t="shared" si="41"/>
        <v>810.81</v>
      </c>
      <c r="L41" s="248"/>
    </row>
    <row r="42" spans="1:12" ht="15.75" x14ac:dyDescent="0.25">
      <c r="A42" s="170" t="s">
        <v>906</v>
      </c>
      <c r="B42" s="50" t="s">
        <v>1767</v>
      </c>
      <c r="C42" s="47">
        <v>7</v>
      </c>
      <c r="D42" s="47">
        <v>7</v>
      </c>
      <c r="E42" s="116">
        <v>501.08</v>
      </c>
      <c r="F42" s="58">
        <f t="shared" si="36"/>
        <v>250.54</v>
      </c>
      <c r="G42" s="41">
        <f t="shared" si="37"/>
        <v>751.62</v>
      </c>
      <c r="H42" s="53">
        <f t="shared" si="38"/>
        <v>563.71500000000003</v>
      </c>
      <c r="I42" s="54">
        <f t="shared" si="39"/>
        <v>250.54</v>
      </c>
      <c r="J42" s="55">
        <f t="shared" si="40"/>
        <v>1002.16</v>
      </c>
      <c r="K42" s="56">
        <f t="shared" si="41"/>
        <v>751.62</v>
      </c>
      <c r="L42" s="248"/>
    </row>
    <row r="43" spans="1:12" ht="15.75" x14ac:dyDescent="0.25">
      <c r="A43" s="170" t="s">
        <v>907</v>
      </c>
      <c r="B43" s="50" t="s">
        <v>1767</v>
      </c>
      <c r="C43" s="235"/>
      <c r="D43" s="235"/>
      <c r="E43" s="116">
        <v>501.08</v>
      </c>
      <c r="F43" s="58">
        <f t="shared" si="36"/>
        <v>250.54</v>
      </c>
      <c r="G43" s="41">
        <f t="shared" si="37"/>
        <v>751.62</v>
      </c>
      <c r="H43" s="53">
        <f t="shared" si="38"/>
        <v>563.71500000000003</v>
      </c>
      <c r="I43" s="54">
        <f t="shared" si="39"/>
        <v>250.54</v>
      </c>
      <c r="J43" s="55">
        <f t="shared" si="40"/>
        <v>1002.16</v>
      </c>
      <c r="K43" s="56">
        <f t="shared" si="41"/>
        <v>751.62</v>
      </c>
      <c r="L43" s="248"/>
    </row>
    <row r="44" spans="1:12" ht="15.75" x14ac:dyDescent="0.25">
      <c r="A44" s="170" t="s">
        <v>908</v>
      </c>
      <c r="B44" s="50" t="s">
        <v>1767</v>
      </c>
      <c r="C44" s="235"/>
      <c r="D44" s="235"/>
      <c r="E44" s="116">
        <v>501.08</v>
      </c>
      <c r="F44" s="58">
        <f t="shared" si="36"/>
        <v>250.54</v>
      </c>
      <c r="G44" s="41">
        <f t="shared" si="37"/>
        <v>751.62</v>
      </c>
      <c r="H44" s="53">
        <f t="shared" si="38"/>
        <v>563.71500000000003</v>
      </c>
      <c r="I44" s="54">
        <f t="shared" si="39"/>
        <v>250.54</v>
      </c>
      <c r="J44" s="55">
        <f t="shared" si="40"/>
        <v>1002.16</v>
      </c>
      <c r="K44" s="56">
        <f t="shared" si="41"/>
        <v>751.62</v>
      </c>
      <c r="L44" s="248"/>
    </row>
    <row r="45" spans="1:12" ht="15.75" x14ac:dyDescent="0.25">
      <c r="A45" s="170"/>
      <c r="B45" s="50"/>
      <c r="C45" s="47"/>
      <c r="D45" s="47"/>
      <c r="E45" s="116"/>
      <c r="F45" s="56"/>
      <c r="G45" s="251"/>
      <c r="H45" s="56"/>
      <c r="I45" s="237"/>
      <c r="J45" s="213"/>
      <c r="K45" s="252"/>
      <c r="L45" s="248"/>
    </row>
    <row r="46" spans="1:12" ht="15.75" x14ac:dyDescent="0.25">
      <c r="A46" s="170" t="s">
        <v>909</v>
      </c>
      <c r="B46" s="50" t="s">
        <v>1032</v>
      </c>
      <c r="C46" s="47">
        <v>12.5</v>
      </c>
      <c r="D46" s="47">
        <v>12.5</v>
      </c>
      <c r="E46" s="116">
        <v>447.32499999999999</v>
      </c>
      <c r="F46" s="58">
        <f t="shared" ref="F46:F49" si="42">E46*50%</f>
        <v>223.66249999999999</v>
      </c>
      <c r="G46" s="41">
        <f t="shared" ref="G46:G49" si="43">E46+F46</f>
        <v>670.98749999999995</v>
      </c>
      <c r="H46" s="53">
        <f t="shared" ref="H46:H49" si="44">G46-(G46*25%)</f>
        <v>503.24062499999997</v>
      </c>
      <c r="I46" s="54">
        <f t="shared" ref="I46:I49" si="45">E46*50%</f>
        <v>223.66249999999999</v>
      </c>
      <c r="J46" s="55">
        <f t="shared" ref="J46:J49" si="46">E46+(I46*2)</f>
        <v>894.65</v>
      </c>
      <c r="K46" s="56">
        <f t="shared" ref="K46:K49" si="47">J46-(J46*25%)</f>
        <v>670.98749999999995</v>
      </c>
      <c r="L46" s="248"/>
    </row>
    <row r="47" spans="1:12" ht="15.75" x14ac:dyDescent="0.25">
      <c r="A47" s="170" t="s">
        <v>910</v>
      </c>
      <c r="B47" s="50" t="s">
        <v>1902</v>
      </c>
      <c r="C47" s="235"/>
      <c r="D47" s="235"/>
      <c r="E47" s="116">
        <v>447.32499999999999</v>
      </c>
      <c r="F47" s="58">
        <f t="shared" si="42"/>
        <v>223.66249999999999</v>
      </c>
      <c r="G47" s="41">
        <f t="shared" si="43"/>
        <v>670.98749999999995</v>
      </c>
      <c r="H47" s="53">
        <f t="shared" si="44"/>
        <v>503.24062499999997</v>
      </c>
      <c r="I47" s="54">
        <f t="shared" si="45"/>
        <v>223.66249999999999</v>
      </c>
      <c r="J47" s="55">
        <f t="shared" si="46"/>
        <v>894.65</v>
      </c>
      <c r="K47" s="56">
        <f t="shared" si="47"/>
        <v>670.98749999999995</v>
      </c>
      <c r="L47" s="248"/>
    </row>
    <row r="48" spans="1:12" ht="15.75" x14ac:dyDescent="0.25">
      <c r="A48" s="170" t="s">
        <v>911</v>
      </c>
      <c r="B48" s="50" t="s">
        <v>1033</v>
      </c>
      <c r="C48" s="47">
        <v>12.5</v>
      </c>
      <c r="D48" s="47">
        <v>12.5</v>
      </c>
      <c r="E48" s="116">
        <v>401.625</v>
      </c>
      <c r="F48" s="58">
        <f t="shared" si="42"/>
        <v>200.8125</v>
      </c>
      <c r="G48" s="41">
        <f t="shared" si="43"/>
        <v>602.4375</v>
      </c>
      <c r="H48" s="53">
        <f t="shared" si="44"/>
        <v>451.828125</v>
      </c>
      <c r="I48" s="54">
        <f t="shared" si="45"/>
        <v>200.8125</v>
      </c>
      <c r="J48" s="55">
        <f t="shared" si="46"/>
        <v>803.25</v>
      </c>
      <c r="K48" s="56">
        <f t="shared" si="47"/>
        <v>602.4375</v>
      </c>
      <c r="L48" s="248"/>
    </row>
    <row r="49" spans="1:12" ht="15.75" x14ac:dyDescent="0.25">
      <c r="A49" s="170" t="s">
        <v>912</v>
      </c>
      <c r="B49" s="50" t="s">
        <v>1033</v>
      </c>
      <c r="C49" s="235"/>
      <c r="D49" s="235"/>
      <c r="E49" s="116">
        <v>401.625</v>
      </c>
      <c r="F49" s="58">
        <f t="shared" si="42"/>
        <v>200.8125</v>
      </c>
      <c r="G49" s="41">
        <f t="shared" si="43"/>
        <v>602.4375</v>
      </c>
      <c r="H49" s="53">
        <f t="shared" si="44"/>
        <v>451.828125</v>
      </c>
      <c r="I49" s="54">
        <f t="shared" si="45"/>
        <v>200.8125</v>
      </c>
      <c r="J49" s="55">
        <f t="shared" si="46"/>
        <v>803.25</v>
      </c>
      <c r="K49" s="56">
        <f t="shared" si="47"/>
        <v>602.4375</v>
      </c>
      <c r="L49" s="248"/>
    </row>
    <row r="50" spans="1:12" ht="15.75" x14ac:dyDescent="0.25">
      <c r="A50" s="170"/>
      <c r="B50" s="253"/>
      <c r="C50" s="254"/>
      <c r="D50" s="254"/>
      <c r="E50" s="255"/>
      <c r="F50" s="56"/>
      <c r="G50" s="251"/>
      <c r="H50" s="56"/>
      <c r="I50" s="237"/>
      <c r="J50" s="213"/>
      <c r="K50" s="252"/>
      <c r="L50" s="248"/>
    </row>
    <row r="51" spans="1:12" ht="15.75" x14ac:dyDescent="0.25">
      <c r="A51" s="170" t="s">
        <v>913</v>
      </c>
      <c r="B51" s="50" t="s">
        <v>2196</v>
      </c>
      <c r="C51" s="47">
        <v>25.53</v>
      </c>
      <c r="D51" s="47">
        <v>25.53</v>
      </c>
      <c r="E51" s="116">
        <v>656.83</v>
      </c>
      <c r="F51" s="58">
        <f t="shared" ref="F51:F56" si="48">E51*50%</f>
        <v>328.41500000000002</v>
      </c>
      <c r="G51" s="41">
        <f t="shared" ref="G51:G56" si="49">E51+F51</f>
        <v>985.24500000000012</v>
      </c>
      <c r="H51" s="53">
        <f t="shared" ref="H51:H56" si="50">G51-(G51*25%)</f>
        <v>738.93375000000015</v>
      </c>
      <c r="I51" s="54">
        <f t="shared" ref="I51:I56" si="51">E51*50%</f>
        <v>328.41500000000002</v>
      </c>
      <c r="J51" s="55">
        <f t="shared" ref="J51:J56" si="52">E51+(I51*2)</f>
        <v>1313.66</v>
      </c>
      <c r="K51" s="56">
        <f t="shared" ref="K51:K56" si="53">J51-(J51*25%)</f>
        <v>985.24500000000012</v>
      </c>
      <c r="L51" s="248"/>
    </row>
    <row r="52" spans="1:12" ht="15.75" x14ac:dyDescent="0.25">
      <c r="A52" s="170" t="s">
        <v>914</v>
      </c>
      <c r="B52" s="50" t="s">
        <v>2196</v>
      </c>
      <c r="C52" s="235"/>
      <c r="D52" s="235"/>
      <c r="E52" s="116">
        <v>656.83330000000001</v>
      </c>
      <c r="F52" s="58">
        <f t="shared" si="48"/>
        <v>328.41665</v>
      </c>
      <c r="G52" s="41">
        <f t="shared" si="49"/>
        <v>985.24995000000001</v>
      </c>
      <c r="H52" s="53">
        <f t="shared" si="50"/>
        <v>738.93746250000004</v>
      </c>
      <c r="I52" s="54">
        <f t="shared" si="51"/>
        <v>328.41665</v>
      </c>
      <c r="J52" s="55">
        <f t="shared" si="52"/>
        <v>1313.6666</v>
      </c>
      <c r="K52" s="56">
        <f t="shared" si="53"/>
        <v>985.24995000000001</v>
      </c>
      <c r="L52" s="248"/>
    </row>
    <row r="53" spans="1:12" ht="15.75" x14ac:dyDescent="0.25">
      <c r="A53" s="170" t="s">
        <v>915</v>
      </c>
      <c r="B53" s="50" t="s">
        <v>2196</v>
      </c>
      <c r="C53" s="235"/>
      <c r="D53" s="235"/>
      <c r="E53" s="116">
        <v>656.83330000000001</v>
      </c>
      <c r="F53" s="58">
        <f t="shared" si="48"/>
        <v>328.41665</v>
      </c>
      <c r="G53" s="41">
        <f t="shared" si="49"/>
        <v>985.24995000000001</v>
      </c>
      <c r="H53" s="53">
        <f t="shared" si="50"/>
        <v>738.93746250000004</v>
      </c>
      <c r="I53" s="54">
        <f t="shared" si="51"/>
        <v>328.41665</v>
      </c>
      <c r="J53" s="55">
        <f t="shared" si="52"/>
        <v>1313.6666</v>
      </c>
      <c r="K53" s="56">
        <f t="shared" si="53"/>
        <v>985.24995000000001</v>
      </c>
      <c r="L53" s="248"/>
    </row>
    <row r="54" spans="1:12" ht="15.75" x14ac:dyDescent="0.25">
      <c r="A54" s="170" t="s">
        <v>916</v>
      </c>
      <c r="B54" s="50" t="s">
        <v>1929</v>
      </c>
      <c r="C54" s="47">
        <v>17.02</v>
      </c>
      <c r="D54" s="47">
        <v>17.02</v>
      </c>
      <c r="E54" s="116">
        <v>657</v>
      </c>
      <c r="F54" s="58">
        <f t="shared" si="48"/>
        <v>328.5</v>
      </c>
      <c r="G54" s="41">
        <f t="shared" si="49"/>
        <v>985.5</v>
      </c>
      <c r="H54" s="53">
        <f t="shared" si="50"/>
        <v>739.125</v>
      </c>
      <c r="I54" s="54">
        <f t="shared" si="51"/>
        <v>328.5</v>
      </c>
      <c r="J54" s="55">
        <f t="shared" si="52"/>
        <v>1314</v>
      </c>
      <c r="K54" s="56">
        <f t="shared" si="53"/>
        <v>985.5</v>
      </c>
      <c r="L54" s="248"/>
    </row>
    <row r="55" spans="1:12" ht="15.75" x14ac:dyDescent="0.25">
      <c r="A55" s="170" t="s">
        <v>917</v>
      </c>
      <c r="B55" s="50" t="s">
        <v>1929</v>
      </c>
      <c r="C55" s="235"/>
      <c r="D55" s="235"/>
      <c r="E55" s="116">
        <v>657</v>
      </c>
      <c r="F55" s="58">
        <f t="shared" si="48"/>
        <v>328.5</v>
      </c>
      <c r="G55" s="41">
        <f t="shared" si="49"/>
        <v>985.5</v>
      </c>
      <c r="H55" s="53">
        <f t="shared" si="50"/>
        <v>739.125</v>
      </c>
      <c r="I55" s="54">
        <f t="shared" si="51"/>
        <v>328.5</v>
      </c>
      <c r="J55" s="55">
        <f t="shared" si="52"/>
        <v>1314</v>
      </c>
      <c r="K55" s="56">
        <f t="shared" si="53"/>
        <v>985.5</v>
      </c>
      <c r="L55" s="248"/>
    </row>
    <row r="56" spans="1:12" ht="15.75" x14ac:dyDescent="0.25">
      <c r="A56" s="170" t="s">
        <v>918</v>
      </c>
      <c r="B56" s="50" t="s">
        <v>1750</v>
      </c>
      <c r="C56" s="47">
        <v>8.51</v>
      </c>
      <c r="D56" s="47">
        <v>8.51</v>
      </c>
      <c r="E56" s="116">
        <v>609.15</v>
      </c>
      <c r="F56" s="58">
        <f t="shared" si="48"/>
        <v>304.57499999999999</v>
      </c>
      <c r="G56" s="41">
        <f t="shared" si="49"/>
        <v>913.72499999999991</v>
      </c>
      <c r="H56" s="53">
        <f t="shared" si="50"/>
        <v>685.29374999999993</v>
      </c>
      <c r="I56" s="54">
        <f t="shared" si="51"/>
        <v>304.57499999999999</v>
      </c>
      <c r="J56" s="55">
        <f t="shared" si="52"/>
        <v>1218.3</v>
      </c>
      <c r="K56" s="56">
        <f t="shared" si="53"/>
        <v>913.72499999999991</v>
      </c>
      <c r="L56" s="248"/>
    </row>
    <row r="57" spans="1:12" ht="15.75" x14ac:dyDescent="0.25">
      <c r="A57" s="170"/>
      <c r="B57" s="50"/>
      <c r="C57" s="47"/>
      <c r="D57" s="47"/>
      <c r="E57" s="116"/>
      <c r="F57" s="56"/>
      <c r="G57" s="251"/>
      <c r="H57" s="56"/>
      <c r="I57" s="237"/>
      <c r="J57" s="213"/>
      <c r="K57" s="252"/>
      <c r="L57" s="248"/>
    </row>
    <row r="58" spans="1:12" ht="15.75" x14ac:dyDescent="0.25">
      <c r="A58" s="170" t="s">
        <v>919</v>
      </c>
      <c r="B58" s="50" t="s">
        <v>1034</v>
      </c>
      <c r="C58" s="47">
        <v>12.1</v>
      </c>
      <c r="D58" s="47">
        <v>12.1</v>
      </c>
      <c r="E58" s="116">
        <v>475.375</v>
      </c>
      <c r="F58" s="58">
        <f t="shared" ref="F58:F63" si="54">E58*50%</f>
        <v>237.6875</v>
      </c>
      <c r="G58" s="41">
        <f t="shared" ref="G58:G63" si="55">E58+F58</f>
        <v>713.0625</v>
      </c>
      <c r="H58" s="53">
        <f t="shared" ref="H58:H63" si="56">G58-(G58*25%)</f>
        <v>534.796875</v>
      </c>
      <c r="I58" s="54">
        <f t="shared" ref="I58:I63" si="57">E58*50%</f>
        <v>237.6875</v>
      </c>
      <c r="J58" s="55">
        <f t="shared" ref="J58:J63" si="58">E58+(I58*2)</f>
        <v>950.75</v>
      </c>
      <c r="K58" s="56">
        <f t="shared" ref="K58:K63" si="59">J58-(J58*25%)</f>
        <v>713.0625</v>
      </c>
      <c r="L58" s="248"/>
    </row>
    <row r="59" spans="1:12" ht="15.75" x14ac:dyDescent="0.25">
      <c r="A59" s="170" t="s">
        <v>920</v>
      </c>
      <c r="B59" s="50" t="s">
        <v>1034</v>
      </c>
      <c r="C59" s="47"/>
      <c r="D59" s="47"/>
      <c r="E59" s="116">
        <v>475.375</v>
      </c>
      <c r="F59" s="58">
        <f t="shared" si="54"/>
        <v>237.6875</v>
      </c>
      <c r="G59" s="41">
        <f t="shared" si="55"/>
        <v>713.0625</v>
      </c>
      <c r="H59" s="53">
        <f t="shared" si="56"/>
        <v>534.796875</v>
      </c>
      <c r="I59" s="54">
        <f t="shared" si="57"/>
        <v>237.6875</v>
      </c>
      <c r="J59" s="55">
        <f t="shared" si="58"/>
        <v>950.75</v>
      </c>
      <c r="K59" s="56">
        <f t="shared" si="59"/>
        <v>713.0625</v>
      </c>
      <c r="L59" s="248"/>
    </row>
    <row r="60" spans="1:12" ht="15.75" x14ac:dyDescent="0.25">
      <c r="A60" s="170" t="s">
        <v>921</v>
      </c>
      <c r="B60" s="50" t="s">
        <v>1686</v>
      </c>
      <c r="C60" s="47">
        <v>11.85</v>
      </c>
      <c r="D60" s="47">
        <v>11.85</v>
      </c>
      <c r="E60" s="116">
        <v>465.70499999999998</v>
      </c>
      <c r="F60" s="58">
        <f t="shared" si="54"/>
        <v>232.85249999999999</v>
      </c>
      <c r="G60" s="41">
        <f t="shared" si="55"/>
        <v>698.5575</v>
      </c>
      <c r="H60" s="53">
        <f t="shared" si="56"/>
        <v>523.91812500000003</v>
      </c>
      <c r="I60" s="54">
        <f t="shared" si="57"/>
        <v>232.85249999999999</v>
      </c>
      <c r="J60" s="55">
        <f t="shared" si="58"/>
        <v>931.41</v>
      </c>
      <c r="K60" s="56">
        <f t="shared" si="59"/>
        <v>698.5575</v>
      </c>
      <c r="L60" s="248"/>
    </row>
    <row r="61" spans="1:12" ht="15.75" x14ac:dyDescent="0.25">
      <c r="A61" s="170" t="s">
        <v>922</v>
      </c>
      <c r="B61" s="50" t="s">
        <v>1686</v>
      </c>
      <c r="C61" s="47"/>
      <c r="D61" s="47"/>
      <c r="E61" s="116">
        <v>465.70499999999998</v>
      </c>
      <c r="F61" s="58">
        <f t="shared" si="54"/>
        <v>232.85249999999999</v>
      </c>
      <c r="G61" s="41">
        <f t="shared" si="55"/>
        <v>698.5575</v>
      </c>
      <c r="H61" s="53">
        <f t="shared" si="56"/>
        <v>523.91812500000003</v>
      </c>
      <c r="I61" s="54">
        <f t="shared" si="57"/>
        <v>232.85249999999999</v>
      </c>
      <c r="J61" s="55">
        <f t="shared" si="58"/>
        <v>931.41</v>
      </c>
      <c r="K61" s="56">
        <f t="shared" si="59"/>
        <v>698.5575</v>
      </c>
      <c r="L61" s="248"/>
    </row>
    <row r="62" spans="1:12" ht="15.75" x14ac:dyDescent="0.25">
      <c r="A62" s="170" t="s">
        <v>923</v>
      </c>
      <c r="B62" s="50" t="s">
        <v>1035</v>
      </c>
      <c r="C62" s="47">
        <v>12.25</v>
      </c>
      <c r="D62" s="47">
        <v>12.25</v>
      </c>
      <c r="E62" s="116">
        <v>438.42500000000001</v>
      </c>
      <c r="F62" s="58">
        <f t="shared" si="54"/>
        <v>219.21250000000001</v>
      </c>
      <c r="G62" s="41">
        <f t="shared" si="55"/>
        <v>657.63750000000005</v>
      </c>
      <c r="H62" s="53">
        <f t="shared" si="56"/>
        <v>493.22812500000003</v>
      </c>
      <c r="I62" s="54">
        <f t="shared" si="57"/>
        <v>219.21250000000001</v>
      </c>
      <c r="J62" s="55">
        <f t="shared" si="58"/>
        <v>876.85</v>
      </c>
      <c r="K62" s="56">
        <f t="shared" si="59"/>
        <v>657.63750000000005</v>
      </c>
      <c r="L62" s="248"/>
    </row>
    <row r="63" spans="1:12" ht="15.75" x14ac:dyDescent="0.25">
      <c r="A63" s="170" t="s">
        <v>924</v>
      </c>
      <c r="B63" s="50" t="s">
        <v>1035</v>
      </c>
      <c r="C63" s="47"/>
      <c r="D63" s="47"/>
      <c r="E63" s="116">
        <v>438.42500000000001</v>
      </c>
      <c r="F63" s="58">
        <f t="shared" si="54"/>
        <v>219.21250000000001</v>
      </c>
      <c r="G63" s="41">
        <f t="shared" si="55"/>
        <v>657.63750000000005</v>
      </c>
      <c r="H63" s="53">
        <f t="shared" si="56"/>
        <v>493.22812500000003</v>
      </c>
      <c r="I63" s="54">
        <f t="shared" si="57"/>
        <v>219.21250000000001</v>
      </c>
      <c r="J63" s="55">
        <f t="shared" si="58"/>
        <v>876.85</v>
      </c>
      <c r="K63" s="56">
        <f t="shared" si="59"/>
        <v>657.63750000000005</v>
      </c>
      <c r="L63" s="248"/>
    </row>
    <row r="64" spans="1:12" ht="15.75" x14ac:dyDescent="0.25">
      <c r="A64" s="170"/>
      <c r="B64" s="50"/>
      <c r="C64" s="47"/>
      <c r="D64" s="47"/>
      <c r="E64" s="116"/>
      <c r="F64" s="56"/>
      <c r="G64" s="251"/>
      <c r="H64" s="56"/>
      <c r="I64" s="237"/>
      <c r="J64" s="213"/>
      <c r="K64" s="252"/>
      <c r="L64" s="248"/>
    </row>
    <row r="65" spans="1:12" ht="15.75" x14ac:dyDescent="0.25">
      <c r="A65" s="170" t="s">
        <v>925</v>
      </c>
      <c r="B65" s="50" t="s">
        <v>1696</v>
      </c>
      <c r="C65" s="47">
        <v>3.75</v>
      </c>
      <c r="D65" s="47">
        <v>3.75</v>
      </c>
      <c r="E65" s="116">
        <v>289.57</v>
      </c>
      <c r="F65" s="58">
        <f t="shared" ref="F65:F72" si="60">E65*50%</f>
        <v>144.785</v>
      </c>
      <c r="G65" s="41">
        <f t="shared" ref="G65:G72" si="61">E65+F65</f>
        <v>434.35500000000002</v>
      </c>
      <c r="H65" s="53">
        <f t="shared" ref="H65:H72" si="62">G65-(G65*25%)</f>
        <v>325.76625000000001</v>
      </c>
      <c r="I65" s="54">
        <f t="shared" ref="I65:I72" si="63">E65*50%</f>
        <v>144.785</v>
      </c>
      <c r="J65" s="55">
        <f t="shared" ref="J65:J72" si="64">E65+(I65*2)</f>
        <v>579.14</v>
      </c>
      <c r="K65" s="56">
        <f t="shared" ref="K65:K72" si="65">J65-(J65*25%)</f>
        <v>434.35500000000002</v>
      </c>
      <c r="L65" s="248"/>
    </row>
    <row r="66" spans="1:12" ht="15.75" x14ac:dyDescent="0.25">
      <c r="A66" s="170" t="s">
        <v>926</v>
      </c>
      <c r="B66" s="50" t="s">
        <v>1769</v>
      </c>
      <c r="C66" s="47">
        <v>3.75</v>
      </c>
      <c r="D66" s="47">
        <v>3.75</v>
      </c>
      <c r="E66" s="116">
        <v>289.57</v>
      </c>
      <c r="F66" s="58">
        <f t="shared" si="60"/>
        <v>144.785</v>
      </c>
      <c r="G66" s="41">
        <f t="shared" si="61"/>
        <v>434.35500000000002</v>
      </c>
      <c r="H66" s="53">
        <f t="shared" si="62"/>
        <v>325.76625000000001</v>
      </c>
      <c r="I66" s="54">
        <f t="shared" si="63"/>
        <v>144.785</v>
      </c>
      <c r="J66" s="55">
        <f t="shared" si="64"/>
        <v>579.14</v>
      </c>
      <c r="K66" s="56">
        <f t="shared" si="65"/>
        <v>434.35500000000002</v>
      </c>
      <c r="L66" s="248"/>
    </row>
    <row r="67" spans="1:12" ht="15.75" x14ac:dyDescent="0.25">
      <c r="A67" s="170" t="s">
        <v>1384</v>
      </c>
      <c r="B67" s="50" t="s">
        <v>1900</v>
      </c>
      <c r="C67" s="47">
        <v>3.75</v>
      </c>
      <c r="D67" s="47">
        <v>3.75</v>
      </c>
      <c r="E67" s="116">
        <v>289.57</v>
      </c>
      <c r="F67" s="58">
        <f t="shared" si="60"/>
        <v>144.785</v>
      </c>
      <c r="G67" s="41">
        <f t="shared" si="61"/>
        <v>434.35500000000002</v>
      </c>
      <c r="H67" s="53">
        <f t="shared" si="62"/>
        <v>325.76625000000001</v>
      </c>
      <c r="I67" s="54">
        <f t="shared" si="63"/>
        <v>144.785</v>
      </c>
      <c r="J67" s="55">
        <f t="shared" si="64"/>
        <v>579.14</v>
      </c>
      <c r="K67" s="56">
        <f t="shared" si="65"/>
        <v>434.35500000000002</v>
      </c>
      <c r="L67" s="248"/>
    </row>
    <row r="68" spans="1:12" ht="15.75" x14ac:dyDescent="0.25">
      <c r="A68" s="170" t="s">
        <v>1385</v>
      </c>
      <c r="B68" s="50" t="s">
        <v>2077</v>
      </c>
      <c r="C68" s="47">
        <v>3.75</v>
      </c>
      <c r="D68" s="47">
        <v>3.75</v>
      </c>
      <c r="E68" s="116">
        <v>289.57</v>
      </c>
      <c r="F68" s="58">
        <f t="shared" si="60"/>
        <v>144.785</v>
      </c>
      <c r="G68" s="41">
        <f t="shared" si="61"/>
        <v>434.35500000000002</v>
      </c>
      <c r="H68" s="53">
        <f t="shared" si="62"/>
        <v>325.76625000000001</v>
      </c>
      <c r="I68" s="54">
        <f t="shared" si="63"/>
        <v>144.785</v>
      </c>
      <c r="J68" s="55">
        <f t="shared" si="64"/>
        <v>579.14</v>
      </c>
      <c r="K68" s="56">
        <f t="shared" si="65"/>
        <v>434.35500000000002</v>
      </c>
      <c r="L68" s="248"/>
    </row>
    <row r="69" spans="1:12" ht="15.75" x14ac:dyDescent="0.25">
      <c r="A69" s="170" t="s">
        <v>1386</v>
      </c>
      <c r="B69" s="50" t="s">
        <v>2197</v>
      </c>
      <c r="C69" s="47">
        <v>3.75</v>
      </c>
      <c r="D69" s="47">
        <v>3.75</v>
      </c>
      <c r="E69" s="116">
        <v>289.57</v>
      </c>
      <c r="F69" s="58">
        <f t="shared" si="60"/>
        <v>144.785</v>
      </c>
      <c r="G69" s="41">
        <f t="shared" si="61"/>
        <v>434.35500000000002</v>
      </c>
      <c r="H69" s="53">
        <f t="shared" si="62"/>
        <v>325.76625000000001</v>
      </c>
      <c r="I69" s="54">
        <f t="shared" si="63"/>
        <v>144.785</v>
      </c>
      <c r="J69" s="55">
        <f t="shared" si="64"/>
        <v>579.14</v>
      </c>
      <c r="K69" s="56">
        <f t="shared" si="65"/>
        <v>434.35500000000002</v>
      </c>
      <c r="L69" s="248"/>
    </row>
    <row r="70" spans="1:12" ht="15.75" x14ac:dyDescent="0.25">
      <c r="A70" s="170" t="s">
        <v>927</v>
      </c>
      <c r="B70" s="50" t="s">
        <v>1581</v>
      </c>
      <c r="C70" s="47">
        <v>6.25</v>
      </c>
      <c r="D70" s="47">
        <v>6.25</v>
      </c>
      <c r="E70" s="116">
        <v>482.62</v>
      </c>
      <c r="F70" s="58">
        <f t="shared" si="60"/>
        <v>241.31</v>
      </c>
      <c r="G70" s="41">
        <f t="shared" si="61"/>
        <v>723.93000000000006</v>
      </c>
      <c r="H70" s="53">
        <f t="shared" si="62"/>
        <v>542.94749999999999</v>
      </c>
      <c r="I70" s="54">
        <f t="shared" si="63"/>
        <v>241.31</v>
      </c>
      <c r="J70" s="55">
        <f t="shared" si="64"/>
        <v>965.24</v>
      </c>
      <c r="K70" s="56">
        <f t="shared" si="65"/>
        <v>723.93000000000006</v>
      </c>
      <c r="L70" s="248"/>
    </row>
    <row r="71" spans="1:12" ht="15.75" x14ac:dyDescent="0.25">
      <c r="A71" s="170" t="s">
        <v>928</v>
      </c>
      <c r="B71" s="50" t="s">
        <v>2294</v>
      </c>
      <c r="C71" s="47">
        <v>6.25</v>
      </c>
      <c r="D71" s="47">
        <v>6.25</v>
      </c>
      <c r="E71" s="116">
        <v>482.62</v>
      </c>
      <c r="F71" s="58">
        <f t="shared" si="60"/>
        <v>241.31</v>
      </c>
      <c r="G71" s="41">
        <f t="shared" si="61"/>
        <v>723.93000000000006</v>
      </c>
      <c r="H71" s="53">
        <f t="shared" si="62"/>
        <v>542.94749999999999</v>
      </c>
      <c r="I71" s="54">
        <f t="shared" si="63"/>
        <v>241.31</v>
      </c>
      <c r="J71" s="55">
        <f t="shared" si="64"/>
        <v>965.24</v>
      </c>
      <c r="K71" s="56">
        <f t="shared" si="65"/>
        <v>723.93000000000006</v>
      </c>
      <c r="L71" s="248"/>
    </row>
    <row r="72" spans="1:12" ht="15.75" x14ac:dyDescent="0.25">
      <c r="A72" s="170" t="s">
        <v>929</v>
      </c>
      <c r="B72" s="50" t="s">
        <v>1581</v>
      </c>
      <c r="C72" s="47">
        <v>6.25</v>
      </c>
      <c r="D72" s="47">
        <v>6.25</v>
      </c>
      <c r="E72" s="116">
        <v>447.37</v>
      </c>
      <c r="F72" s="58">
        <f t="shared" si="60"/>
        <v>223.685</v>
      </c>
      <c r="G72" s="41">
        <f t="shared" si="61"/>
        <v>671.05500000000006</v>
      </c>
      <c r="H72" s="53">
        <f t="shared" si="62"/>
        <v>503.29125000000005</v>
      </c>
      <c r="I72" s="54">
        <f t="shared" si="63"/>
        <v>223.685</v>
      </c>
      <c r="J72" s="55">
        <f t="shared" si="64"/>
        <v>894.74</v>
      </c>
      <c r="K72" s="56">
        <f t="shared" si="65"/>
        <v>671.05500000000006</v>
      </c>
      <c r="L72" s="248"/>
    </row>
    <row r="73" spans="1:12" ht="15.75" x14ac:dyDescent="0.25">
      <c r="A73" s="170"/>
      <c r="B73" s="50"/>
      <c r="C73" s="47"/>
      <c r="D73" s="47"/>
      <c r="E73" s="116"/>
      <c r="F73" s="56"/>
      <c r="G73" s="251"/>
      <c r="H73" s="56"/>
      <c r="I73" s="237"/>
      <c r="J73" s="213"/>
      <c r="K73" s="252"/>
      <c r="L73" s="248"/>
    </row>
    <row r="74" spans="1:12" ht="15.75" x14ac:dyDescent="0.25">
      <c r="A74" s="170" t="s">
        <v>930</v>
      </c>
      <c r="B74" s="50" t="s">
        <v>1901</v>
      </c>
      <c r="C74" s="47"/>
      <c r="D74" s="47"/>
      <c r="E74" s="116">
        <v>505.35500000000002</v>
      </c>
      <c r="F74" s="58">
        <f t="shared" si="36"/>
        <v>252.67750000000001</v>
      </c>
      <c r="G74" s="41">
        <f t="shared" ref="G74:G77" si="66">E74+F74</f>
        <v>758.03250000000003</v>
      </c>
      <c r="H74" s="53">
        <f t="shared" ref="H74:H77" si="67">G74-(G74*25%)</f>
        <v>568.52437499999996</v>
      </c>
      <c r="I74" s="54">
        <f t="shared" ref="I74:I77" si="68">E74*50%</f>
        <v>252.67750000000001</v>
      </c>
      <c r="J74" s="55">
        <f t="shared" ref="J74:J77" si="69">E74+(I74*2)</f>
        <v>1010.71</v>
      </c>
      <c r="K74" s="56">
        <f t="shared" ref="K74:K77" si="70">J74-(J74*25%)</f>
        <v>758.03250000000003</v>
      </c>
      <c r="L74" s="248"/>
    </row>
    <row r="75" spans="1:12" ht="15.75" x14ac:dyDescent="0.25">
      <c r="A75" s="170" t="s">
        <v>931</v>
      </c>
      <c r="B75" s="50" t="s">
        <v>1468</v>
      </c>
      <c r="C75" s="47">
        <v>6.75</v>
      </c>
      <c r="D75" s="47">
        <v>6.75</v>
      </c>
      <c r="E75" s="116">
        <v>521.23</v>
      </c>
      <c r="F75" s="58">
        <f t="shared" si="36"/>
        <v>260.61500000000001</v>
      </c>
      <c r="G75" s="41">
        <f t="shared" si="66"/>
        <v>781.84500000000003</v>
      </c>
      <c r="H75" s="53">
        <f t="shared" si="67"/>
        <v>586.38374999999996</v>
      </c>
      <c r="I75" s="54">
        <f t="shared" si="68"/>
        <v>260.61500000000001</v>
      </c>
      <c r="J75" s="55">
        <f t="shared" si="69"/>
        <v>1042.46</v>
      </c>
      <c r="K75" s="56">
        <f t="shared" si="70"/>
        <v>781.84500000000003</v>
      </c>
      <c r="L75" s="248"/>
    </row>
    <row r="76" spans="1:12" ht="15.75" x14ac:dyDescent="0.25">
      <c r="A76" s="170" t="s">
        <v>932</v>
      </c>
      <c r="B76" s="50" t="s">
        <v>2139</v>
      </c>
      <c r="C76" s="47">
        <v>6.75</v>
      </c>
      <c r="D76" s="47">
        <v>6.75</v>
      </c>
      <c r="E76" s="116">
        <v>515.9</v>
      </c>
      <c r="F76" s="58">
        <f t="shared" si="36"/>
        <v>257.95</v>
      </c>
      <c r="G76" s="41">
        <f t="shared" si="66"/>
        <v>773.84999999999991</v>
      </c>
      <c r="H76" s="53">
        <f t="shared" si="67"/>
        <v>580.38749999999993</v>
      </c>
      <c r="I76" s="54">
        <f t="shared" si="68"/>
        <v>257.95</v>
      </c>
      <c r="J76" s="55">
        <f t="shared" si="69"/>
        <v>1031.8</v>
      </c>
      <c r="K76" s="56">
        <f t="shared" si="70"/>
        <v>773.84999999999991</v>
      </c>
      <c r="L76" s="248"/>
    </row>
    <row r="77" spans="1:12" ht="15.75" x14ac:dyDescent="0.25">
      <c r="A77" s="170" t="s">
        <v>933</v>
      </c>
      <c r="B77" s="50" t="s">
        <v>1036</v>
      </c>
      <c r="C77" s="47">
        <v>13.5</v>
      </c>
      <c r="D77" s="47">
        <v>13.5</v>
      </c>
      <c r="E77" s="116">
        <v>505.35500000000002</v>
      </c>
      <c r="F77" s="58">
        <f t="shared" si="36"/>
        <v>252.67750000000001</v>
      </c>
      <c r="G77" s="41">
        <f t="shared" si="66"/>
        <v>758.03250000000003</v>
      </c>
      <c r="H77" s="53">
        <f t="shared" si="67"/>
        <v>568.52437499999996</v>
      </c>
      <c r="I77" s="54">
        <f t="shared" si="68"/>
        <v>252.67750000000001</v>
      </c>
      <c r="J77" s="55">
        <f t="shared" si="69"/>
        <v>1010.71</v>
      </c>
      <c r="K77" s="56">
        <f t="shared" si="70"/>
        <v>758.03250000000003</v>
      </c>
      <c r="L77" s="248"/>
    </row>
    <row r="78" spans="1:12" ht="15.75" x14ac:dyDescent="0.25">
      <c r="A78" s="170"/>
      <c r="B78" s="50"/>
      <c r="C78" s="235"/>
      <c r="D78" s="235"/>
      <c r="E78" s="116"/>
      <c r="F78" s="56"/>
      <c r="G78" s="251"/>
      <c r="H78" s="56"/>
      <c r="I78" s="237"/>
      <c r="J78" s="213"/>
      <c r="K78" s="252"/>
      <c r="L78" s="248"/>
    </row>
    <row r="79" spans="1:12" ht="15.75" x14ac:dyDescent="0.25">
      <c r="A79" s="170"/>
      <c r="B79" s="256" t="s">
        <v>1470</v>
      </c>
      <c r="C79" s="47"/>
      <c r="D79" s="47"/>
      <c r="E79" s="116"/>
      <c r="F79" s="56"/>
      <c r="G79" s="251"/>
      <c r="H79" s="56"/>
      <c r="I79" s="237"/>
      <c r="J79" s="213"/>
      <c r="K79" s="252"/>
      <c r="L79" s="248"/>
    </row>
    <row r="80" spans="1:12" ht="15.75" x14ac:dyDescent="0.25">
      <c r="A80" s="170" t="s">
        <v>958</v>
      </c>
      <c r="B80" s="50" t="s">
        <v>1792</v>
      </c>
      <c r="C80" s="47">
        <v>8.34</v>
      </c>
      <c r="D80" s="47">
        <v>8.34</v>
      </c>
      <c r="E80" s="116">
        <v>219.57499999999999</v>
      </c>
      <c r="F80" s="58">
        <f t="shared" ref="F80:F85" si="71">E80*50%</f>
        <v>109.78749999999999</v>
      </c>
      <c r="G80" s="41">
        <f t="shared" ref="G80:G85" si="72">E80+F80</f>
        <v>329.36249999999995</v>
      </c>
      <c r="H80" s="53">
        <f t="shared" ref="H80:H85" si="73">G80-(G80*25%)</f>
        <v>247.02187499999997</v>
      </c>
      <c r="I80" s="54">
        <f t="shared" ref="I80:I85" si="74">E80*50%</f>
        <v>109.78749999999999</v>
      </c>
      <c r="J80" s="55">
        <f t="shared" ref="J80:J85" si="75">E80+(I80*2)</f>
        <v>439.15</v>
      </c>
      <c r="K80" s="56">
        <f t="shared" ref="K80:K85" si="76">J80-(J80*25%)</f>
        <v>329.36249999999995</v>
      </c>
      <c r="L80" s="248"/>
    </row>
    <row r="81" spans="1:12" ht="15.75" x14ac:dyDescent="0.25">
      <c r="A81" s="170" t="s">
        <v>959</v>
      </c>
      <c r="B81" s="50" t="s">
        <v>1796</v>
      </c>
      <c r="C81" s="47">
        <v>4.25</v>
      </c>
      <c r="D81" s="47">
        <v>4.25</v>
      </c>
      <c r="E81" s="116">
        <v>217.2</v>
      </c>
      <c r="F81" s="58">
        <f t="shared" si="71"/>
        <v>108.6</v>
      </c>
      <c r="G81" s="41">
        <f t="shared" si="72"/>
        <v>325.79999999999995</v>
      </c>
      <c r="H81" s="53">
        <f t="shared" si="73"/>
        <v>244.34999999999997</v>
      </c>
      <c r="I81" s="54">
        <f t="shared" si="74"/>
        <v>108.6</v>
      </c>
      <c r="J81" s="55">
        <f t="shared" si="75"/>
        <v>434.4</v>
      </c>
      <c r="K81" s="56">
        <f t="shared" si="76"/>
        <v>325.79999999999995</v>
      </c>
      <c r="L81" s="248"/>
    </row>
    <row r="82" spans="1:12" ht="15.75" x14ac:dyDescent="0.25">
      <c r="A82" s="170" t="s">
        <v>960</v>
      </c>
      <c r="B82" s="50" t="s">
        <v>2024</v>
      </c>
      <c r="C82" s="47">
        <v>8.34</v>
      </c>
      <c r="D82" s="47">
        <v>8.34</v>
      </c>
      <c r="E82" s="116">
        <v>219.57499999999999</v>
      </c>
      <c r="F82" s="58">
        <f t="shared" si="71"/>
        <v>109.78749999999999</v>
      </c>
      <c r="G82" s="41">
        <f t="shared" si="72"/>
        <v>329.36249999999995</v>
      </c>
      <c r="H82" s="53">
        <f t="shared" si="73"/>
        <v>247.02187499999997</v>
      </c>
      <c r="I82" s="54">
        <f t="shared" si="74"/>
        <v>109.78749999999999</v>
      </c>
      <c r="J82" s="55">
        <f t="shared" si="75"/>
        <v>439.15</v>
      </c>
      <c r="K82" s="56">
        <f t="shared" si="76"/>
        <v>329.36249999999995</v>
      </c>
      <c r="L82" s="248"/>
    </row>
    <row r="83" spans="1:12" ht="15.75" x14ac:dyDescent="0.25">
      <c r="A83" s="170" t="s">
        <v>961</v>
      </c>
      <c r="B83" s="50" t="s">
        <v>2024</v>
      </c>
      <c r="C83" s="235"/>
      <c r="D83" s="235"/>
      <c r="E83" s="116">
        <v>219.58</v>
      </c>
      <c r="F83" s="58">
        <f t="shared" si="71"/>
        <v>109.79</v>
      </c>
      <c r="G83" s="41">
        <f t="shared" si="72"/>
        <v>329.37</v>
      </c>
      <c r="H83" s="53">
        <f t="shared" si="73"/>
        <v>247.0275</v>
      </c>
      <c r="I83" s="54">
        <f t="shared" si="74"/>
        <v>109.79</v>
      </c>
      <c r="J83" s="55">
        <f t="shared" si="75"/>
        <v>439.16</v>
      </c>
      <c r="K83" s="56">
        <f t="shared" si="76"/>
        <v>329.37</v>
      </c>
      <c r="L83" s="248"/>
    </row>
    <row r="84" spans="1:12" ht="15.75" x14ac:dyDescent="0.25">
      <c r="A84" s="170" t="s">
        <v>962</v>
      </c>
      <c r="B84" s="50" t="s">
        <v>1757</v>
      </c>
      <c r="C84" s="47">
        <v>4.12</v>
      </c>
      <c r="D84" s="47">
        <v>4.12</v>
      </c>
      <c r="E84" s="116">
        <v>217.2</v>
      </c>
      <c r="F84" s="58">
        <f t="shared" si="71"/>
        <v>108.6</v>
      </c>
      <c r="G84" s="41">
        <f t="shared" si="72"/>
        <v>325.79999999999995</v>
      </c>
      <c r="H84" s="53">
        <f t="shared" si="73"/>
        <v>244.34999999999997</v>
      </c>
      <c r="I84" s="54">
        <f t="shared" si="74"/>
        <v>108.6</v>
      </c>
      <c r="J84" s="55">
        <f t="shared" si="75"/>
        <v>434.4</v>
      </c>
      <c r="K84" s="56">
        <f t="shared" si="76"/>
        <v>325.79999999999995</v>
      </c>
      <c r="L84" s="248"/>
    </row>
    <row r="85" spans="1:12" ht="15.75" x14ac:dyDescent="0.25">
      <c r="A85" s="170" t="s">
        <v>963</v>
      </c>
      <c r="B85" s="50" t="s">
        <v>1792</v>
      </c>
      <c r="C85" s="47">
        <v>4.17</v>
      </c>
      <c r="D85" s="47">
        <v>4.17</v>
      </c>
      <c r="E85" s="116">
        <v>219.57499999999999</v>
      </c>
      <c r="F85" s="58">
        <f t="shared" si="71"/>
        <v>109.78749999999999</v>
      </c>
      <c r="G85" s="41">
        <f t="shared" si="72"/>
        <v>329.36249999999995</v>
      </c>
      <c r="H85" s="53">
        <f t="shared" si="73"/>
        <v>247.02187499999997</v>
      </c>
      <c r="I85" s="54">
        <f t="shared" si="74"/>
        <v>109.78749999999999</v>
      </c>
      <c r="J85" s="55">
        <f t="shared" si="75"/>
        <v>439.15</v>
      </c>
      <c r="K85" s="56">
        <f t="shared" si="76"/>
        <v>329.36249999999995</v>
      </c>
      <c r="L85" s="248"/>
    </row>
    <row r="86" spans="1:12" ht="15.75" x14ac:dyDescent="0.25">
      <c r="A86" s="170"/>
      <c r="B86" s="50"/>
      <c r="C86" s="47"/>
      <c r="D86" s="47"/>
      <c r="E86" s="116"/>
      <c r="F86" s="56"/>
      <c r="G86" s="251"/>
      <c r="H86" s="56"/>
      <c r="I86" s="237"/>
      <c r="J86" s="213"/>
      <c r="K86" s="252"/>
      <c r="L86" s="248"/>
    </row>
    <row r="87" spans="1:12" ht="15.75" x14ac:dyDescent="0.25">
      <c r="A87" s="170" t="s">
        <v>964</v>
      </c>
      <c r="B87" s="50" t="s">
        <v>1544</v>
      </c>
      <c r="C87" s="47">
        <v>4.17</v>
      </c>
      <c r="D87" s="47">
        <v>4.17</v>
      </c>
      <c r="E87" s="116">
        <v>239.98500000000001</v>
      </c>
      <c r="F87" s="58">
        <f t="shared" ref="F87:F92" si="77">E87*50%</f>
        <v>119.99250000000001</v>
      </c>
      <c r="G87" s="41">
        <f t="shared" ref="G87:G92" si="78">E87+F87</f>
        <v>359.97750000000002</v>
      </c>
      <c r="H87" s="53">
        <f t="shared" ref="H87:H92" si="79">G87-(G87*25%)</f>
        <v>269.98312500000003</v>
      </c>
      <c r="I87" s="54">
        <f t="shared" ref="I87:I92" si="80">E87*50%</f>
        <v>119.99250000000001</v>
      </c>
      <c r="J87" s="55">
        <f t="shared" ref="J87:J92" si="81">E87+(I87*2)</f>
        <v>479.97</v>
      </c>
      <c r="K87" s="56">
        <f t="shared" ref="K87:K92" si="82">J87-(J87*25%)</f>
        <v>359.97750000000002</v>
      </c>
      <c r="L87" s="248"/>
    </row>
    <row r="88" spans="1:12" ht="15.75" x14ac:dyDescent="0.25">
      <c r="A88" s="170" t="s">
        <v>965</v>
      </c>
      <c r="B88" s="50" t="s">
        <v>1401</v>
      </c>
      <c r="C88" s="47">
        <v>4.17</v>
      </c>
      <c r="D88" s="47">
        <v>4.17</v>
      </c>
      <c r="E88" s="116">
        <v>239.98</v>
      </c>
      <c r="F88" s="58">
        <f t="shared" si="77"/>
        <v>119.99</v>
      </c>
      <c r="G88" s="41">
        <f t="shared" si="78"/>
        <v>359.96999999999997</v>
      </c>
      <c r="H88" s="53">
        <f t="shared" si="79"/>
        <v>269.97749999999996</v>
      </c>
      <c r="I88" s="54">
        <f t="shared" si="80"/>
        <v>119.99</v>
      </c>
      <c r="J88" s="55">
        <f t="shared" si="81"/>
        <v>479.96</v>
      </c>
      <c r="K88" s="56">
        <f t="shared" si="82"/>
        <v>359.96999999999997</v>
      </c>
      <c r="L88" s="257"/>
    </row>
    <row r="89" spans="1:12" ht="15.75" x14ac:dyDescent="0.25">
      <c r="A89" s="170" t="s">
        <v>966</v>
      </c>
      <c r="B89" s="50" t="s">
        <v>1401</v>
      </c>
      <c r="C89" s="47">
        <v>4.17</v>
      </c>
      <c r="D89" s="47">
        <v>4.17</v>
      </c>
      <c r="E89" s="116">
        <v>239.98</v>
      </c>
      <c r="F89" s="58">
        <f t="shared" si="77"/>
        <v>119.99</v>
      </c>
      <c r="G89" s="41">
        <f t="shared" si="78"/>
        <v>359.96999999999997</v>
      </c>
      <c r="H89" s="53">
        <f t="shared" si="79"/>
        <v>269.97749999999996</v>
      </c>
      <c r="I89" s="54">
        <f t="shared" si="80"/>
        <v>119.99</v>
      </c>
      <c r="J89" s="55">
        <f t="shared" si="81"/>
        <v>479.96</v>
      </c>
      <c r="K89" s="56">
        <f t="shared" si="82"/>
        <v>359.96999999999997</v>
      </c>
      <c r="L89" s="257"/>
    </row>
    <row r="90" spans="1:12" ht="15.75" x14ac:dyDescent="0.25">
      <c r="A90" s="170" t="s">
        <v>967</v>
      </c>
      <c r="B90" s="50" t="s">
        <v>1443</v>
      </c>
      <c r="C90" s="47">
        <v>4.17</v>
      </c>
      <c r="D90" s="47">
        <v>4.17</v>
      </c>
      <c r="E90" s="116">
        <v>240</v>
      </c>
      <c r="F90" s="58">
        <f t="shared" si="77"/>
        <v>120</v>
      </c>
      <c r="G90" s="41">
        <f t="shared" si="78"/>
        <v>360</v>
      </c>
      <c r="H90" s="53">
        <f t="shared" si="79"/>
        <v>270</v>
      </c>
      <c r="I90" s="54">
        <f t="shared" si="80"/>
        <v>120</v>
      </c>
      <c r="J90" s="55">
        <f t="shared" si="81"/>
        <v>480</v>
      </c>
      <c r="K90" s="56">
        <f t="shared" si="82"/>
        <v>360</v>
      </c>
      <c r="L90" s="248"/>
    </row>
    <row r="91" spans="1:12" ht="15.75" x14ac:dyDescent="0.25">
      <c r="A91" s="170" t="s">
        <v>968</v>
      </c>
      <c r="B91" s="50" t="s">
        <v>1594</v>
      </c>
      <c r="C91" s="47">
        <v>4.17</v>
      </c>
      <c r="D91" s="47">
        <v>4.17</v>
      </c>
      <c r="E91" s="116">
        <v>239.98500000000001</v>
      </c>
      <c r="F91" s="58">
        <f t="shared" si="77"/>
        <v>119.99250000000001</v>
      </c>
      <c r="G91" s="41">
        <f t="shared" si="78"/>
        <v>359.97750000000002</v>
      </c>
      <c r="H91" s="53">
        <f t="shared" si="79"/>
        <v>269.98312500000003</v>
      </c>
      <c r="I91" s="54">
        <f t="shared" si="80"/>
        <v>119.99250000000001</v>
      </c>
      <c r="J91" s="55">
        <f t="shared" si="81"/>
        <v>479.97</v>
      </c>
      <c r="K91" s="56">
        <f t="shared" si="82"/>
        <v>359.97750000000002</v>
      </c>
      <c r="L91" s="248"/>
    </row>
    <row r="92" spans="1:12" ht="15.75" x14ac:dyDescent="0.25">
      <c r="A92" s="170" t="s">
        <v>969</v>
      </c>
      <c r="B92" s="50" t="s">
        <v>1594</v>
      </c>
      <c r="C92" s="47">
        <v>4.17</v>
      </c>
      <c r="D92" s="47">
        <v>4.17</v>
      </c>
      <c r="E92" s="116">
        <v>239.98500000000001</v>
      </c>
      <c r="F92" s="58">
        <f t="shared" si="77"/>
        <v>119.99250000000001</v>
      </c>
      <c r="G92" s="41">
        <f t="shared" si="78"/>
        <v>359.97750000000002</v>
      </c>
      <c r="H92" s="53">
        <f t="shared" si="79"/>
        <v>269.98312500000003</v>
      </c>
      <c r="I92" s="54">
        <f t="shared" si="80"/>
        <v>119.99250000000001</v>
      </c>
      <c r="J92" s="55">
        <f t="shared" si="81"/>
        <v>479.97</v>
      </c>
      <c r="K92" s="56">
        <f t="shared" si="82"/>
        <v>359.97750000000002</v>
      </c>
      <c r="L92" s="248"/>
    </row>
    <row r="93" spans="1:12" ht="15.75" x14ac:dyDescent="0.25">
      <c r="A93" s="170"/>
      <c r="B93" s="50"/>
      <c r="C93" s="47"/>
      <c r="D93" s="47"/>
      <c r="E93" s="116"/>
      <c r="F93" s="56"/>
      <c r="G93" s="251"/>
      <c r="H93" s="56"/>
      <c r="I93" s="237"/>
      <c r="J93" s="213"/>
      <c r="K93" s="252"/>
      <c r="L93" s="248"/>
    </row>
    <row r="94" spans="1:12" ht="15.75" x14ac:dyDescent="0.25">
      <c r="A94" s="170" t="s">
        <v>970</v>
      </c>
      <c r="B94" s="50" t="s">
        <v>1042</v>
      </c>
      <c r="C94" s="47">
        <v>25.02</v>
      </c>
      <c r="D94" s="47">
        <v>25.02</v>
      </c>
      <c r="E94" s="116">
        <v>300.68900000000002</v>
      </c>
      <c r="F94" s="58">
        <f t="shared" ref="F94:F106" si="83">E94*50%</f>
        <v>150.34450000000001</v>
      </c>
      <c r="G94" s="41">
        <f t="shared" ref="G94:G99" si="84">E94+F94</f>
        <v>451.0335</v>
      </c>
      <c r="H94" s="53">
        <f t="shared" ref="H94:H99" si="85">G94-(G94*25%)</f>
        <v>338.275125</v>
      </c>
      <c r="I94" s="54">
        <f t="shared" ref="I94:I99" si="86">E94*50%</f>
        <v>150.34450000000001</v>
      </c>
      <c r="J94" s="55">
        <f t="shared" ref="J94:J99" si="87">E94+(I94*2)</f>
        <v>601.37800000000004</v>
      </c>
      <c r="K94" s="56">
        <f t="shared" ref="K94:K99" si="88">J94-(J94*25%)</f>
        <v>451.0335</v>
      </c>
      <c r="L94" s="248"/>
    </row>
    <row r="95" spans="1:12" ht="15.75" x14ac:dyDescent="0.25">
      <c r="A95" s="170" t="s">
        <v>971</v>
      </c>
      <c r="B95" s="50" t="s">
        <v>1652</v>
      </c>
      <c r="C95" s="235"/>
      <c r="D95" s="235"/>
      <c r="E95" s="116">
        <v>300.68900000000002</v>
      </c>
      <c r="F95" s="58">
        <f t="shared" si="83"/>
        <v>150.34450000000001</v>
      </c>
      <c r="G95" s="41">
        <f t="shared" si="84"/>
        <v>451.0335</v>
      </c>
      <c r="H95" s="53">
        <f t="shared" si="85"/>
        <v>338.275125</v>
      </c>
      <c r="I95" s="54">
        <f t="shared" si="86"/>
        <v>150.34450000000001</v>
      </c>
      <c r="J95" s="55">
        <f t="shared" si="87"/>
        <v>601.37800000000004</v>
      </c>
      <c r="K95" s="56">
        <f t="shared" si="88"/>
        <v>451.0335</v>
      </c>
      <c r="L95" s="248"/>
    </row>
    <row r="96" spans="1:12" ht="15.75" x14ac:dyDescent="0.25">
      <c r="A96" s="170" t="s">
        <v>972</v>
      </c>
      <c r="B96" s="50" t="s">
        <v>1652</v>
      </c>
      <c r="C96" s="235"/>
      <c r="D96" s="235"/>
      <c r="E96" s="116">
        <v>300.68900000000002</v>
      </c>
      <c r="F96" s="58">
        <f t="shared" si="83"/>
        <v>150.34450000000001</v>
      </c>
      <c r="G96" s="41">
        <f t="shared" si="84"/>
        <v>451.0335</v>
      </c>
      <c r="H96" s="53">
        <f t="shared" si="85"/>
        <v>338.275125</v>
      </c>
      <c r="I96" s="54">
        <f t="shared" si="86"/>
        <v>150.34450000000001</v>
      </c>
      <c r="J96" s="55">
        <f t="shared" si="87"/>
        <v>601.37800000000004</v>
      </c>
      <c r="K96" s="56">
        <f t="shared" si="88"/>
        <v>451.0335</v>
      </c>
      <c r="L96" s="248"/>
    </row>
    <row r="97" spans="1:12" ht="15.75" x14ac:dyDescent="0.25">
      <c r="A97" s="170" t="s">
        <v>973</v>
      </c>
      <c r="B97" s="50" t="s">
        <v>1652</v>
      </c>
      <c r="C97" s="235"/>
      <c r="D97" s="235"/>
      <c r="E97" s="116">
        <v>300.68900000000002</v>
      </c>
      <c r="F97" s="58">
        <f t="shared" si="83"/>
        <v>150.34450000000001</v>
      </c>
      <c r="G97" s="41">
        <f t="shared" si="84"/>
        <v>451.0335</v>
      </c>
      <c r="H97" s="53">
        <f t="shared" si="85"/>
        <v>338.275125</v>
      </c>
      <c r="I97" s="54">
        <f t="shared" si="86"/>
        <v>150.34450000000001</v>
      </c>
      <c r="J97" s="55">
        <f t="shared" si="87"/>
        <v>601.37800000000004</v>
      </c>
      <c r="K97" s="56">
        <f t="shared" si="88"/>
        <v>451.0335</v>
      </c>
      <c r="L97" s="248"/>
    </row>
    <row r="98" spans="1:12" ht="15.75" x14ac:dyDescent="0.25">
      <c r="A98" s="170" t="s">
        <v>974</v>
      </c>
      <c r="B98" s="50" t="s">
        <v>1652</v>
      </c>
      <c r="C98" s="235"/>
      <c r="D98" s="235"/>
      <c r="E98" s="116">
        <v>300.68900000000002</v>
      </c>
      <c r="F98" s="58">
        <f t="shared" si="83"/>
        <v>150.34450000000001</v>
      </c>
      <c r="G98" s="41">
        <f t="shared" si="84"/>
        <v>451.0335</v>
      </c>
      <c r="H98" s="53">
        <f t="shared" si="85"/>
        <v>338.275125</v>
      </c>
      <c r="I98" s="54">
        <f t="shared" si="86"/>
        <v>150.34450000000001</v>
      </c>
      <c r="J98" s="55">
        <f t="shared" si="87"/>
        <v>601.37800000000004</v>
      </c>
      <c r="K98" s="56">
        <f t="shared" si="88"/>
        <v>451.0335</v>
      </c>
      <c r="L98" s="248"/>
    </row>
    <row r="99" spans="1:12" ht="15.75" x14ac:dyDescent="0.25">
      <c r="A99" s="170" t="s">
        <v>975</v>
      </c>
      <c r="B99" s="50" t="s">
        <v>1652</v>
      </c>
      <c r="C99" s="235"/>
      <c r="D99" s="235"/>
      <c r="E99" s="116">
        <v>300.68900000000002</v>
      </c>
      <c r="F99" s="58">
        <f t="shared" si="83"/>
        <v>150.34450000000001</v>
      </c>
      <c r="G99" s="41">
        <f t="shared" si="84"/>
        <v>451.0335</v>
      </c>
      <c r="H99" s="53">
        <f t="shared" si="85"/>
        <v>338.275125</v>
      </c>
      <c r="I99" s="54">
        <f t="shared" si="86"/>
        <v>150.34450000000001</v>
      </c>
      <c r="J99" s="55">
        <f t="shared" si="87"/>
        <v>601.37800000000004</v>
      </c>
      <c r="K99" s="56">
        <f t="shared" si="88"/>
        <v>451.0335</v>
      </c>
      <c r="L99" s="248"/>
    </row>
    <row r="100" spans="1:12" ht="15.75" x14ac:dyDescent="0.25">
      <c r="A100" s="170"/>
      <c r="B100" s="50"/>
      <c r="C100" s="47"/>
      <c r="D100" s="47"/>
      <c r="E100" s="116"/>
      <c r="F100" s="56"/>
      <c r="G100" s="251"/>
      <c r="H100" s="56"/>
      <c r="I100" s="237"/>
      <c r="J100" s="213"/>
      <c r="K100" s="252"/>
      <c r="L100" s="248"/>
    </row>
    <row r="101" spans="1:12" ht="15.75" x14ac:dyDescent="0.25">
      <c r="A101" s="170" t="s">
        <v>976</v>
      </c>
      <c r="B101" s="50" t="s">
        <v>1797</v>
      </c>
      <c r="C101" s="47">
        <v>4.17</v>
      </c>
      <c r="D101" s="47">
        <v>4.17</v>
      </c>
      <c r="E101" s="116">
        <v>298.49</v>
      </c>
      <c r="F101" s="58">
        <f t="shared" si="83"/>
        <v>149.245</v>
      </c>
      <c r="G101" s="41">
        <f t="shared" ref="G101:G106" si="89">E101+F101</f>
        <v>447.73500000000001</v>
      </c>
      <c r="H101" s="53">
        <f t="shared" ref="H101:H106" si="90">G101-(G101*25%)</f>
        <v>335.80124999999998</v>
      </c>
      <c r="I101" s="54">
        <f t="shared" ref="I101:I106" si="91">E101*50%</f>
        <v>149.245</v>
      </c>
      <c r="J101" s="55">
        <f t="shared" ref="J101:J106" si="92">E101+(I101*2)</f>
        <v>596.98</v>
      </c>
      <c r="K101" s="56">
        <f t="shared" ref="K101:K106" si="93">J101-(J101*25%)</f>
        <v>447.73500000000001</v>
      </c>
      <c r="L101" s="248"/>
    </row>
    <row r="102" spans="1:12" ht="15.75" x14ac:dyDescent="0.25">
      <c r="A102" s="170" t="s">
        <v>977</v>
      </c>
      <c r="B102" s="50" t="s">
        <v>1822</v>
      </c>
      <c r="C102" s="47">
        <v>4.17</v>
      </c>
      <c r="D102" s="47">
        <v>4.17</v>
      </c>
      <c r="E102" s="116">
        <v>219.67500000000001</v>
      </c>
      <c r="F102" s="58">
        <f t="shared" si="83"/>
        <v>109.83750000000001</v>
      </c>
      <c r="G102" s="41">
        <f t="shared" si="89"/>
        <v>329.51250000000005</v>
      </c>
      <c r="H102" s="53">
        <f t="shared" si="90"/>
        <v>247.13437500000003</v>
      </c>
      <c r="I102" s="54">
        <f t="shared" si="91"/>
        <v>109.83750000000001</v>
      </c>
      <c r="J102" s="55">
        <f t="shared" si="92"/>
        <v>439.35</v>
      </c>
      <c r="K102" s="56">
        <f t="shared" si="93"/>
        <v>329.51250000000005</v>
      </c>
      <c r="L102" s="248"/>
    </row>
    <row r="103" spans="1:12" ht="15.75" x14ac:dyDescent="0.25">
      <c r="A103" s="170" t="s">
        <v>978</v>
      </c>
      <c r="B103" s="50" t="s">
        <v>1822</v>
      </c>
      <c r="C103" s="235">
        <v>4.17</v>
      </c>
      <c r="D103" s="235">
        <v>4.17</v>
      </c>
      <c r="E103" s="116">
        <v>219.67500000000001</v>
      </c>
      <c r="F103" s="58">
        <f t="shared" si="83"/>
        <v>109.83750000000001</v>
      </c>
      <c r="G103" s="41">
        <f t="shared" si="89"/>
        <v>329.51250000000005</v>
      </c>
      <c r="H103" s="53">
        <f t="shared" si="90"/>
        <v>247.13437500000003</v>
      </c>
      <c r="I103" s="54">
        <f t="shared" si="91"/>
        <v>109.83750000000001</v>
      </c>
      <c r="J103" s="55">
        <f t="shared" si="92"/>
        <v>439.35</v>
      </c>
      <c r="K103" s="56">
        <f t="shared" si="93"/>
        <v>329.51250000000005</v>
      </c>
      <c r="L103" s="248"/>
    </row>
    <row r="104" spans="1:12" ht="15.75" x14ac:dyDescent="0.25">
      <c r="A104" s="170" t="s">
        <v>979</v>
      </c>
      <c r="B104" s="50" t="s">
        <v>1823</v>
      </c>
      <c r="C104" s="235">
        <v>4.17</v>
      </c>
      <c r="D104" s="235">
        <v>4.17</v>
      </c>
      <c r="E104" s="116">
        <v>219.67500000000001</v>
      </c>
      <c r="F104" s="58">
        <f t="shared" si="83"/>
        <v>109.83750000000001</v>
      </c>
      <c r="G104" s="41">
        <f t="shared" si="89"/>
        <v>329.51250000000005</v>
      </c>
      <c r="H104" s="53">
        <f t="shared" si="90"/>
        <v>247.13437500000003</v>
      </c>
      <c r="I104" s="54">
        <f t="shared" si="91"/>
        <v>109.83750000000001</v>
      </c>
      <c r="J104" s="55">
        <f t="shared" si="92"/>
        <v>439.35</v>
      </c>
      <c r="K104" s="56">
        <f t="shared" si="93"/>
        <v>329.51250000000005</v>
      </c>
      <c r="L104" s="248"/>
    </row>
    <row r="105" spans="1:12" ht="15.75" x14ac:dyDescent="0.25">
      <c r="A105" s="170" t="s">
        <v>980</v>
      </c>
      <c r="B105" s="50" t="s">
        <v>1383</v>
      </c>
      <c r="C105" s="47">
        <v>4.34</v>
      </c>
      <c r="D105" s="47">
        <v>4.34</v>
      </c>
      <c r="E105" s="116">
        <v>311.01</v>
      </c>
      <c r="F105" s="58">
        <f t="shared" si="83"/>
        <v>155.505</v>
      </c>
      <c r="G105" s="41">
        <f t="shared" si="89"/>
        <v>466.51499999999999</v>
      </c>
      <c r="H105" s="53">
        <f t="shared" si="90"/>
        <v>349.88625000000002</v>
      </c>
      <c r="I105" s="54">
        <f t="shared" si="91"/>
        <v>155.505</v>
      </c>
      <c r="J105" s="55">
        <f t="shared" si="92"/>
        <v>622.02</v>
      </c>
      <c r="K105" s="56">
        <f t="shared" si="93"/>
        <v>466.51499999999999</v>
      </c>
      <c r="L105" s="248"/>
    </row>
    <row r="106" spans="1:12" ht="15.75" x14ac:dyDescent="0.25">
      <c r="A106" s="170" t="s">
        <v>981</v>
      </c>
      <c r="B106" s="50" t="s">
        <v>1797</v>
      </c>
      <c r="C106" s="47">
        <v>4.17</v>
      </c>
      <c r="D106" s="47">
        <v>4.17</v>
      </c>
      <c r="E106" s="116">
        <v>298.49</v>
      </c>
      <c r="F106" s="58">
        <f t="shared" si="83"/>
        <v>149.245</v>
      </c>
      <c r="G106" s="41">
        <f t="shared" si="89"/>
        <v>447.73500000000001</v>
      </c>
      <c r="H106" s="53">
        <f t="shared" si="90"/>
        <v>335.80124999999998</v>
      </c>
      <c r="I106" s="54">
        <f t="shared" si="91"/>
        <v>149.245</v>
      </c>
      <c r="J106" s="55">
        <f t="shared" si="92"/>
        <v>596.98</v>
      </c>
      <c r="K106" s="56">
        <f t="shared" si="93"/>
        <v>447.73500000000001</v>
      </c>
      <c r="L106" s="248"/>
    </row>
    <row r="107" spans="1:12" ht="15.75" x14ac:dyDescent="0.25">
      <c r="A107" s="359" t="s">
        <v>1327</v>
      </c>
      <c r="B107" s="360"/>
      <c r="C107" s="258"/>
      <c r="D107" s="203">
        <f>SUM(D3:D106)</f>
        <v>509.21000000000009</v>
      </c>
      <c r="E107" s="203"/>
      <c r="F107" s="203"/>
      <c r="G107" s="259"/>
      <c r="H107" s="203"/>
      <c r="I107" s="203"/>
      <c r="J107" s="203">
        <f>SUM(J3:J106)</f>
        <v>72140.661200000031</v>
      </c>
      <c r="K107" s="203">
        <f>SUM(K3:K106)</f>
        <v>54105.495900000024</v>
      </c>
      <c r="L107" s="248"/>
    </row>
    <row r="110" spans="1:12" s="4" customFormat="1" x14ac:dyDescent="0.25"/>
  </sheetData>
  <mergeCells count="1">
    <mergeCell ref="A107:B107"/>
  </mergeCells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topLeftCell="A58" zoomScaleNormal="100" workbookViewId="0">
      <selection activeCell="J81" sqref="J81"/>
    </sheetView>
  </sheetViews>
  <sheetFormatPr defaultRowHeight="15.75" x14ac:dyDescent="0.25"/>
  <cols>
    <col min="1" max="1" width="9.7109375" style="31" customWidth="1"/>
    <col min="2" max="2" width="25.85546875" style="31" customWidth="1"/>
    <col min="3" max="3" width="10.7109375" style="31" customWidth="1"/>
    <col min="4" max="7" width="11.85546875" style="31" customWidth="1"/>
    <col min="8" max="10" width="11.85546875" style="81" customWidth="1"/>
    <col min="11" max="11" width="13.7109375" style="31" customWidth="1"/>
    <col min="12" max="12" width="18.85546875" style="167" customWidth="1"/>
  </cols>
  <sheetData>
    <row r="1" spans="1:12" s="12" customFormat="1" ht="23.25" x14ac:dyDescent="0.35">
      <c r="A1" s="361" t="s">
        <v>1591</v>
      </c>
      <c r="B1" s="361"/>
      <c r="C1" s="31"/>
      <c r="D1" s="31"/>
      <c r="E1" s="31"/>
      <c r="F1" s="31"/>
      <c r="G1" s="31"/>
      <c r="H1" s="81"/>
      <c r="I1" s="81"/>
      <c r="J1" s="81"/>
      <c r="K1" s="31"/>
      <c r="L1" s="171"/>
    </row>
    <row r="2" spans="1:12" s="101" customFormat="1" ht="51" customHeight="1" x14ac:dyDescent="0.25">
      <c r="A2" s="13" t="s">
        <v>1705</v>
      </c>
      <c r="B2" s="73" t="s">
        <v>1847</v>
      </c>
      <c r="C2" s="13" t="s">
        <v>1874</v>
      </c>
      <c r="D2" s="13" t="s">
        <v>1875</v>
      </c>
      <c r="E2" s="17" t="s">
        <v>1876</v>
      </c>
      <c r="F2" s="70" t="s">
        <v>1877</v>
      </c>
      <c r="G2" s="71" t="s">
        <v>1878</v>
      </c>
      <c r="H2" s="15" t="s">
        <v>1895</v>
      </c>
      <c r="I2" s="72" t="s">
        <v>1880</v>
      </c>
      <c r="J2" s="16" t="s">
        <v>1881</v>
      </c>
      <c r="K2" s="16" t="s">
        <v>1612</v>
      </c>
      <c r="L2" s="13" t="s">
        <v>1964</v>
      </c>
    </row>
    <row r="3" spans="1:12" x14ac:dyDescent="0.25">
      <c r="A3" s="24" t="s">
        <v>790</v>
      </c>
      <c r="B3" s="23" t="s">
        <v>1486</v>
      </c>
      <c r="C3" s="43">
        <v>52.4</v>
      </c>
      <c r="D3" s="23">
        <v>6.45</v>
      </c>
      <c r="E3" s="103">
        <v>483.67</v>
      </c>
      <c r="F3" s="53">
        <f t="shared" ref="F3:F8" si="0">E3*50%</f>
        <v>241.83500000000001</v>
      </c>
      <c r="G3" s="41">
        <f t="shared" ref="G3:G8" si="1">E3+F3</f>
        <v>725.505</v>
      </c>
      <c r="H3" s="53">
        <f t="shared" ref="H3:H8" si="2">G3-(G3*25%)</f>
        <v>544.12874999999997</v>
      </c>
      <c r="I3" s="54">
        <f t="shared" ref="I3:I8" si="3">E3*50%</f>
        <v>241.83500000000001</v>
      </c>
      <c r="J3" s="55">
        <f t="shared" ref="J3:J8" si="4">E3+(I3*2)</f>
        <v>967.34</v>
      </c>
      <c r="K3" s="56">
        <f t="shared" ref="K3:K8" si="5">J3-(J3*25%)</f>
        <v>725.505</v>
      </c>
      <c r="L3" s="181"/>
    </row>
    <row r="4" spans="1:12" x14ac:dyDescent="0.25">
      <c r="A4" s="24" t="s">
        <v>791</v>
      </c>
      <c r="B4" s="23" t="s">
        <v>1486</v>
      </c>
      <c r="C4" s="23"/>
      <c r="D4" s="23">
        <v>6.45</v>
      </c>
      <c r="E4" s="103">
        <v>483.67</v>
      </c>
      <c r="F4" s="53">
        <f t="shared" si="0"/>
        <v>241.83500000000001</v>
      </c>
      <c r="G4" s="41">
        <f t="shared" si="1"/>
        <v>725.505</v>
      </c>
      <c r="H4" s="53">
        <f t="shared" si="2"/>
        <v>544.12874999999997</v>
      </c>
      <c r="I4" s="54">
        <f t="shared" si="3"/>
        <v>241.83500000000001</v>
      </c>
      <c r="J4" s="55">
        <f t="shared" si="4"/>
        <v>967.34</v>
      </c>
      <c r="K4" s="56">
        <f t="shared" si="5"/>
        <v>725.505</v>
      </c>
      <c r="L4" s="181"/>
    </row>
    <row r="5" spans="1:12" x14ac:dyDescent="0.25">
      <c r="A5" s="24" t="s">
        <v>792</v>
      </c>
      <c r="B5" s="23" t="s">
        <v>1486</v>
      </c>
      <c r="C5" s="23"/>
      <c r="D5" s="23">
        <v>6.45</v>
      </c>
      <c r="E5" s="103">
        <v>483.67333000000002</v>
      </c>
      <c r="F5" s="53">
        <f t="shared" si="0"/>
        <v>241.83666500000001</v>
      </c>
      <c r="G5" s="41">
        <f t="shared" si="1"/>
        <v>725.509995</v>
      </c>
      <c r="H5" s="53">
        <f t="shared" si="2"/>
        <v>544.13249625000003</v>
      </c>
      <c r="I5" s="54">
        <f t="shared" si="3"/>
        <v>241.83666500000001</v>
      </c>
      <c r="J5" s="55">
        <f t="shared" si="4"/>
        <v>967.34666000000004</v>
      </c>
      <c r="K5" s="56">
        <f t="shared" si="5"/>
        <v>725.509995</v>
      </c>
      <c r="L5" s="181"/>
    </row>
    <row r="6" spans="1:12" x14ac:dyDescent="0.25">
      <c r="A6" s="24" t="s">
        <v>793</v>
      </c>
      <c r="B6" s="23" t="s">
        <v>1486</v>
      </c>
      <c r="C6" s="23"/>
      <c r="D6" s="23">
        <v>6.45</v>
      </c>
      <c r="E6" s="103">
        <v>483.67333000000002</v>
      </c>
      <c r="F6" s="53">
        <f t="shared" si="0"/>
        <v>241.83666500000001</v>
      </c>
      <c r="G6" s="41">
        <f t="shared" si="1"/>
        <v>725.509995</v>
      </c>
      <c r="H6" s="53">
        <f t="shared" si="2"/>
        <v>544.13249625000003</v>
      </c>
      <c r="I6" s="54">
        <f t="shared" si="3"/>
        <v>241.83666500000001</v>
      </c>
      <c r="J6" s="55">
        <f t="shared" si="4"/>
        <v>967.34666000000004</v>
      </c>
      <c r="K6" s="56">
        <f t="shared" si="5"/>
        <v>725.509995</v>
      </c>
      <c r="L6" s="181"/>
    </row>
    <row r="7" spans="1:12" x14ac:dyDescent="0.25">
      <c r="A7" s="24" t="s">
        <v>794</v>
      </c>
      <c r="B7" s="23" t="s">
        <v>1486</v>
      </c>
      <c r="C7" s="23"/>
      <c r="D7" s="23">
        <v>6.45</v>
      </c>
      <c r="E7" s="103">
        <v>483.67333000000002</v>
      </c>
      <c r="F7" s="53">
        <f t="shared" si="0"/>
        <v>241.83666500000001</v>
      </c>
      <c r="G7" s="41">
        <f t="shared" si="1"/>
        <v>725.509995</v>
      </c>
      <c r="H7" s="53">
        <f t="shared" si="2"/>
        <v>544.13249625000003</v>
      </c>
      <c r="I7" s="54">
        <f t="shared" si="3"/>
        <v>241.83666500000001</v>
      </c>
      <c r="J7" s="55">
        <f t="shared" si="4"/>
        <v>967.34666000000004</v>
      </c>
      <c r="K7" s="56">
        <f t="shared" si="5"/>
        <v>725.509995</v>
      </c>
      <c r="L7" s="181"/>
    </row>
    <row r="8" spans="1:12" x14ac:dyDescent="0.25">
      <c r="A8" s="24" t="s">
        <v>795</v>
      </c>
      <c r="B8" s="23" t="s">
        <v>1486</v>
      </c>
      <c r="C8" s="23"/>
      <c r="D8" s="23">
        <v>6.45</v>
      </c>
      <c r="E8" s="103">
        <v>483.67333000000002</v>
      </c>
      <c r="F8" s="53">
        <f t="shared" si="0"/>
        <v>241.83666500000001</v>
      </c>
      <c r="G8" s="41">
        <f t="shared" si="1"/>
        <v>725.509995</v>
      </c>
      <c r="H8" s="53">
        <f t="shared" si="2"/>
        <v>544.13249625000003</v>
      </c>
      <c r="I8" s="54">
        <f t="shared" si="3"/>
        <v>241.83666500000001</v>
      </c>
      <c r="J8" s="55">
        <f t="shared" si="4"/>
        <v>967.34666000000004</v>
      </c>
      <c r="K8" s="56">
        <f t="shared" si="5"/>
        <v>725.509995</v>
      </c>
      <c r="L8" s="181"/>
    </row>
    <row r="9" spans="1:12" x14ac:dyDescent="0.25">
      <c r="A9" s="30"/>
      <c r="B9" s="30"/>
      <c r="C9" s="30"/>
      <c r="D9" s="23"/>
      <c r="E9" s="30"/>
      <c r="F9" s="30"/>
      <c r="G9" s="42"/>
      <c r="H9" s="104"/>
      <c r="I9" s="3"/>
      <c r="J9" s="25"/>
      <c r="K9" s="110"/>
      <c r="L9" s="181"/>
    </row>
    <row r="10" spans="1:12" x14ac:dyDescent="0.25">
      <c r="A10" s="24" t="s">
        <v>796</v>
      </c>
      <c r="B10" s="23" t="s">
        <v>1486</v>
      </c>
      <c r="C10" s="23"/>
      <c r="D10" s="23">
        <v>6.45</v>
      </c>
      <c r="E10" s="103">
        <v>503.68</v>
      </c>
      <c r="F10" s="53">
        <f t="shared" ref="F10:F15" si="6">E10*50%</f>
        <v>251.84</v>
      </c>
      <c r="G10" s="41">
        <f t="shared" ref="G10:G15" si="7">E10+F10</f>
        <v>755.52</v>
      </c>
      <c r="H10" s="53">
        <f t="shared" ref="H10:H15" si="8">G10-(G10*25%)</f>
        <v>566.64</v>
      </c>
      <c r="I10" s="54">
        <f t="shared" ref="I10:I15" si="9">E10*50%</f>
        <v>251.84</v>
      </c>
      <c r="J10" s="55">
        <f t="shared" ref="J10:J15" si="10">E10+(I10*2)</f>
        <v>1007.36</v>
      </c>
      <c r="K10" s="56">
        <f t="shared" ref="K10:K15" si="11">J10-(J10*25%)</f>
        <v>755.52</v>
      </c>
      <c r="L10" s="181"/>
    </row>
    <row r="11" spans="1:12" x14ac:dyDescent="0.25">
      <c r="A11" s="24" t="s">
        <v>797</v>
      </c>
      <c r="B11" s="23"/>
      <c r="C11" s="23"/>
      <c r="D11" s="23">
        <v>6.45</v>
      </c>
      <c r="E11" s="103">
        <v>503.68</v>
      </c>
      <c r="F11" s="53">
        <f t="shared" si="6"/>
        <v>251.84</v>
      </c>
      <c r="G11" s="41">
        <f t="shared" si="7"/>
        <v>755.52</v>
      </c>
      <c r="H11" s="53">
        <f t="shared" si="8"/>
        <v>566.64</v>
      </c>
      <c r="I11" s="54">
        <f t="shared" si="9"/>
        <v>251.84</v>
      </c>
      <c r="J11" s="55">
        <f t="shared" si="10"/>
        <v>1007.36</v>
      </c>
      <c r="K11" s="56">
        <f t="shared" si="11"/>
        <v>755.52</v>
      </c>
      <c r="L11" s="181"/>
    </row>
    <row r="12" spans="1:12" x14ac:dyDescent="0.25">
      <c r="A12" s="24" t="s">
        <v>798</v>
      </c>
      <c r="B12" s="23" t="s">
        <v>2181</v>
      </c>
      <c r="C12" s="43">
        <v>6.2</v>
      </c>
      <c r="D12" s="23">
        <v>6.45</v>
      </c>
      <c r="E12" s="103">
        <v>503.68</v>
      </c>
      <c r="F12" s="53">
        <f t="shared" si="6"/>
        <v>251.84</v>
      </c>
      <c r="G12" s="41">
        <f t="shared" si="7"/>
        <v>755.52</v>
      </c>
      <c r="H12" s="53">
        <f t="shared" si="8"/>
        <v>566.64</v>
      </c>
      <c r="I12" s="54">
        <f t="shared" si="9"/>
        <v>251.84</v>
      </c>
      <c r="J12" s="55">
        <f t="shared" si="10"/>
        <v>1007.36</v>
      </c>
      <c r="K12" s="56">
        <f t="shared" si="11"/>
        <v>755.52</v>
      </c>
      <c r="L12" s="181"/>
    </row>
    <row r="13" spans="1:12" x14ac:dyDescent="0.25">
      <c r="A13" s="24" t="s">
        <v>799</v>
      </c>
      <c r="B13" s="23" t="s">
        <v>1323</v>
      </c>
      <c r="C13" s="23"/>
      <c r="D13" s="23">
        <v>6.45</v>
      </c>
      <c r="E13" s="103">
        <v>503.68</v>
      </c>
      <c r="F13" s="53">
        <f t="shared" si="6"/>
        <v>251.84</v>
      </c>
      <c r="G13" s="41">
        <f t="shared" si="7"/>
        <v>755.52</v>
      </c>
      <c r="H13" s="53">
        <f t="shared" si="8"/>
        <v>566.64</v>
      </c>
      <c r="I13" s="54">
        <f t="shared" si="9"/>
        <v>251.84</v>
      </c>
      <c r="J13" s="55">
        <f t="shared" si="10"/>
        <v>1007.36</v>
      </c>
      <c r="K13" s="56">
        <f t="shared" si="11"/>
        <v>755.52</v>
      </c>
      <c r="L13" s="181"/>
    </row>
    <row r="14" spans="1:12" x14ac:dyDescent="0.25">
      <c r="A14" s="24" t="s">
        <v>800</v>
      </c>
      <c r="B14" s="23" t="s">
        <v>812</v>
      </c>
      <c r="C14" s="43">
        <v>8.1199999999999992</v>
      </c>
      <c r="D14" s="23">
        <v>6.45</v>
      </c>
      <c r="E14" s="103">
        <v>478.72</v>
      </c>
      <c r="F14" s="53">
        <f t="shared" si="6"/>
        <v>239.36</v>
      </c>
      <c r="G14" s="41">
        <f t="shared" si="7"/>
        <v>718.08</v>
      </c>
      <c r="H14" s="53">
        <f t="shared" si="8"/>
        <v>538.56000000000006</v>
      </c>
      <c r="I14" s="54">
        <f t="shared" si="9"/>
        <v>239.36</v>
      </c>
      <c r="J14" s="55">
        <f t="shared" si="10"/>
        <v>957.44</v>
      </c>
      <c r="K14" s="56">
        <f t="shared" si="11"/>
        <v>718.08</v>
      </c>
      <c r="L14" s="181"/>
    </row>
    <row r="15" spans="1:12" x14ac:dyDescent="0.25">
      <c r="A15" s="24" t="s">
        <v>801</v>
      </c>
      <c r="B15" s="23" t="s">
        <v>812</v>
      </c>
      <c r="C15" s="43">
        <v>10</v>
      </c>
      <c r="D15" s="23">
        <v>6.45</v>
      </c>
      <c r="E15" s="103">
        <v>478.72</v>
      </c>
      <c r="F15" s="53">
        <f t="shared" si="6"/>
        <v>239.36</v>
      </c>
      <c r="G15" s="41">
        <f t="shared" si="7"/>
        <v>718.08</v>
      </c>
      <c r="H15" s="53">
        <f t="shared" si="8"/>
        <v>538.56000000000006</v>
      </c>
      <c r="I15" s="54">
        <f t="shared" si="9"/>
        <v>239.36</v>
      </c>
      <c r="J15" s="55">
        <f t="shared" si="10"/>
        <v>957.44</v>
      </c>
      <c r="K15" s="56">
        <f t="shared" si="11"/>
        <v>718.08</v>
      </c>
      <c r="L15" s="181"/>
    </row>
    <row r="16" spans="1:12" x14ac:dyDescent="0.25">
      <c r="A16" s="24"/>
      <c r="B16" s="23"/>
      <c r="C16" s="23"/>
      <c r="D16" s="23"/>
      <c r="E16" s="23"/>
      <c r="F16" s="103"/>
      <c r="G16" s="42"/>
      <c r="H16" s="104"/>
      <c r="I16" s="3"/>
      <c r="J16" s="25"/>
      <c r="K16" s="110"/>
      <c r="L16" s="181"/>
    </row>
    <row r="17" spans="1:12" x14ac:dyDescent="0.25">
      <c r="A17" s="24" t="s">
        <v>802</v>
      </c>
      <c r="B17" s="23" t="s">
        <v>1930</v>
      </c>
      <c r="C17" s="43">
        <v>8</v>
      </c>
      <c r="D17" s="23">
        <v>7.31</v>
      </c>
      <c r="E17" s="103">
        <v>570.84</v>
      </c>
      <c r="F17" s="53">
        <f t="shared" ref="F17:F20" si="12">E17*50%</f>
        <v>285.42</v>
      </c>
      <c r="G17" s="41">
        <f t="shared" ref="G17:G20" si="13">E17+F17</f>
        <v>856.26</v>
      </c>
      <c r="H17" s="53">
        <f t="shared" ref="H17:H20" si="14">G17-(G17*25%)</f>
        <v>642.19499999999994</v>
      </c>
      <c r="I17" s="54">
        <f t="shared" ref="I17:I20" si="15">E17*50%</f>
        <v>285.42</v>
      </c>
      <c r="J17" s="55">
        <f t="shared" ref="J17:J20" si="16">E17+(I17*2)</f>
        <v>1141.68</v>
      </c>
      <c r="K17" s="56">
        <f t="shared" ref="K17:K20" si="17">J17-(J17*25%)</f>
        <v>856.26</v>
      </c>
      <c r="L17" s="181"/>
    </row>
    <row r="18" spans="1:12" x14ac:dyDescent="0.25">
      <c r="A18" s="24" t="s">
        <v>803</v>
      </c>
      <c r="B18" s="23" t="s">
        <v>1931</v>
      </c>
      <c r="C18" s="23"/>
      <c r="D18" s="23">
        <v>7.31</v>
      </c>
      <c r="E18" s="103">
        <v>570.84</v>
      </c>
      <c r="F18" s="53">
        <f t="shared" si="12"/>
        <v>285.42</v>
      </c>
      <c r="G18" s="41">
        <f t="shared" si="13"/>
        <v>856.26</v>
      </c>
      <c r="H18" s="53">
        <f t="shared" si="14"/>
        <v>642.19499999999994</v>
      </c>
      <c r="I18" s="54">
        <f t="shared" si="15"/>
        <v>285.42</v>
      </c>
      <c r="J18" s="55">
        <f t="shared" si="16"/>
        <v>1141.68</v>
      </c>
      <c r="K18" s="56">
        <f t="shared" si="17"/>
        <v>856.26</v>
      </c>
      <c r="L18" s="181"/>
    </row>
    <row r="19" spans="1:12" x14ac:dyDescent="0.25">
      <c r="A19" s="24" t="s">
        <v>804</v>
      </c>
      <c r="B19" s="23" t="s">
        <v>1931</v>
      </c>
      <c r="C19" s="23"/>
      <c r="D19" s="23">
        <v>7.31</v>
      </c>
      <c r="E19" s="103">
        <v>570.84</v>
      </c>
      <c r="F19" s="53">
        <f t="shared" si="12"/>
        <v>285.42</v>
      </c>
      <c r="G19" s="41">
        <f t="shared" si="13"/>
        <v>856.26</v>
      </c>
      <c r="H19" s="53">
        <f t="shared" si="14"/>
        <v>642.19499999999994</v>
      </c>
      <c r="I19" s="54">
        <f t="shared" si="15"/>
        <v>285.42</v>
      </c>
      <c r="J19" s="55">
        <f t="shared" si="16"/>
        <v>1141.68</v>
      </c>
      <c r="K19" s="56">
        <f t="shared" si="17"/>
        <v>856.26</v>
      </c>
      <c r="L19" s="181"/>
    </row>
    <row r="20" spans="1:12" ht="12.75" customHeight="1" x14ac:dyDescent="0.25">
      <c r="A20" s="24" t="s">
        <v>805</v>
      </c>
      <c r="B20" s="23" t="s">
        <v>1335</v>
      </c>
      <c r="C20" s="23"/>
      <c r="D20" s="23">
        <v>7.31</v>
      </c>
      <c r="E20" s="103">
        <v>570.84</v>
      </c>
      <c r="F20" s="53">
        <f t="shared" si="12"/>
        <v>285.42</v>
      </c>
      <c r="G20" s="41">
        <f t="shared" si="13"/>
        <v>856.26</v>
      </c>
      <c r="H20" s="53">
        <f t="shared" si="14"/>
        <v>642.19499999999994</v>
      </c>
      <c r="I20" s="54">
        <f t="shared" si="15"/>
        <v>285.42</v>
      </c>
      <c r="J20" s="55">
        <f t="shared" si="16"/>
        <v>1141.68</v>
      </c>
      <c r="K20" s="56">
        <f t="shared" si="17"/>
        <v>856.26</v>
      </c>
      <c r="L20" s="181"/>
    </row>
    <row r="21" spans="1:12" x14ac:dyDescent="0.25">
      <c r="A21" s="30"/>
      <c r="B21" s="30"/>
      <c r="C21" s="30"/>
      <c r="D21" s="30"/>
      <c r="E21" s="30"/>
      <c r="F21" s="30"/>
      <c r="G21" s="30"/>
      <c r="H21" s="109"/>
      <c r="I21" s="109"/>
      <c r="J21" s="109"/>
      <c r="K21" s="30"/>
      <c r="L21" s="181"/>
    </row>
    <row r="22" spans="1:12" s="261" customFormat="1" x14ac:dyDescent="0.25">
      <c r="A22" s="49" t="s">
        <v>934</v>
      </c>
      <c r="B22" s="260" t="s">
        <v>1037</v>
      </c>
      <c r="C22" s="65"/>
      <c r="D22" s="115">
        <v>34.4</v>
      </c>
      <c r="E22" s="116">
        <v>483.69499999999999</v>
      </c>
      <c r="F22" s="53">
        <f t="shared" ref="F22:F31" si="18">E22*50%</f>
        <v>241.8475</v>
      </c>
      <c r="G22" s="41">
        <f t="shared" ref="G22:G31" si="19">E22+F22</f>
        <v>725.54250000000002</v>
      </c>
      <c r="H22" s="53">
        <f t="shared" ref="H22:H31" si="20">G22-(G22*25%)</f>
        <v>544.15687500000001</v>
      </c>
      <c r="I22" s="54">
        <f t="shared" ref="I22:I31" si="21">E22*50%</f>
        <v>241.8475</v>
      </c>
      <c r="J22" s="55">
        <f t="shared" ref="J22:J31" si="22">E22+(I22*2)</f>
        <v>967.39</v>
      </c>
      <c r="K22" s="56">
        <f t="shared" ref="K22:K31" si="23">J22-(J22*25%)</f>
        <v>725.54250000000002</v>
      </c>
      <c r="L22" s="248"/>
    </row>
    <row r="23" spans="1:12" s="261" customFormat="1" x14ac:dyDescent="0.25">
      <c r="A23" s="49" t="s">
        <v>935</v>
      </c>
      <c r="B23" s="260" t="s">
        <v>1641</v>
      </c>
      <c r="C23" s="65"/>
      <c r="D23" s="117"/>
      <c r="E23" s="116">
        <v>483.69499999999999</v>
      </c>
      <c r="F23" s="53">
        <f t="shared" si="18"/>
        <v>241.8475</v>
      </c>
      <c r="G23" s="41">
        <f t="shared" si="19"/>
        <v>725.54250000000002</v>
      </c>
      <c r="H23" s="53">
        <f t="shared" si="20"/>
        <v>544.15687500000001</v>
      </c>
      <c r="I23" s="54">
        <f t="shared" si="21"/>
        <v>241.8475</v>
      </c>
      <c r="J23" s="55">
        <f t="shared" si="22"/>
        <v>967.39</v>
      </c>
      <c r="K23" s="56">
        <f t="shared" si="23"/>
        <v>725.54250000000002</v>
      </c>
      <c r="L23" s="248"/>
    </row>
    <row r="24" spans="1:12" s="261" customFormat="1" x14ac:dyDescent="0.25">
      <c r="A24" s="49" t="s">
        <v>936</v>
      </c>
      <c r="B24" s="260" t="s">
        <v>1641</v>
      </c>
      <c r="C24" s="65"/>
      <c r="D24" s="117"/>
      <c r="E24" s="116">
        <v>483.69499999999999</v>
      </c>
      <c r="F24" s="53">
        <f t="shared" si="18"/>
        <v>241.8475</v>
      </c>
      <c r="G24" s="41">
        <f t="shared" si="19"/>
        <v>725.54250000000002</v>
      </c>
      <c r="H24" s="53">
        <f t="shared" si="20"/>
        <v>544.15687500000001</v>
      </c>
      <c r="I24" s="54">
        <f t="shared" si="21"/>
        <v>241.8475</v>
      </c>
      <c r="J24" s="55">
        <f t="shared" si="22"/>
        <v>967.39</v>
      </c>
      <c r="K24" s="56">
        <f t="shared" si="23"/>
        <v>725.54250000000002</v>
      </c>
      <c r="L24" s="248"/>
    </row>
    <row r="25" spans="1:12" s="261" customFormat="1" x14ac:dyDescent="0.25">
      <c r="A25" s="49" t="s">
        <v>937</v>
      </c>
      <c r="B25" s="260" t="s">
        <v>1641</v>
      </c>
      <c r="C25" s="65"/>
      <c r="D25" s="117"/>
      <c r="E25" s="116">
        <v>483.69499999999999</v>
      </c>
      <c r="F25" s="53">
        <f t="shared" si="18"/>
        <v>241.8475</v>
      </c>
      <c r="G25" s="41">
        <f t="shared" si="19"/>
        <v>725.54250000000002</v>
      </c>
      <c r="H25" s="53">
        <f t="shared" si="20"/>
        <v>544.15687500000001</v>
      </c>
      <c r="I25" s="54">
        <f t="shared" si="21"/>
        <v>241.8475</v>
      </c>
      <c r="J25" s="55">
        <f t="shared" si="22"/>
        <v>967.39</v>
      </c>
      <c r="K25" s="56">
        <f t="shared" si="23"/>
        <v>725.54250000000002</v>
      </c>
      <c r="L25" s="248"/>
    </row>
    <row r="26" spans="1:12" s="261" customFormat="1" x14ac:dyDescent="0.25">
      <c r="A26" s="49" t="s">
        <v>938</v>
      </c>
      <c r="B26" s="260" t="s">
        <v>1641</v>
      </c>
      <c r="C26" s="65"/>
      <c r="D26" s="117"/>
      <c r="E26" s="116">
        <v>483.69</v>
      </c>
      <c r="F26" s="53">
        <f t="shared" si="18"/>
        <v>241.845</v>
      </c>
      <c r="G26" s="41">
        <f t="shared" si="19"/>
        <v>725.53499999999997</v>
      </c>
      <c r="H26" s="53">
        <f t="shared" si="20"/>
        <v>544.15125</v>
      </c>
      <c r="I26" s="54">
        <f t="shared" si="21"/>
        <v>241.845</v>
      </c>
      <c r="J26" s="55">
        <f t="shared" si="22"/>
        <v>967.38</v>
      </c>
      <c r="K26" s="56">
        <f t="shared" si="23"/>
        <v>725.53499999999997</v>
      </c>
      <c r="L26" s="248"/>
    </row>
    <row r="27" spans="1:12" s="261" customFormat="1" x14ac:dyDescent="0.25">
      <c r="A27" s="49" t="s">
        <v>939</v>
      </c>
      <c r="B27" s="260" t="s">
        <v>1038</v>
      </c>
      <c r="C27" s="65"/>
      <c r="D27" s="115">
        <v>13.76</v>
      </c>
      <c r="E27" s="116">
        <v>483.69</v>
      </c>
      <c r="F27" s="53">
        <f t="shared" si="18"/>
        <v>241.845</v>
      </c>
      <c r="G27" s="41">
        <f t="shared" si="19"/>
        <v>725.53499999999997</v>
      </c>
      <c r="H27" s="53">
        <f t="shared" si="20"/>
        <v>544.15125</v>
      </c>
      <c r="I27" s="54">
        <f t="shared" si="21"/>
        <v>241.845</v>
      </c>
      <c r="J27" s="55">
        <f t="shared" si="22"/>
        <v>967.38</v>
      </c>
      <c r="K27" s="56">
        <f t="shared" si="23"/>
        <v>725.53499999999997</v>
      </c>
      <c r="L27" s="248"/>
    </row>
    <row r="28" spans="1:12" s="261" customFormat="1" x14ac:dyDescent="0.25">
      <c r="A28" s="49" t="s">
        <v>940</v>
      </c>
      <c r="B28" s="260" t="s">
        <v>1641</v>
      </c>
      <c r="C28" s="65"/>
      <c r="D28" s="117"/>
      <c r="E28" s="116">
        <v>483.69</v>
      </c>
      <c r="F28" s="53">
        <f t="shared" si="18"/>
        <v>241.845</v>
      </c>
      <c r="G28" s="41">
        <f t="shared" si="19"/>
        <v>725.53499999999997</v>
      </c>
      <c r="H28" s="53">
        <f t="shared" si="20"/>
        <v>544.15125</v>
      </c>
      <c r="I28" s="54">
        <f t="shared" si="21"/>
        <v>241.845</v>
      </c>
      <c r="J28" s="55">
        <f t="shared" si="22"/>
        <v>967.38</v>
      </c>
      <c r="K28" s="56">
        <f t="shared" si="23"/>
        <v>725.53499999999997</v>
      </c>
      <c r="L28" s="248"/>
    </row>
    <row r="29" spans="1:12" s="261" customFormat="1" x14ac:dyDescent="0.25">
      <c r="A29" s="49" t="s">
        <v>941</v>
      </c>
      <c r="B29" s="260" t="s">
        <v>1038</v>
      </c>
      <c r="C29" s="65"/>
      <c r="D29" s="115">
        <v>13.76</v>
      </c>
      <c r="E29" s="116">
        <v>483.69</v>
      </c>
      <c r="F29" s="53">
        <f t="shared" si="18"/>
        <v>241.845</v>
      </c>
      <c r="G29" s="41">
        <f t="shared" si="19"/>
        <v>725.53499999999997</v>
      </c>
      <c r="H29" s="53">
        <f t="shared" si="20"/>
        <v>544.15125</v>
      </c>
      <c r="I29" s="54">
        <f t="shared" si="21"/>
        <v>241.845</v>
      </c>
      <c r="J29" s="55">
        <f t="shared" si="22"/>
        <v>967.38</v>
      </c>
      <c r="K29" s="56">
        <f t="shared" si="23"/>
        <v>725.53499999999997</v>
      </c>
      <c r="L29" s="248"/>
    </row>
    <row r="30" spans="1:12" s="261" customFormat="1" x14ac:dyDescent="0.25">
      <c r="A30" s="49" t="s">
        <v>942</v>
      </c>
      <c r="B30" s="260" t="s">
        <v>1641</v>
      </c>
      <c r="C30" s="65"/>
      <c r="D30" s="117"/>
      <c r="E30" s="116">
        <v>483.69</v>
      </c>
      <c r="F30" s="53">
        <f t="shared" si="18"/>
        <v>241.845</v>
      </c>
      <c r="G30" s="41">
        <f t="shared" si="19"/>
        <v>725.53499999999997</v>
      </c>
      <c r="H30" s="53">
        <f t="shared" si="20"/>
        <v>544.15125</v>
      </c>
      <c r="I30" s="54">
        <f t="shared" si="21"/>
        <v>241.845</v>
      </c>
      <c r="J30" s="55">
        <f t="shared" si="22"/>
        <v>967.38</v>
      </c>
      <c r="K30" s="56">
        <f t="shared" si="23"/>
        <v>725.53499999999997</v>
      </c>
      <c r="L30" s="248"/>
    </row>
    <row r="31" spans="1:12" x14ac:dyDescent="0.25">
      <c r="A31" s="49" t="s">
        <v>943</v>
      </c>
      <c r="B31" s="50" t="s">
        <v>1919</v>
      </c>
      <c r="C31" s="65"/>
      <c r="D31" s="47">
        <v>6.88</v>
      </c>
      <c r="E31" s="116">
        <v>492.47500000000002</v>
      </c>
      <c r="F31" s="53">
        <f t="shared" si="18"/>
        <v>246.23750000000001</v>
      </c>
      <c r="G31" s="41">
        <f t="shared" si="19"/>
        <v>738.71250000000009</v>
      </c>
      <c r="H31" s="53">
        <f t="shared" si="20"/>
        <v>554.03437500000007</v>
      </c>
      <c r="I31" s="54">
        <f t="shared" si="21"/>
        <v>246.23750000000001</v>
      </c>
      <c r="J31" s="55">
        <f t="shared" si="22"/>
        <v>984.95</v>
      </c>
      <c r="K31" s="56">
        <f t="shared" si="23"/>
        <v>738.71250000000009</v>
      </c>
      <c r="L31" s="181"/>
    </row>
    <row r="32" spans="1:12" x14ac:dyDescent="0.25">
      <c r="A32" s="30"/>
      <c r="B32" s="30"/>
      <c r="C32" s="30"/>
      <c r="D32" s="30"/>
      <c r="E32" s="30"/>
      <c r="F32" s="30"/>
      <c r="G32" s="30"/>
      <c r="H32" s="114"/>
      <c r="I32" s="109"/>
      <c r="J32" s="109"/>
      <c r="K32" s="30"/>
      <c r="L32" s="181"/>
    </row>
    <row r="33" spans="1:12" x14ac:dyDescent="0.25">
      <c r="A33" s="24" t="s">
        <v>982</v>
      </c>
      <c r="B33" s="23" t="s">
        <v>2176</v>
      </c>
      <c r="C33" s="30"/>
      <c r="D33" s="44">
        <v>14.68</v>
      </c>
      <c r="E33" s="103">
        <v>525.4</v>
      </c>
      <c r="F33" s="53">
        <f t="shared" ref="F33:F38" si="24">E33*50%</f>
        <v>262.7</v>
      </c>
      <c r="G33" s="41">
        <f t="shared" ref="G33:G38" si="25">E33+F33</f>
        <v>788.09999999999991</v>
      </c>
      <c r="H33" s="53">
        <f t="shared" ref="H33:H38" si="26">G33-(G33*25%)</f>
        <v>591.07499999999993</v>
      </c>
      <c r="I33" s="54">
        <f t="shared" ref="I33:I38" si="27">E33*50%</f>
        <v>262.7</v>
      </c>
      <c r="J33" s="55">
        <f t="shared" ref="J33:J38" si="28">E33+(I33*2)</f>
        <v>1050.8</v>
      </c>
      <c r="K33" s="56">
        <f t="shared" ref="K33:K38" si="29">J33-(J33*25%)</f>
        <v>788.09999999999991</v>
      </c>
      <c r="L33" s="181"/>
    </row>
    <row r="34" spans="1:12" x14ac:dyDescent="0.25">
      <c r="A34" s="24" t="s">
        <v>983</v>
      </c>
      <c r="B34" s="23" t="s">
        <v>2176</v>
      </c>
      <c r="C34" s="30"/>
      <c r="D34" s="64"/>
      <c r="E34" s="103">
        <v>525.4</v>
      </c>
      <c r="F34" s="53">
        <f t="shared" si="24"/>
        <v>262.7</v>
      </c>
      <c r="G34" s="41">
        <f t="shared" si="25"/>
        <v>788.09999999999991</v>
      </c>
      <c r="H34" s="53">
        <f t="shared" si="26"/>
        <v>591.07499999999993</v>
      </c>
      <c r="I34" s="54">
        <f t="shared" si="27"/>
        <v>262.7</v>
      </c>
      <c r="J34" s="55">
        <f t="shared" si="28"/>
        <v>1050.8</v>
      </c>
      <c r="K34" s="56">
        <f t="shared" si="29"/>
        <v>788.09999999999991</v>
      </c>
      <c r="L34" s="181"/>
    </row>
    <row r="35" spans="1:12" x14ac:dyDescent="0.25">
      <c r="A35" s="24" t="s">
        <v>984</v>
      </c>
      <c r="B35" s="23" t="s">
        <v>1762</v>
      </c>
      <c r="C35" s="30"/>
      <c r="D35" s="44">
        <v>14.68</v>
      </c>
      <c r="E35" s="103">
        <v>535.04499999999996</v>
      </c>
      <c r="F35" s="53">
        <f t="shared" si="24"/>
        <v>267.52249999999998</v>
      </c>
      <c r="G35" s="41">
        <f t="shared" si="25"/>
        <v>802.56749999999988</v>
      </c>
      <c r="H35" s="53">
        <f t="shared" si="26"/>
        <v>601.92562499999985</v>
      </c>
      <c r="I35" s="54">
        <f t="shared" si="27"/>
        <v>267.52249999999998</v>
      </c>
      <c r="J35" s="55">
        <f t="shared" si="28"/>
        <v>1070.0899999999999</v>
      </c>
      <c r="K35" s="56">
        <f t="shared" si="29"/>
        <v>802.56749999999988</v>
      </c>
      <c r="L35" s="181"/>
    </row>
    <row r="36" spans="1:12" x14ac:dyDescent="0.25">
      <c r="A36" s="24" t="s">
        <v>985</v>
      </c>
      <c r="B36" s="23" t="s">
        <v>1762</v>
      </c>
      <c r="C36" s="30"/>
      <c r="D36" s="113"/>
      <c r="E36" s="103">
        <v>535.04499999999996</v>
      </c>
      <c r="F36" s="53">
        <f t="shared" si="24"/>
        <v>267.52249999999998</v>
      </c>
      <c r="G36" s="41">
        <f t="shared" si="25"/>
        <v>802.56749999999988</v>
      </c>
      <c r="H36" s="53">
        <f t="shared" si="26"/>
        <v>601.92562499999985</v>
      </c>
      <c r="I36" s="54">
        <f t="shared" si="27"/>
        <v>267.52249999999998</v>
      </c>
      <c r="J36" s="55">
        <f t="shared" si="28"/>
        <v>1070.0899999999999</v>
      </c>
      <c r="K36" s="56">
        <f t="shared" si="29"/>
        <v>802.56749999999988</v>
      </c>
      <c r="L36" s="181"/>
    </row>
    <row r="37" spans="1:12" x14ac:dyDescent="0.25">
      <c r="A37" s="24" t="s">
        <v>986</v>
      </c>
      <c r="B37" s="111" t="s">
        <v>2284</v>
      </c>
      <c r="C37" s="30"/>
      <c r="D37" s="112">
        <v>14.68</v>
      </c>
      <c r="E37" s="103">
        <v>525.4</v>
      </c>
      <c r="F37" s="53">
        <f t="shared" si="24"/>
        <v>262.7</v>
      </c>
      <c r="G37" s="41">
        <f t="shared" si="25"/>
        <v>788.09999999999991</v>
      </c>
      <c r="H37" s="53">
        <f t="shared" si="26"/>
        <v>591.07499999999993</v>
      </c>
      <c r="I37" s="54">
        <f t="shared" si="27"/>
        <v>262.7</v>
      </c>
      <c r="J37" s="55">
        <f t="shared" si="28"/>
        <v>1050.8</v>
      </c>
      <c r="K37" s="56">
        <f t="shared" si="29"/>
        <v>788.09999999999991</v>
      </c>
      <c r="L37" s="181"/>
    </row>
    <row r="38" spans="1:12" x14ac:dyDescent="0.25">
      <c r="A38" s="24" t="s">
        <v>987</v>
      </c>
      <c r="B38" s="111" t="s">
        <v>2284</v>
      </c>
      <c r="C38" s="30"/>
      <c r="D38" s="113"/>
      <c r="E38" s="103">
        <v>525.4</v>
      </c>
      <c r="F38" s="53">
        <f t="shared" si="24"/>
        <v>262.7</v>
      </c>
      <c r="G38" s="41">
        <f t="shared" si="25"/>
        <v>788.09999999999991</v>
      </c>
      <c r="H38" s="53">
        <f t="shared" si="26"/>
        <v>591.07499999999993</v>
      </c>
      <c r="I38" s="54">
        <f t="shared" si="27"/>
        <v>262.7</v>
      </c>
      <c r="J38" s="55">
        <f t="shared" si="28"/>
        <v>1050.8</v>
      </c>
      <c r="K38" s="56">
        <f t="shared" si="29"/>
        <v>788.09999999999991</v>
      </c>
      <c r="L38" s="181"/>
    </row>
    <row r="39" spans="1:12" x14ac:dyDescent="0.25">
      <c r="A39" s="24"/>
      <c r="B39" s="111"/>
      <c r="C39" s="30"/>
      <c r="D39" s="112"/>
      <c r="E39" s="103"/>
      <c r="F39" s="103"/>
      <c r="G39" s="42"/>
      <c r="H39" s="104"/>
      <c r="I39" s="3"/>
      <c r="J39" s="25"/>
      <c r="K39" s="110"/>
      <c r="L39" s="181"/>
    </row>
    <row r="40" spans="1:12" x14ac:dyDescent="0.25">
      <c r="A40" s="24" t="s">
        <v>988</v>
      </c>
      <c r="B40" s="111" t="s">
        <v>2234</v>
      </c>
      <c r="C40" s="30"/>
      <c r="D40" s="112">
        <v>13.72</v>
      </c>
      <c r="E40" s="103">
        <v>429.8</v>
      </c>
      <c r="F40" s="53">
        <f t="shared" ref="F40:F43" si="30">E40*50%</f>
        <v>214.9</v>
      </c>
      <c r="G40" s="41">
        <f t="shared" ref="G40:G43" si="31">E40+F40</f>
        <v>644.70000000000005</v>
      </c>
      <c r="H40" s="53">
        <f t="shared" ref="H40:H43" si="32">G40-(G40*25%)</f>
        <v>483.52500000000003</v>
      </c>
      <c r="I40" s="54">
        <f t="shared" ref="I40:I43" si="33">E40*50%</f>
        <v>214.9</v>
      </c>
      <c r="J40" s="55">
        <f t="shared" ref="J40:J43" si="34">E40+(I40*2)</f>
        <v>859.6</v>
      </c>
      <c r="K40" s="56">
        <f t="shared" ref="K40:K43" si="35">J40-(J40*25%)</f>
        <v>644.70000000000005</v>
      </c>
      <c r="L40" s="181"/>
    </row>
    <row r="41" spans="1:12" x14ac:dyDescent="0.25">
      <c r="A41" s="24" t="s">
        <v>989</v>
      </c>
      <c r="B41" s="111" t="s">
        <v>2234</v>
      </c>
      <c r="C41" s="30"/>
      <c r="D41" s="113"/>
      <c r="E41" s="103">
        <v>429.8</v>
      </c>
      <c r="F41" s="53">
        <f t="shared" si="30"/>
        <v>214.9</v>
      </c>
      <c r="G41" s="41">
        <f t="shared" si="31"/>
        <v>644.70000000000005</v>
      </c>
      <c r="H41" s="53">
        <f t="shared" si="32"/>
        <v>483.52500000000003</v>
      </c>
      <c r="I41" s="54">
        <f t="shared" si="33"/>
        <v>214.9</v>
      </c>
      <c r="J41" s="55">
        <f t="shared" si="34"/>
        <v>859.6</v>
      </c>
      <c r="K41" s="56">
        <f t="shared" si="35"/>
        <v>644.70000000000005</v>
      </c>
      <c r="L41" s="181"/>
    </row>
    <row r="42" spans="1:12" x14ac:dyDescent="0.25">
      <c r="A42" s="24" t="s">
        <v>990</v>
      </c>
      <c r="B42" s="111" t="s">
        <v>1864</v>
      </c>
      <c r="C42" s="30"/>
      <c r="D42" s="112">
        <v>8.25</v>
      </c>
      <c r="E42" s="103">
        <v>516.86</v>
      </c>
      <c r="F42" s="53">
        <f t="shared" si="30"/>
        <v>258.43</v>
      </c>
      <c r="G42" s="41">
        <f t="shared" si="31"/>
        <v>775.29</v>
      </c>
      <c r="H42" s="53">
        <f t="shared" si="32"/>
        <v>581.46749999999997</v>
      </c>
      <c r="I42" s="54">
        <f t="shared" si="33"/>
        <v>258.43</v>
      </c>
      <c r="J42" s="55">
        <f t="shared" si="34"/>
        <v>1033.72</v>
      </c>
      <c r="K42" s="56">
        <f t="shared" si="35"/>
        <v>775.29</v>
      </c>
      <c r="L42" s="181"/>
    </row>
    <row r="43" spans="1:12" x14ac:dyDescent="0.25">
      <c r="A43" s="24" t="s">
        <v>991</v>
      </c>
      <c r="B43" s="23" t="s">
        <v>1750</v>
      </c>
      <c r="C43" s="30"/>
      <c r="D43" s="112">
        <v>8.19</v>
      </c>
      <c r="E43" s="103">
        <v>513.5</v>
      </c>
      <c r="F43" s="53">
        <f t="shared" si="30"/>
        <v>256.75</v>
      </c>
      <c r="G43" s="41">
        <f t="shared" si="31"/>
        <v>770.25</v>
      </c>
      <c r="H43" s="53">
        <f t="shared" si="32"/>
        <v>577.6875</v>
      </c>
      <c r="I43" s="54">
        <f t="shared" si="33"/>
        <v>256.75</v>
      </c>
      <c r="J43" s="55">
        <f t="shared" si="34"/>
        <v>1027</v>
      </c>
      <c r="K43" s="56">
        <f t="shared" si="35"/>
        <v>770.25</v>
      </c>
      <c r="L43" s="181"/>
    </row>
    <row r="44" spans="1:12" x14ac:dyDescent="0.25">
      <c r="A44" s="24"/>
      <c r="B44" s="111"/>
      <c r="C44" s="30"/>
      <c r="D44" s="112"/>
      <c r="E44" s="23"/>
      <c r="F44" s="103"/>
      <c r="G44" s="42"/>
      <c r="H44" s="104"/>
      <c r="I44" s="3"/>
      <c r="J44" s="25"/>
      <c r="K44" s="110"/>
      <c r="L44" s="181"/>
    </row>
    <row r="45" spans="1:12" x14ac:dyDescent="0.25">
      <c r="A45" s="24" t="s">
        <v>992</v>
      </c>
      <c r="B45" s="111" t="s">
        <v>1043</v>
      </c>
      <c r="C45" s="65"/>
      <c r="D45" s="115">
        <v>17.22</v>
      </c>
      <c r="E45" s="116">
        <v>411.2</v>
      </c>
      <c r="F45" s="53">
        <f t="shared" ref="F45:F50" si="36">E45*50%</f>
        <v>205.6</v>
      </c>
      <c r="G45" s="41">
        <f t="shared" ref="G45:G50" si="37">E45+F45</f>
        <v>616.79999999999995</v>
      </c>
      <c r="H45" s="53">
        <f t="shared" ref="H45:H50" si="38">G45-(G45*25%)</f>
        <v>462.59999999999997</v>
      </c>
      <c r="I45" s="54">
        <f t="shared" ref="I45:I50" si="39">E45*50%</f>
        <v>205.6</v>
      </c>
      <c r="J45" s="55">
        <f t="shared" ref="J45:J50" si="40">E45+(I45*2)</f>
        <v>822.4</v>
      </c>
      <c r="K45" s="56">
        <f t="shared" ref="K45:K50" si="41">J45-(J45*25%)</f>
        <v>616.79999999999995</v>
      </c>
      <c r="L45" s="181"/>
    </row>
    <row r="46" spans="1:12" x14ac:dyDescent="0.25">
      <c r="A46" s="24" t="s">
        <v>993</v>
      </c>
      <c r="B46" s="111" t="s">
        <v>1642</v>
      </c>
      <c r="C46" s="65"/>
      <c r="D46" s="117"/>
      <c r="E46" s="116">
        <v>411.20333333000002</v>
      </c>
      <c r="F46" s="53">
        <f t="shared" si="36"/>
        <v>205.60166666500001</v>
      </c>
      <c r="G46" s="41">
        <f t="shared" si="37"/>
        <v>616.804999995</v>
      </c>
      <c r="H46" s="53">
        <f t="shared" si="38"/>
        <v>462.60374999625003</v>
      </c>
      <c r="I46" s="54">
        <f t="shared" si="39"/>
        <v>205.60166666500001</v>
      </c>
      <c r="J46" s="55">
        <f t="shared" si="40"/>
        <v>822.40666666000004</v>
      </c>
      <c r="K46" s="56">
        <f t="shared" si="41"/>
        <v>616.804999995</v>
      </c>
      <c r="L46" s="181"/>
    </row>
    <row r="47" spans="1:12" x14ac:dyDescent="0.25">
      <c r="A47" s="24" t="s">
        <v>994</v>
      </c>
      <c r="B47" s="111" t="s">
        <v>1642</v>
      </c>
      <c r="C47" s="65"/>
      <c r="D47" s="117"/>
      <c r="E47" s="116">
        <v>411.20333333000002</v>
      </c>
      <c r="F47" s="53">
        <f t="shared" si="36"/>
        <v>205.60166666500001</v>
      </c>
      <c r="G47" s="41">
        <f t="shared" si="37"/>
        <v>616.804999995</v>
      </c>
      <c r="H47" s="53">
        <f t="shared" si="38"/>
        <v>462.60374999625003</v>
      </c>
      <c r="I47" s="54">
        <f t="shared" si="39"/>
        <v>205.60166666500001</v>
      </c>
      <c r="J47" s="55">
        <f t="shared" si="40"/>
        <v>822.40666666000004</v>
      </c>
      <c r="K47" s="56">
        <f t="shared" si="41"/>
        <v>616.804999995</v>
      </c>
      <c r="L47" s="181"/>
    </row>
    <row r="48" spans="1:12" x14ac:dyDescent="0.25">
      <c r="A48" s="24" t="s">
        <v>995</v>
      </c>
      <c r="B48" s="111" t="s">
        <v>1044</v>
      </c>
      <c r="C48" s="30"/>
      <c r="D48" s="112">
        <v>17.22</v>
      </c>
      <c r="E48" s="103">
        <v>410.86666000000002</v>
      </c>
      <c r="F48" s="53">
        <f t="shared" si="36"/>
        <v>205.43333000000001</v>
      </c>
      <c r="G48" s="41">
        <f t="shared" si="37"/>
        <v>616.29998999999998</v>
      </c>
      <c r="H48" s="53">
        <f t="shared" si="38"/>
        <v>462.22499249999998</v>
      </c>
      <c r="I48" s="54">
        <f t="shared" si="39"/>
        <v>205.43333000000001</v>
      </c>
      <c r="J48" s="55">
        <f t="shared" si="40"/>
        <v>821.73332000000005</v>
      </c>
      <c r="K48" s="56">
        <f t="shared" si="41"/>
        <v>616.29998999999998</v>
      </c>
      <c r="L48" s="181"/>
    </row>
    <row r="49" spans="1:12" x14ac:dyDescent="0.25">
      <c r="A49" s="24" t="s">
        <v>996</v>
      </c>
      <c r="B49" s="111" t="s">
        <v>1643</v>
      </c>
      <c r="C49" s="30"/>
      <c r="D49" s="113"/>
      <c r="E49" s="103">
        <v>410.86666000000002</v>
      </c>
      <c r="F49" s="53">
        <f t="shared" si="36"/>
        <v>205.43333000000001</v>
      </c>
      <c r="G49" s="41">
        <f t="shared" si="37"/>
        <v>616.29998999999998</v>
      </c>
      <c r="H49" s="53">
        <f t="shared" si="38"/>
        <v>462.22499249999998</v>
      </c>
      <c r="I49" s="54">
        <f t="shared" si="39"/>
        <v>205.43333000000001</v>
      </c>
      <c r="J49" s="55">
        <f t="shared" si="40"/>
        <v>821.73332000000005</v>
      </c>
      <c r="K49" s="56">
        <f t="shared" si="41"/>
        <v>616.29998999999998</v>
      </c>
      <c r="L49" s="181"/>
    </row>
    <row r="50" spans="1:12" x14ac:dyDescent="0.25">
      <c r="A50" s="24" t="s">
        <v>997</v>
      </c>
      <c r="B50" s="111" t="s">
        <v>1643</v>
      </c>
      <c r="C50" s="30"/>
      <c r="D50" s="113"/>
      <c r="E50" s="103">
        <v>410.87</v>
      </c>
      <c r="F50" s="53">
        <f t="shared" si="36"/>
        <v>205.435</v>
      </c>
      <c r="G50" s="41">
        <f t="shared" si="37"/>
        <v>616.30500000000006</v>
      </c>
      <c r="H50" s="53">
        <f t="shared" si="38"/>
        <v>462.22875000000005</v>
      </c>
      <c r="I50" s="54">
        <f t="shared" si="39"/>
        <v>205.435</v>
      </c>
      <c r="J50" s="55">
        <f t="shared" si="40"/>
        <v>821.74</v>
      </c>
      <c r="K50" s="56">
        <f t="shared" si="41"/>
        <v>616.30500000000006</v>
      </c>
      <c r="L50" s="181"/>
    </row>
    <row r="51" spans="1:12" x14ac:dyDescent="0.25">
      <c r="A51" s="30"/>
      <c r="B51" s="111"/>
      <c r="C51" s="30"/>
      <c r="D51" s="118"/>
      <c r="E51" s="30"/>
      <c r="F51" s="30"/>
      <c r="G51" s="42"/>
      <c r="H51" s="104"/>
      <c r="I51" s="3"/>
      <c r="J51" s="25"/>
      <c r="K51" s="110"/>
      <c r="L51" s="181"/>
    </row>
    <row r="52" spans="1:12" x14ac:dyDescent="0.25">
      <c r="A52" s="24" t="s">
        <v>998</v>
      </c>
      <c r="B52" s="111" t="s">
        <v>1045</v>
      </c>
      <c r="C52" s="30"/>
      <c r="D52" s="112">
        <v>17.43</v>
      </c>
      <c r="E52" s="103">
        <v>414.7</v>
      </c>
      <c r="F52" s="53">
        <f t="shared" ref="F52:F55" si="42">E52*50%</f>
        <v>207.35</v>
      </c>
      <c r="G52" s="41">
        <f t="shared" ref="G52:G55" si="43">E52+F52</f>
        <v>622.04999999999995</v>
      </c>
      <c r="H52" s="53">
        <f t="shared" ref="H52:H55" si="44">G52-(G52*25%)</f>
        <v>466.53749999999997</v>
      </c>
      <c r="I52" s="54">
        <f t="shared" ref="I52:I55" si="45">E52*50%</f>
        <v>207.35</v>
      </c>
      <c r="J52" s="55">
        <f t="shared" ref="J52:J55" si="46">E52+(I52*2)</f>
        <v>829.4</v>
      </c>
      <c r="K52" s="56">
        <f t="shared" ref="K52:K55" si="47">J52-(J52*25%)</f>
        <v>622.04999999999995</v>
      </c>
      <c r="L52" s="181"/>
    </row>
    <row r="53" spans="1:12" x14ac:dyDescent="0.25">
      <c r="A53" s="24" t="s">
        <v>999</v>
      </c>
      <c r="B53" s="111" t="s">
        <v>1644</v>
      </c>
      <c r="C53" s="30"/>
      <c r="D53" s="113"/>
      <c r="E53" s="103">
        <v>414.7</v>
      </c>
      <c r="F53" s="53">
        <f t="shared" si="42"/>
        <v>207.35</v>
      </c>
      <c r="G53" s="41">
        <f t="shared" si="43"/>
        <v>622.04999999999995</v>
      </c>
      <c r="H53" s="53">
        <f t="shared" si="44"/>
        <v>466.53749999999997</v>
      </c>
      <c r="I53" s="54">
        <f t="shared" si="45"/>
        <v>207.35</v>
      </c>
      <c r="J53" s="55">
        <f t="shared" si="46"/>
        <v>829.4</v>
      </c>
      <c r="K53" s="56">
        <f t="shared" si="47"/>
        <v>622.04999999999995</v>
      </c>
      <c r="L53" s="181"/>
    </row>
    <row r="54" spans="1:12" x14ac:dyDescent="0.25">
      <c r="A54" s="24" t="s">
        <v>1000</v>
      </c>
      <c r="B54" s="111" t="s">
        <v>1644</v>
      </c>
      <c r="C54" s="30"/>
      <c r="D54" s="113"/>
      <c r="E54" s="103">
        <v>414.7</v>
      </c>
      <c r="F54" s="53">
        <f t="shared" si="42"/>
        <v>207.35</v>
      </c>
      <c r="G54" s="41">
        <f t="shared" si="43"/>
        <v>622.04999999999995</v>
      </c>
      <c r="H54" s="53">
        <f t="shared" si="44"/>
        <v>466.53749999999997</v>
      </c>
      <c r="I54" s="54">
        <f t="shared" si="45"/>
        <v>207.35</v>
      </c>
      <c r="J54" s="55">
        <f t="shared" si="46"/>
        <v>829.4</v>
      </c>
      <c r="K54" s="56">
        <f t="shared" si="47"/>
        <v>622.04999999999995</v>
      </c>
      <c r="L54" s="181"/>
    </row>
    <row r="55" spans="1:12" x14ac:dyDescent="0.25">
      <c r="A55" s="24" t="s">
        <v>1001</v>
      </c>
      <c r="B55" s="111" t="s">
        <v>2222</v>
      </c>
      <c r="C55" s="30"/>
      <c r="D55" s="112">
        <v>5.81</v>
      </c>
      <c r="E55" s="103">
        <v>414.7</v>
      </c>
      <c r="F55" s="53">
        <f t="shared" si="42"/>
        <v>207.35</v>
      </c>
      <c r="G55" s="41">
        <f t="shared" si="43"/>
        <v>622.04999999999995</v>
      </c>
      <c r="H55" s="53">
        <f t="shared" si="44"/>
        <v>466.53749999999997</v>
      </c>
      <c r="I55" s="54">
        <f t="shared" si="45"/>
        <v>207.35</v>
      </c>
      <c r="J55" s="55">
        <f t="shared" si="46"/>
        <v>829.4</v>
      </c>
      <c r="K55" s="56">
        <f t="shared" si="47"/>
        <v>622.04999999999995</v>
      </c>
      <c r="L55" s="181"/>
    </row>
    <row r="56" spans="1:12" x14ac:dyDescent="0.25">
      <c r="A56" s="24"/>
      <c r="B56" s="111"/>
      <c r="C56" s="30"/>
      <c r="D56" s="112"/>
      <c r="E56" s="23"/>
      <c r="F56" s="103"/>
      <c r="G56" s="42"/>
      <c r="H56" s="104"/>
      <c r="I56" s="3"/>
      <c r="J56" s="25"/>
      <c r="K56" s="110"/>
      <c r="L56" s="181"/>
    </row>
    <row r="57" spans="1:12" x14ac:dyDescent="0.25">
      <c r="A57" s="24" t="s">
        <v>1002</v>
      </c>
      <c r="B57" s="111" t="s">
        <v>1486</v>
      </c>
      <c r="C57" s="30"/>
      <c r="D57" s="112">
        <v>12.5</v>
      </c>
      <c r="E57" s="103">
        <v>447.45499999999998</v>
      </c>
      <c r="F57" s="53">
        <f t="shared" ref="F57:F60" si="48">E57*50%</f>
        <v>223.72749999999999</v>
      </c>
      <c r="G57" s="41">
        <f t="shared" ref="G57:G60" si="49">E57+F57</f>
        <v>671.1825</v>
      </c>
      <c r="H57" s="53">
        <f t="shared" ref="H57:H60" si="50">G57-(G57*25%)</f>
        <v>503.38687500000003</v>
      </c>
      <c r="I57" s="54">
        <f t="shared" ref="I57:I60" si="51">E57*50%</f>
        <v>223.72749999999999</v>
      </c>
      <c r="J57" s="55">
        <f t="shared" ref="J57:J60" si="52">E57+(I57*2)</f>
        <v>894.91</v>
      </c>
      <c r="K57" s="56">
        <f t="shared" ref="K57:K60" si="53">J57-(J57*25%)</f>
        <v>671.1825</v>
      </c>
      <c r="L57" s="181"/>
    </row>
    <row r="58" spans="1:12" x14ac:dyDescent="0.25">
      <c r="A58" s="24" t="s">
        <v>1003</v>
      </c>
      <c r="B58" s="111" t="s">
        <v>1486</v>
      </c>
      <c r="C58" s="30"/>
      <c r="D58" s="113"/>
      <c r="E58" s="103">
        <v>447.45499999999998</v>
      </c>
      <c r="F58" s="53">
        <f t="shared" si="48"/>
        <v>223.72749999999999</v>
      </c>
      <c r="G58" s="41">
        <f t="shared" si="49"/>
        <v>671.1825</v>
      </c>
      <c r="H58" s="53">
        <f t="shared" si="50"/>
        <v>503.38687500000003</v>
      </c>
      <c r="I58" s="54">
        <f t="shared" si="51"/>
        <v>223.72749999999999</v>
      </c>
      <c r="J58" s="55">
        <f t="shared" si="52"/>
        <v>894.91</v>
      </c>
      <c r="K58" s="56">
        <f t="shared" si="53"/>
        <v>671.1825</v>
      </c>
      <c r="L58" s="181"/>
    </row>
    <row r="59" spans="1:12" x14ac:dyDescent="0.25">
      <c r="A59" s="24" t="s">
        <v>1004</v>
      </c>
      <c r="B59" s="111" t="s">
        <v>1487</v>
      </c>
      <c r="C59" s="30"/>
      <c r="D59" s="112">
        <v>6.25</v>
      </c>
      <c r="E59" s="103">
        <v>447.375</v>
      </c>
      <c r="F59" s="53">
        <f t="shared" si="48"/>
        <v>223.6875</v>
      </c>
      <c r="G59" s="41">
        <f t="shared" si="49"/>
        <v>671.0625</v>
      </c>
      <c r="H59" s="53">
        <f t="shared" si="50"/>
        <v>503.296875</v>
      </c>
      <c r="I59" s="54">
        <f t="shared" si="51"/>
        <v>223.6875</v>
      </c>
      <c r="J59" s="55">
        <f t="shared" si="52"/>
        <v>894.75</v>
      </c>
      <c r="K59" s="56">
        <f t="shared" si="53"/>
        <v>671.0625</v>
      </c>
      <c r="L59" s="181"/>
    </row>
    <row r="60" spans="1:12" x14ac:dyDescent="0.25">
      <c r="A60" s="24" t="s">
        <v>1005</v>
      </c>
      <c r="B60" s="111" t="s">
        <v>1487</v>
      </c>
      <c r="C60" s="30"/>
      <c r="D60" s="113"/>
      <c r="E60" s="103">
        <v>447.375</v>
      </c>
      <c r="F60" s="53">
        <f t="shared" si="48"/>
        <v>223.6875</v>
      </c>
      <c r="G60" s="41">
        <f t="shared" si="49"/>
        <v>671.0625</v>
      </c>
      <c r="H60" s="53">
        <f t="shared" si="50"/>
        <v>503.296875</v>
      </c>
      <c r="I60" s="54">
        <f t="shared" si="51"/>
        <v>223.6875</v>
      </c>
      <c r="J60" s="55">
        <f t="shared" si="52"/>
        <v>894.75</v>
      </c>
      <c r="K60" s="56">
        <f t="shared" si="53"/>
        <v>671.0625</v>
      </c>
      <c r="L60" s="181"/>
    </row>
    <row r="61" spans="1:12" x14ac:dyDescent="0.25">
      <c r="A61" s="24"/>
      <c r="B61" s="111"/>
      <c r="C61" s="30"/>
      <c r="D61" s="112"/>
      <c r="E61" s="23"/>
      <c r="F61" s="103"/>
      <c r="G61" s="42"/>
      <c r="H61" s="104"/>
      <c r="I61" s="3"/>
      <c r="J61" s="25"/>
      <c r="K61" s="110"/>
      <c r="L61" s="181"/>
    </row>
    <row r="62" spans="1:12" x14ac:dyDescent="0.25">
      <c r="A62" s="24" t="s">
        <v>1006</v>
      </c>
      <c r="B62" s="111" t="s">
        <v>1948</v>
      </c>
      <c r="C62" s="30"/>
      <c r="D62" s="112">
        <v>11.44</v>
      </c>
      <c r="E62" s="103">
        <v>818.68</v>
      </c>
      <c r="F62" s="53">
        <f t="shared" ref="F62:F65" si="54">E62*50%</f>
        <v>409.34</v>
      </c>
      <c r="G62" s="41">
        <f t="shared" ref="G62:G65" si="55">E62+F62</f>
        <v>1228.02</v>
      </c>
      <c r="H62" s="53">
        <f t="shared" ref="H62:H65" si="56">G62-(G62*25%)</f>
        <v>921.01499999999999</v>
      </c>
      <c r="I62" s="54">
        <f t="shared" ref="I62:I65" si="57">E62*50%</f>
        <v>409.34</v>
      </c>
      <c r="J62" s="55">
        <f t="shared" ref="J62:J65" si="58">E62+(I62*2)</f>
        <v>1637.36</v>
      </c>
      <c r="K62" s="56">
        <f t="shared" ref="K62:K65" si="59">J62-(J62*25%)</f>
        <v>1228.02</v>
      </c>
      <c r="L62" s="181"/>
    </row>
    <row r="63" spans="1:12" x14ac:dyDescent="0.25">
      <c r="A63" s="24" t="s">
        <v>1007</v>
      </c>
      <c r="B63" s="111"/>
      <c r="C63" s="30"/>
      <c r="D63" s="112">
        <v>7.06</v>
      </c>
      <c r="E63" s="103"/>
      <c r="F63" s="53">
        <f t="shared" si="54"/>
        <v>0</v>
      </c>
      <c r="G63" s="41">
        <f t="shared" si="55"/>
        <v>0</v>
      </c>
      <c r="H63" s="53">
        <f t="shared" si="56"/>
        <v>0</v>
      </c>
      <c r="I63" s="54">
        <f t="shared" si="57"/>
        <v>0</v>
      </c>
      <c r="J63" s="55">
        <f t="shared" si="58"/>
        <v>0</v>
      </c>
      <c r="K63" s="56">
        <f t="shared" si="59"/>
        <v>0</v>
      </c>
      <c r="L63" s="181"/>
    </row>
    <row r="64" spans="1:12" x14ac:dyDescent="0.25">
      <c r="A64" s="24" t="s">
        <v>1008</v>
      </c>
      <c r="B64" s="111" t="s">
        <v>1326</v>
      </c>
      <c r="C64" s="30"/>
      <c r="D64" s="112">
        <v>12.06</v>
      </c>
      <c r="E64" s="103">
        <v>863.44</v>
      </c>
      <c r="F64" s="53">
        <f t="shared" si="54"/>
        <v>431.72</v>
      </c>
      <c r="G64" s="41">
        <f t="shared" si="55"/>
        <v>1295.1600000000001</v>
      </c>
      <c r="H64" s="53">
        <f t="shared" si="56"/>
        <v>971.37000000000012</v>
      </c>
      <c r="I64" s="54">
        <f t="shared" si="57"/>
        <v>431.72</v>
      </c>
      <c r="J64" s="55">
        <f t="shared" si="58"/>
        <v>1726.88</v>
      </c>
      <c r="K64" s="56">
        <f t="shared" si="59"/>
        <v>1295.1600000000001</v>
      </c>
      <c r="L64" s="181"/>
    </row>
    <row r="65" spans="1:12" x14ac:dyDescent="0.25">
      <c r="A65" s="24" t="s">
        <v>1009</v>
      </c>
      <c r="B65" s="111" t="s">
        <v>1948</v>
      </c>
      <c r="C65" s="30"/>
      <c r="D65" s="112">
        <v>8.25</v>
      </c>
      <c r="E65" s="103">
        <v>590.54999999999995</v>
      </c>
      <c r="F65" s="53">
        <f t="shared" si="54"/>
        <v>295.27499999999998</v>
      </c>
      <c r="G65" s="41">
        <f t="shared" si="55"/>
        <v>885.82499999999993</v>
      </c>
      <c r="H65" s="53">
        <f t="shared" si="56"/>
        <v>664.36874999999998</v>
      </c>
      <c r="I65" s="54">
        <f t="shared" si="57"/>
        <v>295.27499999999998</v>
      </c>
      <c r="J65" s="55">
        <f t="shared" si="58"/>
        <v>1181.0999999999999</v>
      </c>
      <c r="K65" s="56">
        <f t="shared" si="59"/>
        <v>885.82499999999993</v>
      </c>
      <c r="L65" s="181"/>
    </row>
    <row r="66" spans="1:12" x14ac:dyDescent="0.25">
      <c r="A66" s="24"/>
      <c r="B66" s="111"/>
      <c r="C66" s="30"/>
      <c r="D66" s="112"/>
      <c r="E66" s="23"/>
      <c r="F66" s="103"/>
      <c r="G66" s="42"/>
      <c r="H66" s="104"/>
      <c r="I66" s="3"/>
      <c r="J66" s="25"/>
      <c r="K66" s="110"/>
      <c r="L66" s="181"/>
    </row>
    <row r="67" spans="1:12" x14ac:dyDescent="0.25">
      <c r="A67" s="24" t="s">
        <v>1010</v>
      </c>
      <c r="B67" s="111" t="s">
        <v>1645</v>
      </c>
      <c r="C67" s="30"/>
      <c r="D67" s="112">
        <v>23.07</v>
      </c>
      <c r="E67" s="103">
        <v>550.45333000000005</v>
      </c>
      <c r="F67" s="53">
        <f t="shared" ref="F67:F74" si="60">E67*50%</f>
        <v>275.22666500000003</v>
      </c>
      <c r="G67" s="41">
        <f t="shared" ref="G67:G74" si="61">E67+F67</f>
        <v>825.67999500000008</v>
      </c>
      <c r="H67" s="53">
        <f t="shared" ref="H67:H74" si="62">G67-(G67*25%)</f>
        <v>619.25999625000009</v>
      </c>
      <c r="I67" s="54">
        <f t="shared" ref="I67:I74" si="63">E67*50%</f>
        <v>275.22666500000003</v>
      </c>
      <c r="J67" s="55">
        <f t="shared" ref="J67:J74" si="64">E67+(I67*2)</f>
        <v>1100.9066600000001</v>
      </c>
      <c r="K67" s="56">
        <f t="shared" ref="K67:K74" si="65">J67-(J67*25%)</f>
        <v>825.67999500000008</v>
      </c>
      <c r="L67" s="181"/>
    </row>
    <row r="68" spans="1:12" x14ac:dyDescent="0.25">
      <c r="A68" s="24" t="s">
        <v>1011</v>
      </c>
      <c r="B68" s="111" t="s">
        <v>1645</v>
      </c>
      <c r="C68" s="30"/>
      <c r="D68" s="113"/>
      <c r="E68" s="103">
        <v>550.45333000000005</v>
      </c>
      <c r="F68" s="53">
        <f t="shared" si="60"/>
        <v>275.22666500000003</v>
      </c>
      <c r="G68" s="41">
        <f t="shared" si="61"/>
        <v>825.67999500000008</v>
      </c>
      <c r="H68" s="53">
        <f t="shared" si="62"/>
        <v>619.25999625000009</v>
      </c>
      <c r="I68" s="54">
        <f t="shared" si="63"/>
        <v>275.22666500000003</v>
      </c>
      <c r="J68" s="55">
        <f t="shared" si="64"/>
        <v>1100.9066600000001</v>
      </c>
      <c r="K68" s="56">
        <f t="shared" si="65"/>
        <v>825.67999500000008</v>
      </c>
      <c r="L68" s="181"/>
    </row>
    <row r="69" spans="1:12" x14ac:dyDescent="0.25">
      <c r="A69" s="24" t="s">
        <v>1012</v>
      </c>
      <c r="B69" s="111" t="s">
        <v>1645</v>
      </c>
      <c r="C69" s="30"/>
      <c r="D69" s="113"/>
      <c r="E69" s="103">
        <v>550.45333000000005</v>
      </c>
      <c r="F69" s="53">
        <f t="shared" si="60"/>
        <v>275.22666500000003</v>
      </c>
      <c r="G69" s="41">
        <f t="shared" si="61"/>
        <v>825.67999500000008</v>
      </c>
      <c r="H69" s="53">
        <f t="shared" si="62"/>
        <v>619.25999625000009</v>
      </c>
      <c r="I69" s="54">
        <f t="shared" si="63"/>
        <v>275.22666500000003</v>
      </c>
      <c r="J69" s="55">
        <f t="shared" si="64"/>
        <v>1100.9066600000001</v>
      </c>
      <c r="K69" s="56">
        <f t="shared" si="65"/>
        <v>825.67999500000008</v>
      </c>
      <c r="L69" s="181"/>
    </row>
    <row r="70" spans="1:12" x14ac:dyDescent="0.25">
      <c r="A70" s="24" t="s">
        <v>1013</v>
      </c>
      <c r="B70" s="111" t="s">
        <v>1840</v>
      </c>
      <c r="C70" s="30"/>
      <c r="D70" s="112">
        <v>5.0119999999999996</v>
      </c>
      <c r="E70" s="103">
        <v>358.76</v>
      </c>
      <c r="F70" s="53">
        <f t="shared" si="60"/>
        <v>179.38</v>
      </c>
      <c r="G70" s="41">
        <f t="shared" si="61"/>
        <v>538.14</v>
      </c>
      <c r="H70" s="53">
        <f t="shared" si="62"/>
        <v>403.60500000000002</v>
      </c>
      <c r="I70" s="54">
        <f t="shared" si="63"/>
        <v>179.38</v>
      </c>
      <c r="J70" s="55">
        <f t="shared" si="64"/>
        <v>717.52</v>
      </c>
      <c r="K70" s="56">
        <f t="shared" si="65"/>
        <v>538.14</v>
      </c>
      <c r="L70" s="181"/>
    </row>
    <row r="71" spans="1:12" x14ac:dyDescent="0.25">
      <c r="A71" s="24" t="s">
        <v>1014</v>
      </c>
      <c r="B71" s="111" t="s">
        <v>1840</v>
      </c>
      <c r="C71" s="30"/>
      <c r="D71" s="112">
        <v>5.0119999999999996</v>
      </c>
      <c r="E71" s="103">
        <v>358.76</v>
      </c>
      <c r="F71" s="53">
        <f t="shared" si="60"/>
        <v>179.38</v>
      </c>
      <c r="G71" s="41">
        <f t="shared" si="61"/>
        <v>538.14</v>
      </c>
      <c r="H71" s="53">
        <f t="shared" si="62"/>
        <v>403.60500000000002</v>
      </c>
      <c r="I71" s="54">
        <f t="shared" si="63"/>
        <v>179.38</v>
      </c>
      <c r="J71" s="55">
        <f t="shared" si="64"/>
        <v>717.52</v>
      </c>
      <c r="K71" s="56">
        <f t="shared" si="65"/>
        <v>538.14</v>
      </c>
      <c r="L71" s="181"/>
    </row>
    <row r="72" spans="1:12" x14ac:dyDescent="0.25">
      <c r="A72" s="24" t="s">
        <v>1015</v>
      </c>
      <c r="B72" s="111" t="s">
        <v>1645</v>
      </c>
      <c r="C72" s="30"/>
      <c r="D72" s="112">
        <v>7.69</v>
      </c>
      <c r="E72" s="103">
        <v>549.12</v>
      </c>
      <c r="F72" s="53">
        <f t="shared" si="60"/>
        <v>274.56</v>
      </c>
      <c r="G72" s="41">
        <f t="shared" si="61"/>
        <v>823.68000000000006</v>
      </c>
      <c r="H72" s="53">
        <f t="shared" si="62"/>
        <v>617.76</v>
      </c>
      <c r="I72" s="54">
        <f t="shared" si="63"/>
        <v>274.56</v>
      </c>
      <c r="J72" s="55">
        <f t="shared" si="64"/>
        <v>1098.24</v>
      </c>
      <c r="K72" s="56">
        <f t="shared" si="65"/>
        <v>823.68000000000006</v>
      </c>
      <c r="L72" s="181"/>
    </row>
    <row r="73" spans="1:12" x14ac:dyDescent="0.25">
      <c r="A73" s="24" t="s">
        <v>1016</v>
      </c>
      <c r="B73" s="111" t="s">
        <v>1645</v>
      </c>
      <c r="C73" s="30"/>
      <c r="D73" s="113"/>
      <c r="E73" s="103">
        <v>549.12</v>
      </c>
      <c r="F73" s="53">
        <f t="shared" si="60"/>
        <v>274.56</v>
      </c>
      <c r="G73" s="41">
        <f t="shared" si="61"/>
        <v>823.68000000000006</v>
      </c>
      <c r="H73" s="53">
        <f t="shared" si="62"/>
        <v>617.76</v>
      </c>
      <c r="I73" s="54">
        <f t="shared" si="63"/>
        <v>274.56</v>
      </c>
      <c r="J73" s="55">
        <f t="shared" si="64"/>
        <v>1098.24</v>
      </c>
      <c r="K73" s="56">
        <f t="shared" si="65"/>
        <v>823.68000000000006</v>
      </c>
      <c r="L73" s="181"/>
    </row>
    <row r="74" spans="1:12" x14ac:dyDescent="0.25">
      <c r="A74" s="24" t="s">
        <v>1017</v>
      </c>
      <c r="B74" s="111" t="s">
        <v>811</v>
      </c>
      <c r="C74" s="30"/>
      <c r="D74" s="112">
        <v>7.69</v>
      </c>
      <c r="E74" s="103">
        <v>570.75</v>
      </c>
      <c r="F74" s="53">
        <f t="shared" si="60"/>
        <v>285.375</v>
      </c>
      <c r="G74" s="41">
        <f t="shared" si="61"/>
        <v>856.125</v>
      </c>
      <c r="H74" s="53">
        <f t="shared" si="62"/>
        <v>642.09375</v>
      </c>
      <c r="I74" s="54">
        <f t="shared" si="63"/>
        <v>285.375</v>
      </c>
      <c r="J74" s="55">
        <f t="shared" si="64"/>
        <v>1141.5</v>
      </c>
      <c r="K74" s="56">
        <f t="shared" si="65"/>
        <v>856.125</v>
      </c>
      <c r="L74" s="181"/>
    </row>
    <row r="75" spans="1:12" x14ac:dyDescent="0.25">
      <c r="A75" s="24"/>
      <c r="B75" s="111"/>
      <c r="C75" s="30"/>
      <c r="D75" s="112"/>
      <c r="E75" s="103"/>
      <c r="F75" s="103"/>
      <c r="G75" s="42"/>
      <c r="H75" s="104"/>
      <c r="I75" s="3"/>
      <c r="J75" s="25"/>
      <c r="K75" s="110"/>
      <c r="L75" s="181"/>
    </row>
    <row r="76" spans="1:12" x14ac:dyDescent="0.25">
      <c r="A76" s="24" t="s">
        <v>1018</v>
      </c>
      <c r="B76" s="111" t="s">
        <v>2048</v>
      </c>
      <c r="C76" s="30"/>
      <c r="D76" s="112">
        <v>12.36</v>
      </c>
      <c r="E76" s="103">
        <v>442.375</v>
      </c>
      <c r="F76" s="53">
        <f t="shared" ref="F76:F80" si="66">E76*50%</f>
        <v>221.1875</v>
      </c>
      <c r="G76" s="41">
        <f t="shared" ref="G76:G80" si="67">E76+F76</f>
        <v>663.5625</v>
      </c>
      <c r="H76" s="53">
        <f t="shared" ref="H76:H80" si="68">G76-(G76*25%)</f>
        <v>497.671875</v>
      </c>
      <c r="I76" s="54">
        <f t="shared" ref="I76:I80" si="69">E76*50%</f>
        <v>221.1875</v>
      </c>
      <c r="J76" s="55">
        <f t="shared" ref="J76:J80" si="70">E76+(I76*2)</f>
        <v>884.75</v>
      </c>
      <c r="K76" s="56">
        <f t="shared" ref="K76:K80" si="71">J76-(J76*25%)</f>
        <v>663.5625</v>
      </c>
      <c r="L76" s="181"/>
    </row>
    <row r="77" spans="1:12" x14ac:dyDescent="0.25">
      <c r="A77" s="24" t="s">
        <v>1019</v>
      </c>
      <c r="B77" s="111" t="s">
        <v>2048</v>
      </c>
      <c r="C77" s="30"/>
      <c r="D77" s="112"/>
      <c r="E77" s="103">
        <v>442.375</v>
      </c>
      <c r="F77" s="53">
        <f t="shared" si="66"/>
        <v>221.1875</v>
      </c>
      <c r="G77" s="41">
        <f t="shared" si="67"/>
        <v>663.5625</v>
      </c>
      <c r="H77" s="53">
        <f t="shared" si="68"/>
        <v>497.671875</v>
      </c>
      <c r="I77" s="54">
        <f t="shared" si="69"/>
        <v>221.1875</v>
      </c>
      <c r="J77" s="55">
        <f t="shared" si="70"/>
        <v>884.75</v>
      </c>
      <c r="K77" s="56">
        <f t="shared" si="71"/>
        <v>663.5625</v>
      </c>
      <c r="L77" s="181"/>
    </row>
    <row r="78" spans="1:12" x14ac:dyDescent="0.25">
      <c r="A78" s="24" t="s">
        <v>1020</v>
      </c>
      <c r="B78" s="111" t="s">
        <v>1865</v>
      </c>
      <c r="C78" s="30"/>
      <c r="D78" s="112">
        <v>6.18</v>
      </c>
      <c r="E78" s="103">
        <v>442.375</v>
      </c>
      <c r="F78" s="53">
        <f t="shared" si="66"/>
        <v>221.1875</v>
      </c>
      <c r="G78" s="41">
        <f t="shared" si="67"/>
        <v>663.5625</v>
      </c>
      <c r="H78" s="53">
        <f t="shared" si="68"/>
        <v>497.671875</v>
      </c>
      <c r="I78" s="54">
        <f t="shared" si="69"/>
        <v>221.1875</v>
      </c>
      <c r="J78" s="55">
        <f t="shared" si="70"/>
        <v>884.75</v>
      </c>
      <c r="K78" s="56">
        <f t="shared" si="71"/>
        <v>663.5625</v>
      </c>
      <c r="L78" s="181"/>
    </row>
    <row r="79" spans="1:12" x14ac:dyDescent="0.25">
      <c r="A79" s="24" t="s">
        <v>1021</v>
      </c>
      <c r="B79" s="111" t="s">
        <v>1865</v>
      </c>
      <c r="C79" s="30"/>
      <c r="D79" s="112">
        <v>6.18</v>
      </c>
      <c r="E79" s="103">
        <v>442.375</v>
      </c>
      <c r="F79" s="53">
        <f t="shared" si="66"/>
        <v>221.1875</v>
      </c>
      <c r="G79" s="41">
        <f t="shared" si="67"/>
        <v>663.5625</v>
      </c>
      <c r="H79" s="53">
        <f t="shared" si="68"/>
        <v>497.671875</v>
      </c>
      <c r="I79" s="54">
        <f t="shared" si="69"/>
        <v>221.1875</v>
      </c>
      <c r="J79" s="55">
        <f t="shared" si="70"/>
        <v>884.75</v>
      </c>
      <c r="K79" s="56">
        <f t="shared" si="71"/>
        <v>663.5625</v>
      </c>
      <c r="L79" s="181"/>
    </row>
    <row r="80" spans="1:12" x14ac:dyDescent="0.25">
      <c r="A80" s="24" t="s">
        <v>1022</v>
      </c>
      <c r="B80" s="111" t="s">
        <v>2049</v>
      </c>
      <c r="C80" s="30"/>
      <c r="D80" s="112">
        <v>6.7</v>
      </c>
      <c r="E80" s="103">
        <v>574.78</v>
      </c>
      <c r="F80" s="53">
        <f t="shared" si="66"/>
        <v>287.39</v>
      </c>
      <c r="G80" s="41">
        <f t="shared" si="67"/>
        <v>862.17</v>
      </c>
      <c r="H80" s="53">
        <f t="shared" si="68"/>
        <v>646.62749999999994</v>
      </c>
      <c r="I80" s="54">
        <f t="shared" si="69"/>
        <v>287.39</v>
      </c>
      <c r="J80" s="55">
        <f t="shared" si="70"/>
        <v>1149.56</v>
      </c>
      <c r="K80" s="56">
        <f t="shared" si="71"/>
        <v>862.17</v>
      </c>
      <c r="L80" s="181"/>
    </row>
    <row r="81" spans="1:12" x14ac:dyDescent="0.25">
      <c r="A81" s="355" t="s">
        <v>1327</v>
      </c>
      <c r="B81" s="356"/>
      <c r="C81" s="68"/>
      <c r="D81" s="28">
        <f>SUM(D3:D80)</f>
        <v>444.77400000000006</v>
      </c>
      <c r="E81" s="68"/>
      <c r="F81" s="68"/>
      <c r="G81" s="68"/>
      <c r="H81" s="25"/>
      <c r="I81" s="25"/>
      <c r="J81" s="28">
        <f>SUM(J3:J80)</f>
        <v>65268.796593319996</v>
      </c>
      <c r="K81" s="28">
        <f>SUM(K3:K80)</f>
        <v>48951.597444989995</v>
      </c>
      <c r="L81" s="181"/>
    </row>
  </sheetData>
  <mergeCells count="2">
    <mergeCell ref="A1:B1"/>
    <mergeCell ref="A81:B81"/>
  </mergeCells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workbookViewId="0">
      <pane xSplit="2" ySplit="2" topLeftCell="C36" activePane="bottomRight" state="frozen"/>
      <selection pane="topRight" activeCell="C1" sqref="C1"/>
      <selection pane="bottomLeft" activeCell="A4" sqref="A4"/>
      <selection pane="bottomRight" activeCell="B1" sqref="B1"/>
    </sheetView>
  </sheetViews>
  <sheetFormatPr defaultRowHeight="15.75" x14ac:dyDescent="0.25"/>
  <cols>
    <col min="1" max="1" width="9" style="31" customWidth="1"/>
    <col min="2" max="2" width="29.42578125" style="31" customWidth="1"/>
    <col min="3" max="3" width="11" style="31" customWidth="1"/>
    <col min="4" max="4" width="12.140625" style="31" customWidth="1"/>
    <col min="5" max="5" width="12.140625" style="166" customWidth="1"/>
    <col min="6" max="6" width="12.140625" style="31" customWidth="1"/>
    <col min="7" max="7" width="12.140625" style="74" customWidth="1"/>
    <col min="8" max="8" width="12.140625" style="95" customWidth="1"/>
    <col min="9" max="10" width="12.140625" style="96" customWidth="1"/>
    <col min="11" max="11" width="13.28515625" style="97" customWidth="1"/>
    <col min="12" max="12" width="14.140625" customWidth="1"/>
    <col min="13" max="13" width="14" customWidth="1"/>
  </cols>
  <sheetData>
    <row r="1" spans="1:12" x14ac:dyDescent="0.25">
      <c r="B1" s="21" t="s">
        <v>813</v>
      </c>
    </row>
    <row r="2" spans="1:12" s="101" customFormat="1" ht="45" customHeight="1" x14ac:dyDescent="0.25">
      <c r="A2" s="13" t="s">
        <v>1705</v>
      </c>
      <c r="B2" s="73" t="s">
        <v>1847</v>
      </c>
      <c r="C2" s="13" t="s">
        <v>1874</v>
      </c>
      <c r="D2" s="13" t="s">
        <v>1875</v>
      </c>
      <c r="E2" s="193" t="s">
        <v>1876</v>
      </c>
      <c r="F2" s="70" t="s">
        <v>1877</v>
      </c>
      <c r="G2" s="71" t="s">
        <v>1878</v>
      </c>
      <c r="H2" s="15" t="s">
        <v>1895</v>
      </c>
      <c r="I2" s="72" t="s">
        <v>1880</v>
      </c>
      <c r="J2" s="16" t="s">
        <v>1881</v>
      </c>
      <c r="K2" s="16" t="s">
        <v>1612</v>
      </c>
      <c r="L2" s="13" t="s">
        <v>1964</v>
      </c>
    </row>
    <row r="3" spans="1:12" x14ac:dyDescent="0.25">
      <c r="A3" s="24" t="s">
        <v>721</v>
      </c>
      <c r="B3" s="23" t="s">
        <v>1719</v>
      </c>
      <c r="C3" s="43">
        <v>12.64</v>
      </c>
      <c r="D3" s="43">
        <v>6.91</v>
      </c>
      <c r="E3" s="103">
        <v>486.11500000000001</v>
      </c>
      <c r="F3" s="53">
        <f t="shared" ref="F3:F8" si="0">E3*50%</f>
        <v>243.0575</v>
      </c>
      <c r="G3" s="41">
        <f t="shared" ref="G3:G8" si="1">E3+F3</f>
        <v>729.17250000000001</v>
      </c>
      <c r="H3" s="53">
        <f t="shared" ref="H3:H8" si="2">G3-(G3*25%)</f>
        <v>546.87937499999998</v>
      </c>
      <c r="I3" s="54">
        <f t="shared" ref="I3:I8" si="3">E3*50%</f>
        <v>243.0575</v>
      </c>
      <c r="J3" s="55">
        <f t="shared" ref="J3:J8" si="4">E3+(I3*2)</f>
        <v>972.23</v>
      </c>
      <c r="K3" s="56">
        <f t="shared" ref="K3:K8" si="5">J3-(J3*25%)</f>
        <v>729.17250000000001</v>
      </c>
      <c r="L3" s="177"/>
    </row>
    <row r="4" spans="1:12" x14ac:dyDescent="0.25">
      <c r="A4" s="24" t="s">
        <v>722</v>
      </c>
      <c r="B4" s="23" t="s">
        <v>1719</v>
      </c>
      <c r="C4" s="23"/>
      <c r="D4" s="23">
        <v>6.91</v>
      </c>
      <c r="E4" s="103">
        <v>486.11500000000001</v>
      </c>
      <c r="F4" s="53">
        <f t="shared" si="0"/>
        <v>243.0575</v>
      </c>
      <c r="G4" s="41">
        <f t="shared" si="1"/>
        <v>729.17250000000001</v>
      </c>
      <c r="H4" s="53">
        <f t="shared" si="2"/>
        <v>546.87937499999998</v>
      </c>
      <c r="I4" s="54">
        <f t="shared" si="3"/>
        <v>243.0575</v>
      </c>
      <c r="J4" s="55">
        <f t="shared" si="4"/>
        <v>972.23</v>
      </c>
      <c r="K4" s="56">
        <f t="shared" si="5"/>
        <v>729.17250000000001</v>
      </c>
      <c r="L4" s="177"/>
    </row>
    <row r="5" spans="1:12" s="10" customFormat="1" ht="15" customHeight="1" x14ac:dyDescent="0.25">
      <c r="A5" s="119" t="s">
        <v>723</v>
      </c>
      <c r="B5" s="120" t="s">
        <v>1592</v>
      </c>
      <c r="C5" s="121">
        <v>6.44</v>
      </c>
      <c r="D5" s="120">
        <v>6.91</v>
      </c>
      <c r="E5" s="122">
        <v>486.11500000000001</v>
      </c>
      <c r="F5" s="53">
        <f t="shared" si="0"/>
        <v>243.0575</v>
      </c>
      <c r="G5" s="41">
        <f t="shared" si="1"/>
        <v>729.17250000000001</v>
      </c>
      <c r="H5" s="53">
        <f t="shared" si="2"/>
        <v>546.87937499999998</v>
      </c>
      <c r="I5" s="54">
        <f t="shared" si="3"/>
        <v>243.0575</v>
      </c>
      <c r="J5" s="55">
        <f t="shared" si="4"/>
        <v>972.23</v>
      </c>
      <c r="K5" s="56">
        <f t="shared" si="5"/>
        <v>729.17250000000001</v>
      </c>
      <c r="L5" s="182"/>
    </row>
    <row r="6" spans="1:12" x14ac:dyDescent="0.25">
      <c r="A6" s="24" t="s">
        <v>724</v>
      </c>
      <c r="B6" s="23" t="s">
        <v>1372</v>
      </c>
      <c r="C6" s="43">
        <v>6.57</v>
      </c>
      <c r="D6" s="23">
        <v>6.91</v>
      </c>
      <c r="E6" s="103">
        <v>486.11500000000001</v>
      </c>
      <c r="F6" s="53">
        <f t="shared" si="0"/>
        <v>243.0575</v>
      </c>
      <c r="G6" s="41">
        <f t="shared" si="1"/>
        <v>729.17250000000001</v>
      </c>
      <c r="H6" s="53">
        <f t="shared" si="2"/>
        <v>546.87937499999998</v>
      </c>
      <c r="I6" s="54">
        <f t="shared" si="3"/>
        <v>243.0575</v>
      </c>
      <c r="J6" s="55">
        <f t="shared" si="4"/>
        <v>972.23</v>
      </c>
      <c r="K6" s="56">
        <f t="shared" si="5"/>
        <v>729.17250000000001</v>
      </c>
      <c r="L6" s="177"/>
    </row>
    <row r="7" spans="1:12" x14ac:dyDescent="0.25">
      <c r="A7" s="24" t="s">
        <v>725</v>
      </c>
      <c r="B7" s="23" t="s">
        <v>1437</v>
      </c>
      <c r="C7" s="43">
        <v>12.24</v>
      </c>
      <c r="D7" s="43">
        <v>6.91</v>
      </c>
      <c r="E7" s="103">
        <v>539.6</v>
      </c>
      <c r="F7" s="53">
        <f t="shared" si="0"/>
        <v>269.8</v>
      </c>
      <c r="G7" s="41">
        <f t="shared" si="1"/>
        <v>809.40000000000009</v>
      </c>
      <c r="H7" s="53">
        <f t="shared" si="2"/>
        <v>607.05000000000007</v>
      </c>
      <c r="I7" s="54">
        <f t="shared" si="3"/>
        <v>269.8</v>
      </c>
      <c r="J7" s="55">
        <f t="shared" si="4"/>
        <v>1079.2</v>
      </c>
      <c r="K7" s="56">
        <f t="shared" si="5"/>
        <v>809.40000000000009</v>
      </c>
      <c r="L7" s="177"/>
    </row>
    <row r="8" spans="1:12" x14ac:dyDescent="0.25">
      <c r="A8" s="24" t="s">
        <v>726</v>
      </c>
      <c r="B8" s="107" t="s">
        <v>1437</v>
      </c>
      <c r="C8" s="23"/>
      <c r="D8" s="23">
        <v>6.61</v>
      </c>
      <c r="E8" s="103">
        <v>539.6</v>
      </c>
      <c r="F8" s="53">
        <f t="shared" si="0"/>
        <v>269.8</v>
      </c>
      <c r="G8" s="41">
        <f t="shared" si="1"/>
        <v>809.40000000000009</v>
      </c>
      <c r="H8" s="53">
        <f t="shared" si="2"/>
        <v>607.05000000000007</v>
      </c>
      <c r="I8" s="54">
        <f t="shared" si="3"/>
        <v>269.8</v>
      </c>
      <c r="J8" s="55">
        <f t="shared" si="4"/>
        <v>1079.2</v>
      </c>
      <c r="K8" s="56">
        <f t="shared" si="5"/>
        <v>809.40000000000009</v>
      </c>
      <c r="L8" s="177"/>
    </row>
    <row r="9" spans="1:12" x14ac:dyDescent="0.25">
      <c r="A9" s="24"/>
      <c r="B9" s="23"/>
      <c r="C9" s="43"/>
      <c r="D9" s="23"/>
      <c r="E9" s="103"/>
      <c r="F9" s="103"/>
      <c r="G9" s="42"/>
      <c r="H9" s="104"/>
      <c r="I9" s="3"/>
      <c r="J9" s="25"/>
      <c r="K9" s="110"/>
      <c r="L9" s="177"/>
    </row>
    <row r="10" spans="1:12" x14ac:dyDescent="0.25">
      <c r="A10" s="24" t="s">
        <v>729</v>
      </c>
      <c r="B10" s="23" t="s">
        <v>1726</v>
      </c>
      <c r="C10" s="43">
        <v>10.89</v>
      </c>
      <c r="D10" s="23">
        <v>6.91</v>
      </c>
      <c r="E10" s="103">
        <v>539.6</v>
      </c>
      <c r="F10" s="53">
        <f t="shared" ref="F10:F15" si="6">E10*50%</f>
        <v>269.8</v>
      </c>
      <c r="G10" s="41">
        <f t="shared" ref="G10:G15" si="7">E10+F10</f>
        <v>809.40000000000009</v>
      </c>
      <c r="H10" s="53">
        <f t="shared" ref="H10:H15" si="8">G10-(G10*25%)</f>
        <v>607.05000000000007</v>
      </c>
      <c r="I10" s="54">
        <f t="shared" ref="I10:I15" si="9">E10*50%</f>
        <v>269.8</v>
      </c>
      <c r="J10" s="55">
        <f t="shared" ref="J10:J15" si="10">E10+(I10*2)</f>
        <v>1079.2</v>
      </c>
      <c r="K10" s="56">
        <f t="shared" ref="K10:K15" si="11">J10-(J10*25%)</f>
        <v>809.40000000000009</v>
      </c>
      <c r="L10" s="177"/>
    </row>
    <row r="11" spans="1:12" x14ac:dyDescent="0.25">
      <c r="A11" s="24" t="s">
        <v>730</v>
      </c>
      <c r="B11" s="23" t="s">
        <v>1333</v>
      </c>
      <c r="C11" s="43">
        <v>10.34</v>
      </c>
      <c r="D11" s="23">
        <v>6.91</v>
      </c>
      <c r="E11" s="103">
        <v>512.86</v>
      </c>
      <c r="F11" s="53">
        <f t="shared" si="6"/>
        <v>256.43</v>
      </c>
      <c r="G11" s="41">
        <f t="shared" si="7"/>
        <v>769.29</v>
      </c>
      <c r="H11" s="53">
        <f t="shared" si="8"/>
        <v>576.96749999999997</v>
      </c>
      <c r="I11" s="54">
        <f t="shared" si="9"/>
        <v>256.43</v>
      </c>
      <c r="J11" s="55">
        <f t="shared" si="10"/>
        <v>1025.72</v>
      </c>
      <c r="K11" s="56">
        <f t="shared" si="11"/>
        <v>769.29</v>
      </c>
      <c r="L11" s="177"/>
    </row>
    <row r="12" spans="1:12" x14ac:dyDescent="0.25">
      <c r="A12" s="24" t="s">
        <v>731</v>
      </c>
      <c r="B12" s="23" t="s">
        <v>806</v>
      </c>
      <c r="C12" s="43">
        <v>6.3</v>
      </c>
      <c r="D12" s="23">
        <v>6.91</v>
      </c>
      <c r="E12" s="103">
        <v>486.11</v>
      </c>
      <c r="F12" s="53">
        <f t="shared" si="6"/>
        <v>243.05500000000001</v>
      </c>
      <c r="G12" s="41">
        <f t="shared" si="7"/>
        <v>729.16499999999996</v>
      </c>
      <c r="H12" s="53">
        <f t="shared" si="8"/>
        <v>546.87374999999997</v>
      </c>
      <c r="I12" s="54">
        <f t="shared" si="9"/>
        <v>243.05500000000001</v>
      </c>
      <c r="J12" s="55">
        <f t="shared" si="10"/>
        <v>972.22</v>
      </c>
      <c r="K12" s="56">
        <f t="shared" si="11"/>
        <v>729.16499999999996</v>
      </c>
      <c r="L12" s="177"/>
    </row>
    <row r="13" spans="1:12" x14ac:dyDescent="0.25">
      <c r="A13" s="24" t="s">
        <v>732</v>
      </c>
      <c r="B13" s="23" t="s">
        <v>807</v>
      </c>
      <c r="C13" s="43">
        <v>6.96</v>
      </c>
      <c r="D13" s="23">
        <v>6.91</v>
      </c>
      <c r="E13" s="103">
        <v>486.12</v>
      </c>
      <c r="F13" s="53">
        <f t="shared" si="6"/>
        <v>243.06</v>
      </c>
      <c r="G13" s="41">
        <f t="shared" si="7"/>
        <v>729.18000000000006</v>
      </c>
      <c r="H13" s="53">
        <f t="shared" si="8"/>
        <v>546.88499999999999</v>
      </c>
      <c r="I13" s="54">
        <f t="shared" si="9"/>
        <v>243.06</v>
      </c>
      <c r="J13" s="55">
        <f t="shared" si="10"/>
        <v>972.24</v>
      </c>
      <c r="K13" s="56">
        <f t="shared" si="11"/>
        <v>729.18000000000006</v>
      </c>
      <c r="L13" s="177"/>
    </row>
    <row r="14" spans="1:12" x14ac:dyDescent="0.25">
      <c r="A14" s="24" t="s">
        <v>733</v>
      </c>
      <c r="B14" s="23" t="s">
        <v>808</v>
      </c>
      <c r="C14" s="43">
        <v>12.58</v>
      </c>
      <c r="D14" s="43">
        <v>6.91</v>
      </c>
      <c r="E14" s="103">
        <v>512.86</v>
      </c>
      <c r="F14" s="53">
        <f t="shared" si="6"/>
        <v>256.43</v>
      </c>
      <c r="G14" s="41">
        <f t="shared" si="7"/>
        <v>769.29</v>
      </c>
      <c r="H14" s="53">
        <f t="shared" si="8"/>
        <v>576.96749999999997</v>
      </c>
      <c r="I14" s="54">
        <f t="shared" si="9"/>
        <v>256.43</v>
      </c>
      <c r="J14" s="55">
        <f t="shared" si="10"/>
        <v>1025.72</v>
      </c>
      <c r="K14" s="56">
        <f t="shared" si="11"/>
        <v>769.29</v>
      </c>
      <c r="L14" s="177"/>
    </row>
    <row r="15" spans="1:12" x14ac:dyDescent="0.25">
      <c r="A15" s="24" t="s">
        <v>734</v>
      </c>
      <c r="B15" s="23" t="s">
        <v>808</v>
      </c>
      <c r="C15" s="23"/>
      <c r="D15" s="23">
        <v>6.91</v>
      </c>
      <c r="E15" s="103">
        <v>512.86</v>
      </c>
      <c r="F15" s="53">
        <f t="shared" si="6"/>
        <v>256.43</v>
      </c>
      <c r="G15" s="41">
        <f t="shared" si="7"/>
        <v>769.29</v>
      </c>
      <c r="H15" s="53">
        <f t="shared" si="8"/>
        <v>576.96749999999997</v>
      </c>
      <c r="I15" s="54">
        <f t="shared" si="9"/>
        <v>256.43</v>
      </c>
      <c r="J15" s="55">
        <f t="shared" si="10"/>
        <v>1025.72</v>
      </c>
      <c r="K15" s="56">
        <f t="shared" si="11"/>
        <v>769.29</v>
      </c>
      <c r="L15" s="177"/>
    </row>
    <row r="16" spans="1:12" x14ac:dyDescent="0.25">
      <c r="A16" s="24"/>
      <c r="B16" s="23"/>
      <c r="C16" s="23"/>
      <c r="D16" s="23"/>
      <c r="E16" s="103"/>
      <c r="F16" s="103"/>
      <c r="G16" s="42"/>
      <c r="H16" s="104"/>
      <c r="I16" s="3"/>
      <c r="J16" s="25"/>
      <c r="K16" s="110"/>
      <c r="L16" s="177"/>
    </row>
    <row r="17" spans="1:12" x14ac:dyDescent="0.25">
      <c r="A17" s="24" t="s">
        <v>741</v>
      </c>
      <c r="B17" s="23" t="s">
        <v>1897</v>
      </c>
      <c r="C17" s="43">
        <v>8</v>
      </c>
      <c r="D17" s="23">
        <v>6.91</v>
      </c>
      <c r="E17" s="103">
        <v>526.23</v>
      </c>
      <c r="F17" s="53">
        <f t="shared" ref="F17:F22" si="12">E17*50%</f>
        <v>263.11500000000001</v>
      </c>
      <c r="G17" s="41">
        <f t="shared" ref="G17:G22" si="13">E17+F17</f>
        <v>789.34500000000003</v>
      </c>
      <c r="H17" s="53">
        <f t="shared" ref="H17:H22" si="14">G17-(G17*25%)</f>
        <v>592.00874999999996</v>
      </c>
      <c r="I17" s="54">
        <f t="shared" ref="I17:I22" si="15">E17*50%</f>
        <v>263.11500000000001</v>
      </c>
      <c r="J17" s="55">
        <f t="shared" ref="J17:J22" si="16">E17+(I17*2)</f>
        <v>1052.46</v>
      </c>
      <c r="K17" s="56">
        <f t="shared" ref="K17:K22" si="17">J17-(J17*25%)</f>
        <v>789.34500000000003</v>
      </c>
      <c r="L17" s="177"/>
    </row>
    <row r="18" spans="1:12" x14ac:dyDescent="0.25">
      <c r="A18" s="24" t="s">
        <v>742</v>
      </c>
      <c r="B18" s="23" t="s">
        <v>1740</v>
      </c>
      <c r="C18" s="43">
        <v>16</v>
      </c>
      <c r="D18" s="43">
        <v>6.91</v>
      </c>
      <c r="E18" s="103">
        <v>512.86</v>
      </c>
      <c r="F18" s="53">
        <f t="shared" si="12"/>
        <v>256.43</v>
      </c>
      <c r="G18" s="41">
        <f t="shared" si="13"/>
        <v>769.29</v>
      </c>
      <c r="H18" s="53">
        <f t="shared" si="14"/>
        <v>576.96749999999997</v>
      </c>
      <c r="I18" s="54">
        <f t="shared" si="15"/>
        <v>256.43</v>
      </c>
      <c r="J18" s="55">
        <f t="shared" si="16"/>
        <v>1025.72</v>
      </c>
      <c r="K18" s="56">
        <f t="shared" si="17"/>
        <v>769.29</v>
      </c>
      <c r="L18" s="177"/>
    </row>
    <row r="19" spans="1:12" x14ac:dyDescent="0.25">
      <c r="A19" s="24" t="s">
        <v>743</v>
      </c>
      <c r="B19" s="23" t="s">
        <v>1740</v>
      </c>
      <c r="C19" s="23"/>
      <c r="D19" s="23">
        <v>6.91</v>
      </c>
      <c r="E19" s="103">
        <v>512.86</v>
      </c>
      <c r="F19" s="53">
        <f t="shared" si="12"/>
        <v>256.43</v>
      </c>
      <c r="G19" s="41">
        <f t="shared" si="13"/>
        <v>769.29</v>
      </c>
      <c r="H19" s="53">
        <f t="shared" si="14"/>
        <v>576.96749999999997</v>
      </c>
      <c r="I19" s="54">
        <f t="shared" si="15"/>
        <v>256.43</v>
      </c>
      <c r="J19" s="55">
        <f t="shared" si="16"/>
        <v>1025.72</v>
      </c>
      <c r="K19" s="56">
        <f t="shared" si="17"/>
        <v>769.29</v>
      </c>
      <c r="L19" s="177"/>
    </row>
    <row r="20" spans="1:12" x14ac:dyDescent="0.25">
      <c r="A20" s="24" t="s">
        <v>744</v>
      </c>
      <c r="B20" s="23" t="s">
        <v>1353</v>
      </c>
      <c r="C20" s="43">
        <v>10.36</v>
      </c>
      <c r="D20" s="23">
        <v>6.91</v>
      </c>
      <c r="E20" s="103">
        <v>539.6</v>
      </c>
      <c r="F20" s="53">
        <f t="shared" si="12"/>
        <v>269.8</v>
      </c>
      <c r="G20" s="41">
        <f t="shared" si="13"/>
        <v>809.40000000000009</v>
      </c>
      <c r="H20" s="53">
        <f t="shared" si="14"/>
        <v>607.05000000000007</v>
      </c>
      <c r="I20" s="54">
        <f t="shared" si="15"/>
        <v>269.8</v>
      </c>
      <c r="J20" s="55">
        <f t="shared" si="16"/>
        <v>1079.2</v>
      </c>
      <c r="K20" s="56">
        <f t="shared" si="17"/>
        <v>809.40000000000009</v>
      </c>
      <c r="L20" s="177"/>
    </row>
    <row r="21" spans="1:12" x14ac:dyDescent="0.25">
      <c r="A21" s="24" t="s">
        <v>745</v>
      </c>
      <c r="B21" s="23" t="s">
        <v>809</v>
      </c>
      <c r="C21" s="43">
        <v>22.38</v>
      </c>
      <c r="D21" s="43">
        <v>6.91</v>
      </c>
      <c r="E21" s="103">
        <v>341.935</v>
      </c>
      <c r="F21" s="53">
        <f t="shared" si="12"/>
        <v>170.9675</v>
      </c>
      <c r="G21" s="41">
        <f t="shared" si="13"/>
        <v>512.90250000000003</v>
      </c>
      <c r="H21" s="53">
        <f t="shared" si="14"/>
        <v>384.676875</v>
      </c>
      <c r="I21" s="54">
        <f t="shared" si="15"/>
        <v>170.9675</v>
      </c>
      <c r="J21" s="55">
        <f t="shared" si="16"/>
        <v>683.87</v>
      </c>
      <c r="K21" s="56">
        <f t="shared" si="17"/>
        <v>512.90250000000003</v>
      </c>
      <c r="L21" s="177"/>
    </row>
    <row r="22" spans="1:12" x14ac:dyDescent="0.25">
      <c r="A22" s="24" t="s">
        <v>746</v>
      </c>
      <c r="B22" s="23" t="s">
        <v>809</v>
      </c>
      <c r="C22" s="23"/>
      <c r="D22" s="23">
        <v>6.91</v>
      </c>
      <c r="E22" s="103">
        <v>341.935</v>
      </c>
      <c r="F22" s="53">
        <f t="shared" si="12"/>
        <v>170.9675</v>
      </c>
      <c r="G22" s="41">
        <f t="shared" si="13"/>
        <v>512.90250000000003</v>
      </c>
      <c r="H22" s="53">
        <f t="shared" si="14"/>
        <v>384.676875</v>
      </c>
      <c r="I22" s="54">
        <f t="shared" si="15"/>
        <v>170.9675</v>
      </c>
      <c r="J22" s="55">
        <f t="shared" si="16"/>
        <v>683.87</v>
      </c>
      <c r="K22" s="56">
        <f t="shared" si="17"/>
        <v>512.90250000000003</v>
      </c>
      <c r="L22" s="177"/>
    </row>
    <row r="23" spans="1:12" x14ac:dyDescent="0.25">
      <c r="A23" s="24"/>
      <c r="B23" s="23"/>
      <c r="C23" s="30"/>
      <c r="D23" s="23"/>
      <c r="E23" s="108"/>
      <c r="F23" s="46"/>
      <c r="G23" s="42"/>
      <c r="H23" s="104"/>
      <c r="I23" s="3"/>
      <c r="J23" s="25"/>
      <c r="K23" s="110"/>
      <c r="L23" s="177"/>
    </row>
    <row r="24" spans="1:12" x14ac:dyDescent="0.25">
      <c r="A24" s="24" t="s">
        <v>749</v>
      </c>
      <c r="B24" s="23" t="s">
        <v>2256</v>
      </c>
      <c r="C24" s="43">
        <v>6.42</v>
      </c>
      <c r="D24" s="23">
        <v>6.91</v>
      </c>
      <c r="E24" s="103">
        <v>512.75</v>
      </c>
      <c r="F24" s="53">
        <f t="shared" ref="F24:F29" si="18">E24*50%</f>
        <v>256.375</v>
      </c>
      <c r="G24" s="41">
        <f t="shared" ref="G24:G29" si="19">E24+F24</f>
        <v>769.125</v>
      </c>
      <c r="H24" s="53">
        <f t="shared" ref="H24:H29" si="20">G24-(G24*25%)</f>
        <v>576.84375</v>
      </c>
      <c r="I24" s="54">
        <f t="shared" ref="I24:I29" si="21">E24*50%</f>
        <v>256.375</v>
      </c>
      <c r="J24" s="55">
        <f t="shared" ref="J24:J29" si="22">E24+(I24*2)</f>
        <v>1025.5</v>
      </c>
      <c r="K24" s="56">
        <f t="shared" ref="K24:K29" si="23">J24-(J24*25%)</f>
        <v>769.125</v>
      </c>
      <c r="L24" s="177"/>
    </row>
    <row r="25" spans="1:12" x14ac:dyDescent="0.25">
      <c r="A25" s="24" t="s">
        <v>750</v>
      </c>
      <c r="B25" s="23" t="s">
        <v>1375</v>
      </c>
      <c r="C25" s="23"/>
      <c r="D25" s="23"/>
      <c r="E25" s="103">
        <v>443.34500000000003</v>
      </c>
      <c r="F25" s="53">
        <f t="shared" si="18"/>
        <v>221.67250000000001</v>
      </c>
      <c r="G25" s="41">
        <f t="shared" si="19"/>
        <v>665.01750000000004</v>
      </c>
      <c r="H25" s="53">
        <f t="shared" si="20"/>
        <v>498.76312500000006</v>
      </c>
      <c r="I25" s="54">
        <f t="shared" si="21"/>
        <v>221.67250000000001</v>
      </c>
      <c r="J25" s="55">
        <f t="shared" si="22"/>
        <v>886.69</v>
      </c>
      <c r="K25" s="56">
        <f t="shared" si="23"/>
        <v>665.01750000000004</v>
      </c>
      <c r="L25" s="177"/>
    </row>
    <row r="26" spans="1:12" x14ac:dyDescent="0.25">
      <c r="A26" s="24" t="s">
        <v>751</v>
      </c>
      <c r="B26" s="23" t="s">
        <v>1375</v>
      </c>
      <c r="C26" s="43">
        <v>6.3</v>
      </c>
      <c r="D26" s="23">
        <v>11.75</v>
      </c>
      <c r="E26" s="103">
        <v>443.34750000000003</v>
      </c>
      <c r="F26" s="53">
        <f t="shared" si="18"/>
        <v>221.67375000000001</v>
      </c>
      <c r="G26" s="41">
        <f t="shared" si="19"/>
        <v>665.02125000000001</v>
      </c>
      <c r="H26" s="53">
        <f t="shared" si="20"/>
        <v>498.76593750000001</v>
      </c>
      <c r="I26" s="54">
        <f t="shared" si="21"/>
        <v>221.67375000000001</v>
      </c>
      <c r="J26" s="55">
        <f t="shared" si="22"/>
        <v>886.69500000000005</v>
      </c>
      <c r="K26" s="56">
        <f t="shared" si="23"/>
        <v>665.02125000000001</v>
      </c>
      <c r="L26" s="177"/>
    </row>
    <row r="27" spans="1:12" x14ac:dyDescent="0.25">
      <c r="A27" s="24" t="s">
        <v>752</v>
      </c>
      <c r="B27" s="23" t="s">
        <v>2200</v>
      </c>
      <c r="C27" s="43">
        <v>11.89</v>
      </c>
      <c r="D27" s="43">
        <v>13.82</v>
      </c>
      <c r="E27" s="103">
        <v>512.85500000000002</v>
      </c>
      <c r="F27" s="53">
        <f t="shared" si="18"/>
        <v>256.42750000000001</v>
      </c>
      <c r="G27" s="41">
        <f t="shared" si="19"/>
        <v>769.28250000000003</v>
      </c>
      <c r="H27" s="53">
        <f t="shared" si="20"/>
        <v>576.96187499999996</v>
      </c>
      <c r="I27" s="54">
        <f t="shared" si="21"/>
        <v>256.42750000000001</v>
      </c>
      <c r="J27" s="55">
        <f t="shared" si="22"/>
        <v>1025.71</v>
      </c>
      <c r="K27" s="56">
        <f t="shared" si="23"/>
        <v>769.28250000000003</v>
      </c>
      <c r="L27" s="177"/>
    </row>
    <row r="28" spans="1:12" x14ac:dyDescent="0.25">
      <c r="A28" s="24" t="s">
        <v>753</v>
      </c>
      <c r="B28" s="23" t="s">
        <v>2242</v>
      </c>
      <c r="C28" s="23"/>
      <c r="D28" s="30">
        <v>6.91</v>
      </c>
      <c r="E28" s="103">
        <v>512.85500000000002</v>
      </c>
      <c r="F28" s="53">
        <f t="shared" si="18"/>
        <v>256.42750000000001</v>
      </c>
      <c r="G28" s="41">
        <f t="shared" si="19"/>
        <v>769.28250000000003</v>
      </c>
      <c r="H28" s="53">
        <f t="shared" si="20"/>
        <v>576.96187499999996</v>
      </c>
      <c r="I28" s="54">
        <f t="shared" si="21"/>
        <v>256.42750000000001</v>
      </c>
      <c r="J28" s="55">
        <f t="shared" si="22"/>
        <v>1025.71</v>
      </c>
      <c r="K28" s="56">
        <f t="shared" si="23"/>
        <v>769.28250000000003</v>
      </c>
      <c r="L28" s="177"/>
    </row>
    <row r="29" spans="1:12" x14ac:dyDescent="0.25">
      <c r="A29" s="24" t="s">
        <v>754</v>
      </c>
      <c r="B29" s="23" t="s">
        <v>1354</v>
      </c>
      <c r="C29" s="43">
        <v>6.82</v>
      </c>
      <c r="D29" s="23">
        <v>6.91</v>
      </c>
      <c r="E29" s="103">
        <v>486.12</v>
      </c>
      <c r="F29" s="53">
        <f t="shared" si="18"/>
        <v>243.06</v>
      </c>
      <c r="G29" s="41">
        <f t="shared" si="19"/>
        <v>729.18000000000006</v>
      </c>
      <c r="H29" s="53">
        <f t="shared" si="20"/>
        <v>546.88499999999999</v>
      </c>
      <c r="I29" s="54">
        <f t="shared" si="21"/>
        <v>243.06</v>
      </c>
      <c r="J29" s="55">
        <f t="shared" si="22"/>
        <v>972.24</v>
      </c>
      <c r="K29" s="56">
        <f t="shared" si="23"/>
        <v>729.18000000000006</v>
      </c>
      <c r="L29" s="177"/>
    </row>
    <row r="30" spans="1:12" x14ac:dyDescent="0.25">
      <c r="A30" s="24"/>
      <c r="B30" s="23"/>
      <c r="C30" s="23"/>
      <c r="D30" s="23"/>
      <c r="E30" s="103"/>
      <c r="F30" s="23"/>
      <c r="G30" s="42"/>
      <c r="H30" s="104"/>
      <c r="I30" s="3"/>
      <c r="J30" s="25"/>
      <c r="K30" s="110"/>
      <c r="L30" s="177"/>
    </row>
    <row r="31" spans="1:12" x14ac:dyDescent="0.25">
      <c r="A31" s="24" t="s">
        <v>757</v>
      </c>
      <c r="B31" s="23" t="s">
        <v>1456</v>
      </c>
      <c r="C31" s="23"/>
      <c r="D31" s="23">
        <v>6.91</v>
      </c>
      <c r="E31" s="103">
        <v>512.86</v>
      </c>
      <c r="F31" s="53">
        <f t="shared" ref="F31:F36" si="24">E31*50%</f>
        <v>256.43</v>
      </c>
      <c r="G31" s="41">
        <f t="shared" ref="G31:G36" si="25">E31+F31</f>
        <v>769.29</v>
      </c>
      <c r="H31" s="53">
        <f t="shared" ref="H31:H36" si="26">G31-(G31*25%)</f>
        <v>576.96749999999997</v>
      </c>
      <c r="I31" s="54">
        <f t="shared" ref="I31:I36" si="27">E31*50%</f>
        <v>256.43</v>
      </c>
      <c r="J31" s="55">
        <f t="shared" ref="J31:J36" si="28">E31+(I31*2)</f>
        <v>1025.72</v>
      </c>
      <c r="K31" s="56">
        <f t="shared" ref="K31:K36" si="29">J31-(J31*25%)</f>
        <v>769.29</v>
      </c>
      <c r="L31" s="177"/>
    </row>
    <row r="32" spans="1:12" x14ac:dyDescent="0.25">
      <c r="A32" s="24" t="s">
        <v>758</v>
      </c>
      <c r="B32" s="23" t="s">
        <v>1729</v>
      </c>
      <c r="C32" s="23"/>
      <c r="D32" s="23">
        <v>6.91</v>
      </c>
      <c r="E32" s="103">
        <v>512.86</v>
      </c>
      <c r="F32" s="53">
        <f t="shared" si="24"/>
        <v>256.43</v>
      </c>
      <c r="G32" s="41">
        <f t="shared" si="25"/>
        <v>769.29</v>
      </c>
      <c r="H32" s="53">
        <f t="shared" si="26"/>
        <v>576.96749999999997</v>
      </c>
      <c r="I32" s="54">
        <f t="shared" si="27"/>
        <v>256.43</v>
      </c>
      <c r="J32" s="55">
        <f t="shared" si="28"/>
        <v>1025.72</v>
      </c>
      <c r="K32" s="56">
        <f t="shared" si="29"/>
        <v>769.29</v>
      </c>
      <c r="L32" s="177"/>
    </row>
    <row r="33" spans="1:12" x14ac:dyDescent="0.25">
      <c r="A33" s="24" t="s">
        <v>759</v>
      </c>
      <c r="B33" s="23" t="s">
        <v>1410</v>
      </c>
      <c r="C33" s="43">
        <v>5</v>
      </c>
      <c r="D33" s="23">
        <v>6.91</v>
      </c>
      <c r="E33" s="103">
        <v>512.86</v>
      </c>
      <c r="F33" s="53">
        <f t="shared" si="24"/>
        <v>256.43</v>
      </c>
      <c r="G33" s="41">
        <f t="shared" si="25"/>
        <v>769.29</v>
      </c>
      <c r="H33" s="53">
        <f t="shared" si="26"/>
        <v>576.96749999999997</v>
      </c>
      <c r="I33" s="54">
        <f t="shared" si="27"/>
        <v>256.43</v>
      </c>
      <c r="J33" s="55">
        <f t="shared" si="28"/>
        <v>1025.72</v>
      </c>
      <c r="K33" s="56">
        <f t="shared" si="29"/>
        <v>769.29</v>
      </c>
      <c r="L33" s="177"/>
    </row>
    <row r="34" spans="1:12" x14ac:dyDescent="0.25">
      <c r="A34" s="24" t="s">
        <v>760</v>
      </c>
      <c r="B34" s="23" t="s">
        <v>2220</v>
      </c>
      <c r="C34" s="43">
        <v>5</v>
      </c>
      <c r="D34" s="23">
        <v>6.91</v>
      </c>
      <c r="E34" s="103">
        <v>512.86</v>
      </c>
      <c r="F34" s="53">
        <f t="shared" si="24"/>
        <v>256.43</v>
      </c>
      <c r="G34" s="41">
        <f t="shared" si="25"/>
        <v>769.29</v>
      </c>
      <c r="H34" s="53">
        <f t="shared" si="26"/>
        <v>576.96749999999997</v>
      </c>
      <c r="I34" s="54">
        <f t="shared" si="27"/>
        <v>256.43</v>
      </c>
      <c r="J34" s="55">
        <f t="shared" si="28"/>
        <v>1025.72</v>
      </c>
      <c r="K34" s="56">
        <f t="shared" si="29"/>
        <v>769.29</v>
      </c>
      <c r="L34" s="177"/>
    </row>
    <row r="35" spans="1:12" x14ac:dyDescent="0.25">
      <c r="A35" s="24" t="s">
        <v>761</v>
      </c>
      <c r="B35" s="23" t="s">
        <v>1334</v>
      </c>
      <c r="C35" s="43">
        <v>11.51</v>
      </c>
      <c r="D35" s="43">
        <v>6.91</v>
      </c>
      <c r="E35" s="103">
        <v>512.86</v>
      </c>
      <c r="F35" s="53">
        <f t="shared" si="24"/>
        <v>256.43</v>
      </c>
      <c r="G35" s="41">
        <f t="shared" si="25"/>
        <v>769.29</v>
      </c>
      <c r="H35" s="53">
        <f t="shared" si="26"/>
        <v>576.96749999999997</v>
      </c>
      <c r="I35" s="54">
        <f t="shared" si="27"/>
        <v>256.43</v>
      </c>
      <c r="J35" s="55">
        <f t="shared" si="28"/>
        <v>1025.72</v>
      </c>
      <c r="K35" s="56">
        <f t="shared" si="29"/>
        <v>769.29</v>
      </c>
      <c r="L35" s="177"/>
    </row>
    <row r="36" spans="1:12" x14ac:dyDescent="0.25">
      <c r="A36" s="24" t="s">
        <v>762</v>
      </c>
      <c r="B36" s="23" t="s">
        <v>2130</v>
      </c>
      <c r="C36" s="23"/>
      <c r="D36" s="23">
        <v>6.91</v>
      </c>
      <c r="E36" s="103">
        <v>512.86</v>
      </c>
      <c r="F36" s="53">
        <f t="shared" si="24"/>
        <v>256.43</v>
      </c>
      <c r="G36" s="41">
        <f t="shared" si="25"/>
        <v>769.29</v>
      </c>
      <c r="H36" s="53">
        <f t="shared" si="26"/>
        <v>576.96749999999997</v>
      </c>
      <c r="I36" s="54">
        <f t="shared" si="27"/>
        <v>256.43</v>
      </c>
      <c r="J36" s="55">
        <f t="shared" si="28"/>
        <v>1025.72</v>
      </c>
      <c r="K36" s="56">
        <f t="shared" si="29"/>
        <v>769.29</v>
      </c>
      <c r="L36" s="177"/>
    </row>
    <row r="37" spans="1:12" x14ac:dyDescent="0.25">
      <c r="A37" s="24"/>
      <c r="B37" s="23"/>
      <c r="C37" s="23"/>
      <c r="D37" s="23"/>
      <c r="E37" s="103"/>
      <c r="F37" s="23"/>
      <c r="G37" s="42"/>
      <c r="H37" s="104"/>
      <c r="I37" s="3"/>
      <c r="J37" s="25"/>
      <c r="K37" s="110"/>
      <c r="L37" s="177"/>
    </row>
    <row r="38" spans="1:12" x14ac:dyDescent="0.25">
      <c r="A38" s="24" t="s">
        <v>765</v>
      </c>
      <c r="B38" s="23" t="s">
        <v>1507</v>
      </c>
      <c r="C38" s="43">
        <v>17.11</v>
      </c>
      <c r="D38" s="43">
        <v>6.91</v>
      </c>
      <c r="E38" s="103">
        <v>512.86</v>
      </c>
      <c r="F38" s="53">
        <f t="shared" ref="F38:F43" si="30">E38*50%</f>
        <v>256.43</v>
      </c>
      <c r="G38" s="41">
        <f t="shared" ref="G38:G43" si="31">E38+F38</f>
        <v>769.29</v>
      </c>
      <c r="H38" s="53">
        <f t="shared" ref="H38:H43" si="32">G38-(G38*25%)</f>
        <v>576.96749999999997</v>
      </c>
      <c r="I38" s="54">
        <f t="shared" ref="I38:I43" si="33">E38*50%</f>
        <v>256.43</v>
      </c>
      <c r="J38" s="55">
        <f t="shared" ref="J38:J43" si="34">E38+(I38*2)</f>
        <v>1025.72</v>
      </c>
      <c r="K38" s="56">
        <f t="shared" ref="K38:K43" si="35">J38-(J38*25%)</f>
        <v>769.29</v>
      </c>
      <c r="L38" s="177"/>
    </row>
    <row r="39" spans="1:12" x14ac:dyDescent="0.25">
      <c r="A39" s="24" t="s">
        <v>766</v>
      </c>
      <c r="B39" s="23" t="s">
        <v>1501</v>
      </c>
      <c r="C39" s="23"/>
      <c r="D39" s="23">
        <v>6.91</v>
      </c>
      <c r="E39" s="103">
        <v>512.86</v>
      </c>
      <c r="F39" s="53">
        <f t="shared" si="30"/>
        <v>256.43</v>
      </c>
      <c r="G39" s="41">
        <f t="shared" si="31"/>
        <v>769.29</v>
      </c>
      <c r="H39" s="53">
        <f t="shared" si="32"/>
        <v>576.96749999999997</v>
      </c>
      <c r="I39" s="54">
        <f t="shared" si="33"/>
        <v>256.43</v>
      </c>
      <c r="J39" s="55">
        <f t="shared" si="34"/>
        <v>1025.72</v>
      </c>
      <c r="K39" s="56">
        <f t="shared" si="35"/>
        <v>769.29</v>
      </c>
      <c r="L39" s="177"/>
    </row>
    <row r="40" spans="1:12" x14ac:dyDescent="0.25">
      <c r="A40" s="24" t="s">
        <v>767</v>
      </c>
      <c r="B40" s="23" t="s">
        <v>1730</v>
      </c>
      <c r="C40" s="51">
        <v>11.6</v>
      </c>
      <c r="D40" s="51">
        <v>6.91</v>
      </c>
      <c r="E40" s="116">
        <v>512.86</v>
      </c>
      <c r="F40" s="53">
        <f t="shared" si="30"/>
        <v>256.43</v>
      </c>
      <c r="G40" s="41">
        <f t="shared" si="31"/>
        <v>769.29</v>
      </c>
      <c r="H40" s="53">
        <f t="shared" si="32"/>
        <v>576.96749999999997</v>
      </c>
      <c r="I40" s="54">
        <f t="shared" si="33"/>
        <v>256.43</v>
      </c>
      <c r="J40" s="55">
        <f t="shared" si="34"/>
        <v>1025.72</v>
      </c>
      <c r="K40" s="56">
        <f t="shared" si="35"/>
        <v>769.29</v>
      </c>
      <c r="L40" s="177"/>
    </row>
    <row r="41" spans="1:12" x14ac:dyDescent="0.25">
      <c r="A41" s="24" t="s">
        <v>768</v>
      </c>
      <c r="B41" s="23" t="s">
        <v>1730</v>
      </c>
      <c r="C41" s="50"/>
      <c r="D41" s="50">
        <v>6.91</v>
      </c>
      <c r="E41" s="116">
        <v>512.86</v>
      </c>
      <c r="F41" s="53">
        <f t="shared" si="30"/>
        <v>256.43</v>
      </c>
      <c r="G41" s="41">
        <f t="shared" si="31"/>
        <v>769.29</v>
      </c>
      <c r="H41" s="53">
        <f t="shared" si="32"/>
        <v>576.96749999999997</v>
      </c>
      <c r="I41" s="54">
        <f t="shared" si="33"/>
        <v>256.43</v>
      </c>
      <c r="J41" s="55">
        <f t="shared" si="34"/>
        <v>1025.72</v>
      </c>
      <c r="K41" s="56">
        <f t="shared" si="35"/>
        <v>769.29</v>
      </c>
      <c r="L41" s="177"/>
    </row>
    <row r="42" spans="1:12" x14ac:dyDescent="0.25">
      <c r="A42" s="24" t="s">
        <v>780</v>
      </c>
      <c r="B42" s="23" t="s">
        <v>1355</v>
      </c>
      <c r="C42" s="43">
        <v>6.55</v>
      </c>
      <c r="D42" s="23">
        <v>6.91</v>
      </c>
      <c r="E42" s="103">
        <v>539.6</v>
      </c>
      <c r="F42" s="53">
        <f t="shared" si="30"/>
        <v>269.8</v>
      </c>
      <c r="G42" s="41">
        <f t="shared" si="31"/>
        <v>809.40000000000009</v>
      </c>
      <c r="H42" s="53">
        <f t="shared" si="32"/>
        <v>607.05000000000007</v>
      </c>
      <c r="I42" s="54">
        <f t="shared" si="33"/>
        <v>269.8</v>
      </c>
      <c r="J42" s="55">
        <f t="shared" si="34"/>
        <v>1079.2</v>
      </c>
      <c r="K42" s="56">
        <f t="shared" si="35"/>
        <v>809.40000000000009</v>
      </c>
      <c r="L42" s="177"/>
    </row>
    <row r="43" spans="1:12" x14ac:dyDescent="0.25">
      <c r="A43" s="24" t="s">
        <v>781</v>
      </c>
      <c r="B43" s="23" t="s">
        <v>1507</v>
      </c>
      <c r="C43" s="23"/>
      <c r="D43" s="37">
        <v>6.91</v>
      </c>
      <c r="E43" s="103">
        <v>512.86</v>
      </c>
      <c r="F43" s="53">
        <f t="shared" si="30"/>
        <v>256.43</v>
      </c>
      <c r="G43" s="41">
        <f t="shared" si="31"/>
        <v>769.29</v>
      </c>
      <c r="H43" s="53">
        <f t="shared" si="32"/>
        <v>576.96749999999997</v>
      </c>
      <c r="I43" s="54">
        <f t="shared" si="33"/>
        <v>256.43</v>
      </c>
      <c r="J43" s="55">
        <f t="shared" si="34"/>
        <v>1025.72</v>
      </c>
      <c r="K43" s="56">
        <f t="shared" si="35"/>
        <v>769.29</v>
      </c>
      <c r="L43" s="177"/>
    </row>
    <row r="44" spans="1:12" x14ac:dyDescent="0.25">
      <c r="A44" s="24"/>
      <c r="B44" s="23"/>
      <c r="C44" s="23"/>
      <c r="D44" s="37"/>
      <c r="E44" s="103"/>
      <c r="F44" s="23"/>
      <c r="G44" s="42"/>
      <c r="H44" s="104"/>
      <c r="I44" s="3"/>
      <c r="J44" s="25"/>
      <c r="K44" s="110"/>
      <c r="L44" s="177"/>
    </row>
    <row r="45" spans="1:12" x14ac:dyDescent="0.25">
      <c r="A45" s="24" t="s">
        <v>769</v>
      </c>
      <c r="B45" s="23" t="s">
        <v>1737</v>
      </c>
      <c r="C45" s="43">
        <v>8</v>
      </c>
      <c r="D45" s="23">
        <v>6.91</v>
      </c>
      <c r="E45" s="103">
        <v>512.86</v>
      </c>
      <c r="F45" s="53">
        <f t="shared" ref="F45:F50" si="36">E45*50%</f>
        <v>256.43</v>
      </c>
      <c r="G45" s="41">
        <f t="shared" ref="G45:G50" si="37">E45+F45</f>
        <v>769.29</v>
      </c>
      <c r="H45" s="53">
        <f t="shared" ref="H45:H50" si="38">G45-(G45*25%)</f>
        <v>576.96749999999997</v>
      </c>
      <c r="I45" s="54">
        <f t="shared" ref="I45:I50" si="39">E45*50%</f>
        <v>256.43</v>
      </c>
      <c r="J45" s="55">
        <f t="shared" ref="J45:J50" si="40">E45+(I45*2)</f>
        <v>1025.72</v>
      </c>
      <c r="K45" s="56">
        <f t="shared" ref="K45:K50" si="41">J45-(J45*25%)</f>
        <v>769.29</v>
      </c>
      <c r="L45" s="177"/>
    </row>
    <row r="46" spans="1:12" x14ac:dyDescent="0.25">
      <c r="A46" s="24" t="s">
        <v>770</v>
      </c>
      <c r="B46" s="23" t="s">
        <v>1402</v>
      </c>
      <c r="C46" s="50"/>
      <c r="D46" s="50">
        <v>4.91</v>
      </c>
      <c r="E46" s="116">
        <v>512.86</v>
      </c>
      <c r="F46" s="53">
        <f t="shared" si="36"/>
        <v>256.43</v>
      </c>
      <c r="G46" s="41">
        <f t="shared" si="37"/>
        <v>769.29</v>
      </c>
      <c r="H46" s="53">
        <f t="shared" si="38"/>
        <v>576.96749999999997</v>
      </c>
      <c r="I46" s="54">
        <f t="shared" si="39"/>
        <v>256.43</v>
      </c>
      <c r="J46" s="55">
        <f t="shared" si="40"/>
        <v>1025.72</v>
      </c>
      <c r="K46" s="56">
        <f t="shared" si="41"/>
        <v>769.29</v>
      </c>
      <c r="L46" s="177"/>
    </row>
    <row r="47" spans="1:12" x14ac:dyDescent="0.25">
      <c r="A47" s="24" t="s">
        <v>771</v>
      </c>
      <c r="B47" s="23" t="s">
        <v>2250</v>
      </c>
      <c r="C47" s="43">
        <v>24</v>
      </c>
      <c r="D47" s="43">
        <v>6.91</v>
      </c>
      <c r="E47" s="103">
        <v>539.6</v>
      </c>
      <c r="F47" s="53">
        <f t="shared" si="36"/>
        <v>269.8</v>
      </c>
      <c r="G47" s="41">
        <f t="shared" si="37"/>
        <v>809.40000000000009</v>
      </c>
      <c r="H47" s="53">
        <f t="shared" si="38"/>
        <v>607.05000000000007</v>
      </c>
      <c r="I47" s="54">
        <f t="shared" si="39"/>
        <v>269.8</v>
      </c>
      <c r="J47" s="55">
        <f t="shared" si="40"/>
        <v>1079.2</v>
      </c>
      <c r="K47" s="56">
        <f t="shared" si="41"/>
        <v>809.40000000000009</v>
      </c>
      <c r="L47" s="177"/>
    </row>
    <row r="48" spans="1:12" x14ac:dyDescent="0.25">
      <c r="A48" s="24" t="s">
        <v>772</v>
      </c>
      <c r="B48" s="23" t="s">
        <v>2250</v>
      </c>
      <c r="C48" s="23"/>
      <c r="D48" s="23">
        <v>6.91</v>
      </c>
      <c r="E48" s="103">
        <v>539.6</v>
      </c>
      <c r="F48" s="53">
        <f t="shared" si="36"/>
        <v>269.8</v>
      </c>
      <c r="G48" s="41">
        <f t="shared" si="37"/>
        <v>809.40000000000009</v>
      </c>
      <c r="H48" s="53">
        <f t="shared" si="38"/>
        <v>607.05000000000007</v>
      </c>
      <c r="I48" s="54">
        <f t="shared" si="39"/>
        <v>269.8</v>
      </c>
      <c r="J48" s="55">
        <f t="shared" si="40"/>
        <v>1079.2</v>
      </c>
      <c r="K48" s="56">
        <f t="shared" si="41"/>
        <v>809.40000000000009</v>
      </c>
      <c r="L48" s="177"/>
    </row>
    <row r="49" spans="1:12" x14ac:dyDescent="0.25">
      <c r="A49" s="24" t="s">
        <v>782</v>
      </c>
      <c r="B49" s="23" t="s">
        <v>1510</v>
      </c>
      <c r="C49" s="23"/>
      <c r="D49" s="23">
        <v>6.91</v>
      </c>
      <c r="E49" s="103">
        <v>539.6</v>
      </c>
      <c r="F49" s="53">
        <f t="shared" si="36"/>
        <v>269.8</v>
      </c>
      <c r="G49" s="41">
        <f t="shared" si="37"/>
        <v>809.40000000000009</v>
      </c>
      <c r="H49" s="53">
        <f t="shared" si="38"/>
        <v>607.05000000000007</v>
      </c>
      <c r="I49" s="54">
        <f t="shared" si="39"/>
        <v>269.8</v>
      </c>
      <c r="J49" s="55">
        <f t="shared" si="40"/>
        <v>1079.2</v>
      </c>
      <c r="K49" s="56">
        <f t="shared" si="41"/>
        <v>809.40000000000009</v>
      </c>
      <c r="L49" s="177"/>
    </row>
    <row r="50" spans="1:12" x14ac:dyDescent="0.25">
      <c r="A50" s="24" t="s">
        <v>783</v>
      </c>
      <c r="B50" s="23" t="s">
        <v>835</v>
      </c>
      <c r="C50" s="23"/>
      <c r="D50" s="23">
        <v>6.91</v>
      </c>
      <c r="E50" s="103">
        <v>539.6</v>
      </c>
      <c r="F50" s="53">
        <f t="shared" si="36"/>
        <v>269.8</v>
      </c>
      <c r="G50" s="41">
        <f t="shared" si="37"/>
        <v>809.40000000000009</v>
      </c>
      <c r="H50" s="53">
        <f t="shared" si="38"/>
        <v>607.05000000000007</v>
      </c>
      <c r="I50" s="54">
        <f t="shared" si="39"/>
        <v>269.8</v>
      </c>
      <c r="J50" s="55">
        <f t="shared" si="40"/>
        <v>1079.2</v>
      </c>
      <c r="K50" s="56">
        <f t="shared" si="41"/>
        <v>809.40000000000009</v>
      </c>
      <c r="L50" s="177"/>
    </row>
    <row r="51" spans="1:12" x14ac:dyDescent="0.25">
      <c r="A51" s="24"/>
      <c r="B51" s="23"/>
      <c r="C51" s="23"/>
      <c r="D51" s="23"/>
      <c r="E51" s="103"/>
      <c r="F51" s="103"/>
      <c r="G51" s="42"/>
      <c r="H51" s="104"/>
      <c r="I51" s="3"/>
      <c r="J51" s="25"/>
      <c r="K51" s="110"/>
      <c r="L51" s="177"/>
    </row>
    <row r="52" spans="1:12" x14ac:dyDescent="0.25">
      <c r="A52" s="24" t="s">
        <v>784</v>
      </c>
      <c r="B52" s="23" t="s">
        <v>810</v>
      </c>
      <c r="C52" s="43">
        <v>11.6</v>
      </c>
      <c r="D52" s="43">
        <v>6.91</v>
      </c>
      <c r="E52" s="103">
        <v>512.86</v>
      </c>
      <c r="F52" s="53">
        <f t="shared" ref="F52:F57" si="42">E52*50%</f>
        <v>256.43</v>
      </c>
      <c r="G52" s="41">
        <f t="shared" ref="G52:G57" si="43">E52+F52</f>
        <v>769.29</v>
      </c>
      <c r="H52" s="53">
        <f t="shared" ref="H52:H57" si="44">G52-(G52*25%)</f>
        <v>576.96749999999997</v>
      </c>
      <c r="I52" s="54">
        <f t="shared" ref="I52:I57" si="45">E52*50%</f>
        <v>256.43</v>
      </c>
      <c r="J52" s="55">
        <f t="shared" ref="J52:J57" si="46">E52+(I52*2)</f>
        <v>1025.72</v>
      </c>
      <c r="K52" s="56">
        <f t="shared" ref="K52:K57" si="47">J52-(J52*25%)</f>
        <v>769.29</v>
      </c>
      <c r="L52" s="177"/>
    </row>
    <row r="53" spans="1:12" x14ac:dyDescent="0.25">
      <c r="A53" s="24" t="s">
        <v>785</v>
      </c>
      <c r="B53" s="23" t="s">
        <v>810</v>
      </c>
      <c r="C53" s="23"/>
      <c r="D53" s="23">
        <v>6.91</v>
      </c>
      <c r="E53" s="103">
        <v>512.86</v>
      </c>
      <c r="F53" s="53">
        <f t="shared" si="42"/>
        <v>256.43</v>
      </c>
      <c r="G53" s="41">
        <f t="shared" si="43"/>
        <v>769.29</v>
      </c>
      <c r="H53" s="53">
        <f t="shared" si="44"/>
        <v>576.96749999999997</v>
      </c>
      <c r="I53" s="54">
        <f t="shared" si="45"/>
        <v>256.43</v>
      </c>
      <c r="J53" s="55">
        <f t="shared" si="46"/>
        <v>1025.72</v>
      </c>
      <c r="K53" s="56">
        <f t="shared" si="47"/>
        <v>769.29</v>
      </c>
      <c r="L53" s="177"/>
    </row>
    <row r="54" spans="1:12" x14ac:dyDescent="0.25">
      <c r="A54" s="24" t="s">
        <v>786</v>
      </c>
      <c r="B54" s="23" t="s">
        <v>1508</v>
      </c>
      <c r="C54" s="43">
        <v>18.84</v>
      </c>
      <c r="D54" s="43">
        <v>6.91</v>
      </c>
      <c r="E54" s="103">
        <v>539.6</v>
      </c>
      <c r="F54" s="53">
        <f t="shared" si="42"/>
        <v>269.8</v>
      </c>
      <c r="G54" s="41">
        <f t="shared" si="43"/>
        <v>809.40000000000009</v>
      </c>
      <c r="H54" s="53">
        <f t="shared" si="44"/>
        <v>607.05000000000007</v>
      </c>
      <c r="I54" s="54">
        <f t="shared" si="45"/>
        <v>269.8</v>
      </c>
      <c r="J54" s="55">
        <f t="shared" si="46"/>
        <v>1079.2</v>
      </c>
      <c r="K54" s="56">
        <f t="shared" si="47"/>
        <v>809.40000000000009</v>
      </c>
      <c r="L54" s="177"/>
    </row>
    <row r="55" spans="1:12" x14ac:dyDescent="0.25">
      <c r="A55" s="24" t="s">
        <v>787</v>
      </c>
      <c r="B55" s="23" t="s">
        <v>1508</v>
      </c>
      <c r="C55" s="23"/>
      <c r="D55" s="23">
        <v>6.91</v>
      </c>
      <c r="E55" s="103">
        <v>539.6</v>
      </c>
      <c r="F55" s="53">
        <f t="shared" si="42"/>
        <v>269.8</v>
      </c>
      <c r="G55" s="41">
        <f t="shared" si="43"/>
        <v>809.40000000000009</v>
      </c>
      <c r="H55" s="53">
        <f t="shared" si="44"/>
        <v>607.05000000000007</v>
      </c>
      <c r="I55" s="54">
        <f t="shared" si="45"/>
        <v>269.8</v>
      </c>
      <c r="J55" s="55">
        <f t="shared" si="46"/>
        <v>1079.2</v>
      </c>
      <c r="K55" s="56">
        <f t="shared" si="47"/>
        <v>809.40000000000009</v>
      </c>
      <c r="L55" s="177"/>
    </row>
    <row r="56" spans="1:12" x14ac:dyDescent="0.25">
      <c r="A56" s="24" t="s">
        <v>788</v>
      </c>
      <c r="B56" s="23" t="s">
        <v>1356</v>
      </c>
      <c r="C56" s="43">
        <v>12</v>
      </c>
      <c r="D56" s="43">
        <v>6.91</v>
      </c>
      <c r="E56" s="103">
        <v>539.6</v>
      </c>
      <c r="F56" s="53">
        <f t="shared" si="42"/>
        <v>269.8</v>
      </c>
      <c r="G56" s="41">
        <f t="shared" si="43"/>
        <v>809.40000000000009</v>
      </c>
      <c r="H56" s="53">
        <f t="shared" si="44"/>
        <v>607.05000000000007</v>
      </c>
      <c r="I56" s="54">
        <f t="shared" si="45"/>
        <v>269.8</v>
      </c>
      <c r="J56" s="55">
        <f t="shared" si="46"/>
        <v>1079.2</v>
      </c>
      <c r="K56" s="56">
        <f t="shared" si="47"/>
        <v>809.40000000000009</v>
      </c>
      <c r="L56" s="177"/>
    </row>
    <row r="57" spans="1:12" x14ac:dyDescent="0.25">
      <c r="A57" s="24" t="s">
        <v>789</v>
      </c>
      <c r="B57" s="23" t="s">
        <v>1357</v>
      </c>
      <c r="C57" s="23"/>
      <c r="D57" s="23">
        <v>6.91</v>
      </c>
      <c r="E57" s="103">
        <v>539.6</v>
      </c>
      <c r="F57" s="53">
        <f t="shared" si="42"/>
        <v>269.8</v>
      </c>
      <c r="G57" s="41">
        <f t="shared" si="43"/>
        <v>809.40000000000009</v>
      </c>
      <c r="H57" s="53">
        <f t="shared" si="44"/>
        <v>607.05000000000007</v>
      </c>
      <c r="I57" s="54">
        <f t="shared" si="45"/>
        <v>269.8</v>
      </c>
      <c r="J57" s="55">
        <f t="shared" si="46"/>
        <v>1079.2</v>
      </c>
      <c r="K57" s="56">
        <f t="shared" si="47"/>
        <v>809.40000000000009</v>
      </c>
      <c r="L57" s="177"/>
    </row>
    <row r="58" spans="1:12" x14ac:dyDescent="0.25">
      <c r="A58" s="355" t="s">
        <v>1327</v>
      </c>
      <c r="B58" s="356"/>
      <c r="C58" s="123"/>
      <c r="D58" s="27">
        <f>SUM(D3:D57)</f>
        <v>334.2200000000002</v>
      </c>
      <c r="E58" s="27"/>
      <c r="F58" s="27"/>
      <c r="G58" s="262"/>
      <c r="H58" s="28"/>
      <c r="I58" s="28"/>
      <c r="J58" s="27">
        <f>SUM(J3:J57)</f>
        <v>48620.124999999985</v>
      </c>
      <c r="K58" s="27">
        <f>SUM(K3:K57)</f>
        <v>36465.093750000022</v>
      </c>
      <c r="L58" s="177"/>
    </row>
  </sheetData>
  <mergeCells count="1">
    <mergeCell ref="A58:B58"/>
  </mergeCells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zoomScaleNormal="100" workbookViewId="0">
      <pane xSplit="2" ySplit="2" topLeftCell="C81" activePane="bottomRight" state="frozen"/>
      <selection pane="topRight" activeCell="C1" sqref="C1"/>
      <selection pane="bottomLeft" activeCell="A3" sqref="A3"/>
      <selection pane="bottomRight" activeCell="J107" sqref="J107"/>
    </sheetView>
  </sheetViews>
  <sheetFormatPr defaultRowHeight="15.75" x14ac:dyDescent="0.25"/>
  <cols>
    <col min="1" max="1" width="8.5703125" style="31" customWidth="1"/>
    <col min="2" max="2" width="29.42578125" style="66" customWidth="1"/>
    <col min="3" max="3" width="11.28515625" style="31" customWidth="1"/>
    <col min="4" max="5" width="12.7109375" style="31" customWidth="1"/>
    <col min="6" max="6" width="11.140625" style="31" customWidth="1"/>
    <col min="7" max="7" width="12.7109375" style="124" customWidth="1"/>
    <col min="8" max="8" width="12.7109375" style="96" customWidth="1"/>
    <col min="9" max="9" width="12.140625" style="102" customWidth="1"/>
    <col min="10" max="10" width="12.7109375" style="92" customWidth="1"/>
    <col min="11" max="11" width="12.7109375" style="97" customWidth="1"/>
    <col min="12" max="12" width="12.7109375" customWidth="1"/>
  </cols>
  <sheetData>
    <row r="1" spans="1:12" x14ac:dyDescent="0.25">
      <c r="B1" s="39" t="s">
        <v>831</v>
      </c>
    </row>
    <row r="2" spans="1:12" s="18" customFormat="1" ht="45" x14ac:dyDescent="0.25">
      <c r="A2" s="13" t="s">
        <v>1705</v>
      </c>
      <c r="B2" s="73" t="s">
        <v>1847</v>
      </c>
      <c r="C2" s="13" t="s">
        <v>1874</v>
      </c>
      <c r="D2" s="13" t="s">
        <v>1875</v>
      </c>
      <c r="E2" s="17" t="s">
        <v>1876</v>
      </c>
      <c r="F2" s="70" t="s">
        <v>1877</v>
      </c>
      <c r="G2" s="71" t="s">
        <v>1878</v>
      </c>
      <c r="H2" s="15" t="s">
        <v>1895</v>
      </c>
      <c r="I2" s="72" t="s">
        <v>1880</v>
      </c>
      <c r="J2" s="16" t="s">
        <v>1881</v>
      </c>
      <c r="K2" s="16" t="s">
        <v>1612</v>
      </c>
      <c r="L2" s="13" t="s">
        <v>1964</v>
      </c>
    </row>
    <row r="3" spans="1:12" s="10" customFormat="1" x14ac:dyDescent="0.25">
      <c r="A3" s="119" t="s">
        <v>0</v>
      </c>
      <c r="B3" s="23" t="s">
        <v>1706</v>
      </c>
      <c r="C3" s="121">
        <v>8</v>
      </c>
      <c r="D3" s="121">
        <v>4</v>
      </c>
      <c r="E3" s="122">
        <v>890.16</v>
      </c>
      <c r="F3" s="53">
        <f t="shared" ref="F3:F6" si="0">E3*50%</f>
        <v>445.08</v>
      </c>
      <c r="G3" s="41">
        <f t="shared" ref="G3:G6" si="1">E3+F3</f>
        <v>1335.24</v>
      </c>
      <c r="H3" s="53">
        <f t="shared" ref="H3:H6" si="2">G3-(G3*25%)</f>
        <v>1001.4300000000001</v>
      </c>
      <c r="I3" s="54">
        <f t="shared" ref="I3:I6" si="3">E3*50%</f>
        <v>445.08</v>
      </c>
      <c r="J3" s="55">
        <f t="shared" ref="J3:J6" si="4">E3+(I3*2)</f>
        <v>1780.32</v>
      </c>
      <c r="K3" s="56">
        <f t="shared" ref="K3:K6" si="5">J3-(J3*25%)</f>
        <v>1335.24</v>
      </c>
      <c r="L3" s="182"/>
    </row>
    <row r="4" spans="1:12" x14ac:dyDescent="0.25">
      <c r="A4" s="24" t="s">
        <v>2</v>
      </c>
      <c r="B4" s="23" t="s">
        <v>1707</v>
      </c>
      <c r="C4" s="125"/>
      <c r="D4" s="43">
        <v>4</v>
      </c>
      <c r="E4" s="103">
        <v>890.16</v>
      </c>
      <c r="F4" s="53">
        <f t="shared" si="0"/>
        <v>445.08</v>
      </c>
      <c r="G4" s="41">
        <f t="shared" si="1"/>
        <v>1335.24</v>
      </c>
      <c r="H4" s="53">
        <f t="shared" si="2"/>
        <v>1001.4300000000001</v>
      </c>
      <c r="I4" s="54">
        <f t="shared" si="3"/>
        <v>445.08</v>
      </c>
      <c r="J4" s="55">
        <f t="shared" si="4"/>
        <v>1780.32</v>
      </c>
      <c r="K4" s="56">
        <f t="shared" si="5"/>
        <v>1335.24</v>
      </c>
      <c r="L4" s="177"/>
    </row>
    <row r="5" spans="1:12" x14ac:dyDescent="0.25">
      <c r="A5" s="24" t="s">
        <v>3</v>
      </c>
      <c r="B5" s="23" t="s">
        <v>1856</v>
      </c>
      <c r="C5" s="43">
        <v>12</v>
      </c>
      <c r="D5" s="43">
        <v>4</v>
      </c>
      <c r="E5" s="103">
        <v>890.16</v>
      </c>
      <c r="F5" s="53">
        <f t="shared" si="0"/>
        <v>445.08</v>
      </c>
      <c r="G5" s="41">
        <f t="shared" si="1"/>
        <v>1335.24</v>
      </c>
      <c r="H5" s="53">
        <f t="shared" si="2"/>
        <v>1001.4300000000001</v>
      </c>
      <c r="I5" s="54">
        <f t="shared" si="3"/>
        <v>445.08</v>
      </c>
      <c r="J5" s="55">
        <f t="shared" si="4"/>
        <v>1780.32</v>
      </c>
      <c r="K5" s="56">
        <f t="shared" si="5"/>
        <v>1335.24</v>
      </c>
      <c r="L5" s="177"/>
    </row>
    <row r="6" spans="1:12" x14ac:dyDescent="0.25">
      <c r="A6" s="24" t="s">
        <v>5</v>
      </c>
      <c r="B6" s="23" t="s">
        <v>1856</v>
      </c>
      <c r="C6" s="30"/>
      <c r="D6" s="99">
        <v>4</v>
      </c>
      <c r="E6" s="126">
        <v>890.16</v>
      </c>
      <c r="F6" s="53">
        <f t="shared" si="0"/>
        <v>445.08</v>
      </c>
      <c r="G6" s="41">
        <f t="shared" si="1"/>
        <v>1335.24</v>
      </c>
      <c r="H6" s="53">
        <f t="shared" si="2"/>
        <v>1001.4300000000001</v>
      </c>
      <c r="I6" s="54">
        <f t="shared" si="3"/>
        <v>445.08</v>
      </c>
      <c r="J6" s="55">
        <f t="shared" si="4"/>
        <v>1780.32</v>
      </c>
      <c r="K6" s="56">
        <f t="shared" si="5"/>
        <v>1335.24</v>
      </c>
      <c r="L6" s="177"/>
    </row>
    <row r="7" spans="1:12" x14ac:dyDescent="0.25">
      <c r="A7" s="24"/>
      <c r="B7" s="23"/>
      <c r="C7" s="30"/>
      <c r="D7" s="30"/>
      <c r="E7" s="30"/>
      <c r="F7" s="42"/>
      <c r="G7" s="104"/>
      <c r="H7" s="3"/>
      <c r="I7" s="25"/>
      <c r="J7" s="106"/>
      <c r="K7" s="110"/>
      <c r="L7" s="177"/>
    </row>
    <row r="8" spans="1:12" x14ac:dyDescent="0.25">
      <c r="A8" s="24" t="s">
        <v>9</v>
      </c>
      <c r="B8" s="23" t="s">
        <v>1493</v>
      </c>
      <c r="C8" s="43">
        <v>8</v>
      </c>
      <c r="D8" s="43">
        <v>4</v>
      </c>
      <c r="E8" s="103">
        <v>890.16</v>
      </c>
      <c r="F8" s="53">
        <f t="shared" ref="F8:F26" si="6">E8*50%</f>
        <v>445.08</v>
      </c>
      <c r="G8" s="41">
        <f t="shared" ref="G8:G11" si="7">E8+F8</f>
        <v>1335.24</v>
      </c>
      <c r="H8" s="53">
        <f t="shared" ref="H8:H11" si="8">G8-(G8*25%)</f>
        <v>1001.4300000000001</v>
      </c>
      <c r="I8" s="54">
        <f t="shared" ref="I8:I11" si="9">E8*50%</f>
        <v>445.08</v>
      </c>
      <c r="J8" s="55">
        <f t="shared" ref="J8:J11" si="10">E8+(I8*2)</f>
        <v>1780.32</v>
      </c>
      <c r="K8" s="56">
        <f t="shared" ref="K8:K11" si="11">J8-(J8*25%)</f>
        <v>1335.24</v>
      </c>
      <c r="L8" s="177"/>
    </row>
    <row r="9" spans="1:12" x14ac:dyDescent="0.25">
      <c r="A9" s="24" t="s">
        <v>10</v>
      </c>
      <c r="B9" s="23" t="s">
        <v>1493</v>
      </c>
      <c r="C9" s="43">
        <v>4</v>
      </c>
      <c r="D9" s="43">
        <v>4</v>
      </c>
      <c r="E9" s="103">
        <v>890.16</v>
      </c>
      <c r="F9" s="53">
        <f t="shared" si="6"/>
        <v>445.08</v>
      </c>
      <c r="G9" s="41">
        <f t="shared" si="7"/>
        <v>1335.24</v>
      </c>
      <c r="H9" s="53">
        <f t="shared" si="8"/>
        <v>1001.4300000000001</v>
      </c>
      <c r="I9" s="54">
        <f t="shared" si="9"/>
        <v>445.08</v>
      </c>
      <c r="J9" s="55">
        <f t="shared" si="10"/>
        <v>1780.32</v>
      </c>
      <c r="K9" s="56">
        <f t="shared" si="11"/>
        <v>1335.24</v>
      </c>
      <c r="L9" s="177"/>
    </row>
    <row r="10" spans="1:12" x14ac:dyDescent="0.25">
      <c r="A10" s="24" t="s">
        <v>11</v>
      </c>
      <c r="B10" s="23" t="s">
        <v>1553</v>
      </c>
      <c r="C10" s="43">
        <v>4</v>
      </c>
      <c r="D10" s="43">
        <v>4</v>
      </c>
      <c r="E10" s="103">
        <v>890.16</v>
      </c>
      <c r="F10" s="53">
        <f t="shared" si="6"/>
        <v>445.08</v>
      </c>
      <c r="G10" s="41">
        <f t="shared" si="7"/>
        <v>1335.24</v>
      </c>
      <c r="H10" s="53">
        <f t="shared" si="8"/>
        <v>1001.4300000000001</v>
      </c>
      <c r="I10" s="54">
        <f t="shared" si="9"/>
        <v>445.08</v>
      </c>
      <c r="J10" s="55">
        <f t="shared" si="10"/>
        <v>1780.32</v>
      </c>
      <c r="K10" s="56">
        <f t="shared" si="11"/>
        <v>1335.24</v>
      </c>
      <c r="L10" s="177"/>
    </row>
    <row r="11" spans="1:12" x14ac:dyDescent="0.25">
      <c r="A11" s="24" t="s">
        <v>12</v>
      </c>
      <c r="B11" s="23" t="s">
        <v>1590</v>
      </c>
      <c r="C11" s="43">
        <v>4</v>
      </c>
      <c r="D11" s="43">
        <v>4</v>
      </c>
      <c r="E11" s="103">
        <v>890.16</v>
      </c>
      <c r="F11" s="53">
        <f t="shared" si="6"/>
        <v>445.08</v>
      </c>
      <c r="G11" s="41">
        <f t="shared" si="7"/>
        <v>1335.24</v>
      </c>
      <c r="H11" s="53">
        <f t="shared" si="8"/>
        <v>1001.4300000000001</v>
      </c>
      <c r="I11" s="54">
        <f t="shared" si="9"/>
        <v>445.08</v>
      </c>
      <c r="J11" s="55">
        <f t="shared" si="10"/>
        <v>1780.32</v>
      </c>
      <c r="K11" s="56">
        <f t="shared" si="11"/>
        <v>1335.24</v>
      </c>
      <c r="L11" s="177"/>
    </row>
    <row r="12" spans="1:12" x14ac:dyDescent="0.25">
      <c r="A12" s="24"/>
      <c r="B12" s="23"/>
      <c r="C12" s="43"/>
      <c r="D12" s="43"/>
      <c r="E12" s="103"/>
      <c r="F12" s="42"/>
      <c r="G12" s="104"/>
      <c r="H12" s="3"/>
      <c r="I12" s="25"/>
      <c r="J12" s="106"/>
      <c r="K12" s="110"/>
      <c r="L12" s="177"/>
    </row>
    <row r="13" spans="1:12" x14ac:dyDescent="0.25">
      <c r="A13" s="24" t="s">
        <v>21</v>
      </c>
      <c r="B13" s="23" t="s">
        <v>2126</v>
      </c>
      <c r="C13" s="43">
        <v>4</v>
      </c>
      <c r="D13" s="43">
        <v>4</v>
      </c>
      <c r="E13" s="103">
        <v>890.16</v>
      </c>
      <c r="F13" s="42">
        <f t="shared" si="6"/>
        <v>445.08</v>
      </c>
      <c r="G13" s="41">
        <f t="shared" ref="G13:G16" si="12">E13+F13</f>
        <v>1335.24</v>
      </c>
      <c r="H13" s="53">
        <f t="shared" ref="H13:H16" si="13">G13-(G13*25%)</f>
        <v>1001.4300000000001</v>
      </c>
      <c r="I13" s="54">
        <f t="shared" ref="I13:I16" si="14">E13*50%</f>
        <v>445.08</v>
      </c>
      <c r="J13" s="55">
        <f t="shared" ref="J13:J16" si="15">E13+(I13*2)</f>
        <v>1780.32</v>
      </c>
      <c r="K13" s="56">
        <f t="shared" ref="K13:K16" si="16">J13-(J13*25%)</f>
        <v>1335.24</v>
      </c>
      <c r="L13" s="177"/>
    </row>
    <row r="14" spans="1:12" x14ac:dyDescent="0.25">
      <c r="A14" s="24" t="s">
        <v>22</v>
      </c>
      <c r="B14" s="23" t="s">
        <v>2126</v>
      </c>
      <c r="C14" s="43">
        <v>4</v>
      </c>
      <c r="D14" s="43">
        <v>4</v>
      </c>
      <c r="E14" s="103">
        <v>890.16</v>
      </c>
      <c r="F14" s="42">
        <f t="shared" si="6"/>
        <v>445.08</v>
      </c>
      <c r="G14" s="41">
        <f t="shared" si="12"/>
        <v>1335.24</v>
      </c>
      <c r="H14" s="53">
        <f t="shared" si="13"/>
        <v>1001.4300000000001</v>
      </c>
      <c r="I14" s="54">
        <f t="shared" si="14"/>
        <v>445.08</v>
      </c>
      <c r="J14" s="55">
        <f t="shared" si="15"/>
        <v>1780.32</v>
      </c>
      <c r="K14" s="56">
        <f t="shared" si="16"/>
        <v>1335.24</v>
      </c>
      <c r="L14" s="177"/>
    </row>
    <row r="15" spans="1:12" x14ac:dyDescent="0.25">
      <c r="A15" s="24" t="s">
        <v>23</v>
      </c>
      <c r="B15" s="23" t="s">
        <v>2180</v>
      </c>
      <c r="C15" s="43">
        <v>4</v>
      </c>
      <c r="D15" s="43">
        <v>4</v>
      </c>
      <c r="E15" s="103">
        <v>890.16</v>
      </c>
      <c r="F15" s="42">
        <f t="shared" si="6"/>
        <v>445.08</v>
      </c>
      <c r="G15" s="41">
        <f t="shared" si="12"/>
        <v>1335.24</v>
      </c>
      <c r="H15" s="53">
        <f t="shared" si="13"/>
        <v>1001.4300000000001</v>
      </c>
      <c r="I15" s="54">
        <f t="shared" si="14"/>
        <v>445.08</v>
      </c>
      <c r="J15" s="55">
        <f t="shared" si="15"/>
        <v>1780.32</v>
      </c>
      <c r="K15" s="56">
        <f t="shared" si="16"/>
        <v>1335.24</v>
      </c>
      <c r="L15" s="177"/>
    </row>
    <row r="16" spans="1:12" x14ac:dyDescent="0.25">
      <c r="A16" s="24" t="s">
        <v>24</v>
      </c>
      <c r="B16" s="23" t="s">
        <v>814</v>
      </c>
      <c r="C16" s="43">
        <v>4</v>
      </c>
      <c r="D16" s="43">
        <v>4</v>
      </c>
      <c r="E16" s="103">
        <v>890.16</v>
      </c>
      <c r="F16" s="42">
        <f t="shared" si="6"/>
        <v>445.08</v>
      </c>
      <c r="G16" s="41">
        <f t="shared" si="12"/>
        <v>1335.24</v>
      </c>
      <c r="H16" s="53">
        <f t="shared" si="13"/>
        <v>1001.4300000000001</v>
      </c>
      <c r="I16" s="54">
        <f t="shared" si="14"/>
        <v>445.08</v>
      </c>
      <c r="J16" s="55">
        <f t="shared" si="15"/>
        <v>1780.32</v>
      </c>
      <c r="K16" s="56">
        <f t="shared" si="16"/>
        <v>1335.24</v>
      </c>
      <c r="L16" s="177"/>
    </row>
    <row r="17" spans="1:12" x14ac:dyDescent="0.25">
      <c r="A17" s="24"/>
      <c r="B17" s="23"/>
      <c r="C17" s="43"/>
      <c r="D17" s="43"/>
      <c r="E17" s="103"/>
      <c r="F17" s="42"/>
      <c r="G17" s="104"/>
      <c r="H17" s="3"/>
      <c r="I17" s="25"/>
      <c r="J17" s="106"/>
      <c r="K17" s="110"/>
      <c r="L17" s="177"/>
    </row>
    <row r="18" spans="1:12" x14ac:dyDescent="0.25">
      <c r="A18" s="24" t="s">
        <v>37</v>
      </c>
      <c r="B18" s="23" t="s">
        <v>2255</v>
      </c>
      <c r="C18" s="43">
        <v>4</v>
      </c>
      <c r="D18" s="43">
        <v>4</v>
      </c>
      <c r="E18" s="103">
        <v>890.16</v>
      </c>
      <c r="F18" s="42">
        <f t="shared" si="6"/>
        <v>445.08</v>
      </c>
      <c r="G18" s="41">
        <f t="shared" ref="G18:G21" si="17">E18+F18</f>
        <v>1335.24</v>
      </c>
      <c r="H18" s="53">
        <f t="shared" ref="H18:H21" si="18">G18-(G18*25%)</f>
        <v>1001.4300000000001</v>
      </c>
      <c r="I18" s="54">
        <f t="shared" ref="I18:I21" si="19">E18*50%</f>
        <v>445.08</v>
      </c>
      <c r="J18" s="55">
        <f t="shared" ref="J18:J21" si="20">E18+(I18*2)</f>
        <v>1780.32</v>
      </c>
      <c r="K18" s="56">
        <f t="shared" ref="K18:K21" si="21">J18-(J18*25%)</f>
        <v>1335.24</v>
      </c>
      <c r="L18" s="177"/>
    </row>
    <row r="19" spans="1:12" x14ac:dyDescent="0.25">
      <c r="A19" s="24" t="s">
        <v>39</v>
      </c>
      <c r="B19" s="23" t="s">
        <v>1621</v>
      </c>
      <c r="C19" s="43">
        <v>4</v>
      </c>
      <c r="D19" s="43">
        <v>4</v>
      </c>
      <c r="E19" s="103">
        <v>890.16</v>
      </c>
      <c r="F19" s="42">
        <f t="shared" si="6"/>
        <v>445.08</v>
      </c>
      <c r="G19" s="41">
        <f t="shared" si="17"/>
        <v>1335.24</v>
      </c>
      <c r="H19" s="53">
        <f t="shared" si="18"/>
        <v>1001.4300000000001</v>
      </c>
      <c r="I19" s="54">
        <f t="shared" si="19"/>
        <v>445.08</v>
      </c>
      <c r="J19" s="55">
        <f t="shared" si="20"/>
        <v>1780.32</v>
      </c>
      <c r="K19" s="56">
        <f t="shared" si="21"/>
        <v>1335.24</v>
      </c>
      <c r="L19" s="177"/>
    </row>
    <row r="20" spans="1:12" x14ac:dyDescent="0.25">
      <c r="A20" s="24" t="s">
        <v>40</v>
      </c>
      <c r="B20" s="23" t="s">
        <v>2255</v>
      </c>
      <c r="C20" s="43">
        <v>4</v>
      </c>
      <c r="D20" s="43">
        <v>4</v>
      </c>
      <c r="E20" s="103">
        <v>890.16</v>
      </c>
      <c r="F20" s="42">
        <f t="shared" si="6"/>
        <v>445.08</v>
      </c>
      <c r="G20" s="41">
        <f t="shared" si="17"/>
        <v>1335.24</v>
      </c>
      <c r="H20" s="53">
        <f t="shared" si="18"/>
        <v>1001.4300000000001</v>
      </c>
      <c r="I20" s="54">
        <f t="shared" si="19"/>
        <v>445.08</v>
      </c>
      <c r="J20" s="55">
        <f t="shared" si="20"/>
        <v>1780.32</v>
      </c>
      <c r="K20" s="56">
        <f t="shared" si="21"/>
        <v>1335.24</v>
      </c>
      <c r="L20" s="177"/>
    </row>
    <row r="21" spans="1:12" x14ac:dyDescent="0.25">
      <c r="A21" s="24" t="s">
        <v>42</v>
      </c>
      <c r="B21" s="23" t="s">
        <v>2254</v>
      </c>
      <c r="C21" s="43">
        <v>4</v>
      </c>
      <c r="D21" s="43">
        <v>4</v>
      </c>
      <c r="E21" s="103">
        <v>890.16</v>
      </c>
      <c r="F21" s="42">
        <f t="shared" si="6"/>
        <v>445.08</v>
      </c>
      <c r="G21" s="41">
        <f t="shared" si="17"/>
        <v>1335.24</v>
      </c>
      <c r="H21" s="53">
        <f t="shared" si="18"/>
        <v>1001.4300000000001</v>
      </c>
      <c r="I21" s="54">
        <f t="shared" si="19"/>
        <v>445.08</v>
      </c>
      <c r="J21" s="55">
        <f t="shared" si="20"/>
        <v>1780.32</v>
      </c>
      <c r="K21" s="56">
        <f t="shared" si="21"/>
        <v>1335.24</v>
      </c>
      <c r="L21" s="177"/>
    </row>
    <row r="22" spans="1:12" x14ac:dyDescent="0.25">
      <c r="A22" s="24"/>
      <c r="B22" s="23"/>
      <c r="C22" s="43"/>
      <c r="D22" s="43"/>
      <c r="E22" s="103"/>
      <c r="F22" s="42"/>
      <c r="G22" s="104"/>
      <c r="H22" s="3"/>
      <c r="I22" s="25"/>
      <c r="J22" s="106"/>
      <c r="K22" s="110"/>
      <c r="L22" s="177"/>
    </row>
    <row r="23" spans="1:12" x14ac:dyDescent="0.25">
      <c r="A23" s="24" t="s">
        <v>49</v>
      </c>
      <c r="B23" s="23" t="s">
        <v>1860</v>
      </c>
      <c r="C23" s="43">
        <v>4</v>
      </c>
      <c r="D23" s="43">
        <v>4</v>
      </c>
      <c r="E23" s="103">
        <v>890.16</v>
      </c>
      <c r="F23" s="48">
        <f t="shared" si="6"/>
        <v>445.08</v>
      </c>
      <c r="G23" s="41">
        <f t="shared" ref="G23:G26" si="22">E23+F23</f>
        <v>1335.24</v>
      </c>
      <c r="H23" s="53">
        <f t="shared" ref="H23:H26" si="23">G23-(G23*25%)</f>
        <v>1001.4300000000001</v>
      </c>
      <c r="I23" s="54">
        <f t="shared" ref="I23:I26" si="24">E23*50%</f>
        <v>445.08</v>
      </c>
      <c r="J23" s="55">
        <f t="shared" ref="J23:J26" si="25">E23+(I23*2)</f>
        <v>1780.32</v>
      </c>
      <c r="K23" s="56">
        <f t="shared" ref="K23:K26" si="26">J23-(J23*25%)</f>
        <v>1335.24</v>
      </c>
      <c r="L23" s="177"/>
    </row>
    <row r="24" spans="1:12" x14ac:dyDescent="0.25">
      <c r="A24" s="24" t="s">
        <v>50</v>
      </c>
      <c r="B24" s="23" t="s">
        <v>1941</v>
      </c>
      <c r="C24" s="43">
        <v>4</v>
      </c>
      <c r="D24" s="43">
        <v>4</v>
      </c>
      <c r="E24" s="103">
        <v>890.16</v>
      </c>
      <c r="F24" s="48">
        <f t="shared" si="6"/>
        <v>445.08</v>
      </c>
      <c r="G24" s="41">
        <f t="shared" si="22"/>
        <v>1335.24</v>
      </c>
      <c r="H24" s="53">
        <f t="shared" si="23"/>
        <v>1001.4300000000001</v>
      </c>
      <c r="I24" s="54">
        <f t="shared" si="24"/>
        <v>445.08</v>
      </c>
      <c r="J24" s="55">
        <f t="shared" si="25"/>
        <v>1780.32</v>
      </c>
      <c r="K24" s="56">
        <f t="shared" si="26"/>
        <v>1335.24</v>
      </c>
      <c r="L24" s="177"/>
    </row>
    <row r="25" spans="1:12" x14ac:dyDescent="0.25">
      <c r="A25" s="24" t="s">
        <v>51</v>
      </c>
      <c r="B25" s="23" t="s">
        <v>1424</v>
      </c>
      <c r="C25" s="43">
        <v>8</v>
      </c>
      <c r="D25" s="43">
        <v>4</v>
      </c>
      <c r="E25" s="103">
        <v>890.16</v>
      </c>
      <c r="F25" s="48">
        <f t="shared" si="6"/>
        <v>445.08</v>
      </c>
      <c r="G25" s="41">
        <f t="shared" si="22"/>
        <v>1335.24</v>
      </c>
      <c r="H25" s="53">
        <f t="shared" si="23"/>
        <v>1001.4300000000001</v>
      </c>
      <c r="I25" s="54">
        <f t="shared" si="24"/>
        <v>445.08</v>
      </c>
      <c r="J25" s="55">
        <f t="shared" si="25"/>
        <v>1780.32</v>
      </c>
      <c r="K25" s="56">
        <f t="shared" si="26"/>
        <v>1335.24</v>
      </c>
      <c r="L25" s="177"/>
    </row>
    <row r="26" spans="1:12" x14ac:dyDescent="0.25">
      <c r="A26" s="24" t="s">
        <v>53</v>
      </c>
      <c r="B26" s="23" t="s">
        <v>1424</v>
      </c>
      <c r="C26" s="43"/>
      <c r="D26" s="43">
        <v>4</v>
      </c>
      <c r="E26" s="103">
        <v>890.16</v>
      </c>
      <c r="F26" s="48">
        <f t="shared" si="6"/>
        <v>445.08</v>
      </c>
      <c r="G26" s="41">
        <f t="shared" si="22"/>
        <v>1335.24</v>
      </c>
      <c r="H26" s="53">
        <f t="shared" si="23"/>
        <v>1001.4300000000001</v>
      </c>
      <c r="I26" s="54">
        <f t="shared" si="24"/>
        <v>445.08</v>
      </c>
      <c r="J26" s="55">
        <f t="shared" si="25"/>
        <v>1780.32</v>
      </c>
      <c r="K26" s="56">
        <f t="shared" si="26"/>
        <v>1335.24</v>
      </c>
      <c r="L26" s="177"/>
    </row>
    <row r="27" spans="1:12" x14ac:dyDescent="0.25">
      <c r="A27" s="24"/>
      <c r="B27" s="23"/>
      <c r="C27" s="43"/>
      <c r="D27" s="43"/>
      <c r="E27" s="103"/>
      <c r="F27" s="42"/>
      <c r="G27" s="104"/>
      <c r="H27" s="3"/>
      <c r="I27" s="25"/>
      <c r="J27" s="106"/>
      <c r="K27" s="110"/>
      <c r="L27" s="177"/>
    </row>
    <row r="28" spans="1:12" x14ac:dyDescent="0.25">
      <c r="A28" s="24" t="s">
        <v>69</v>
      </c>
      <c r="B28" s="23" t="s">
        <v>815</v>
      </c>
      <c r="C28" s="43">
        <v>4</v>
      </c>
      <c r="D28" s="43">
        <v>4</v>
      </c>
      <c r="E28" s="103">
        <v>890.16</v>
      </c>
      <c r="F28" s="48">
        <f t="shared" ref="F28:F31" si="27">E28*50%</f>
        <v>445.08</v>
      </c>
      <c r="G28" s="41">
        <f t="shared" ref="G28:G31" si="28">E28+F28</f>
        <v>1335.24</v>
      </c>
      <c r="H28" s="53">
        <f t="shared" ref="H28:H31" si="29">G28-(G28*25%)</f>
        <v>1001.4300000000001</v>
      </c>
      <c r="I28" s="54">
        <f t="shared" ref="I28:I31" si="30">E28*50%</f>
        <v>445.08</v>
      </c>
      <c r="J28" s="55">
        <f t="shared" ref="J28:J31" si="31">E28+(I28*2)</f>
        <v>1780.32</v>
      </c>
      <c r="K28" s="56">
        <f t="shared" ref="K28:K31" si="32">J28-(J28*25%)</f>
        <v>1335.24</v>
      </c>
      <c r="L28" s="177"/>
    </row>
    <row r="29" spans="1:12" x14ac:dyDescent="0.25">
      <c r="A29" s="24" t="s">
        <v>70</v>
      </c>
      <c r="B29" s="23" t="s">
        <v>2087</v>
      </c>
      <c r="C29" s="43">
        <v>4</v>
      </c>
      <c r="D29" s="43">
        <v>4</v>
      </c>
      <c r="E29" s="103">
        <v>890.16</v>
      </c>
      <c r="F29" s="48">
        <f t="shared" si="27"/>
        <v>445.08</v>
      </c>
      <c r="G29" s="41">
        <f t="shared" si="28"/>
        <v>1335.24</v>
      </c>
      <c r="H29" s="53">
        <f t="shared" si="29"/>
        <v>1001.4300000000001</v>
      </c>
      <c r="I29" s="54">
        <f t="shared" si="30"/>
        <v>445.08</v>
      </c>
      <c r="J29" s="55">
        <f t="shared" si="31"/>
        <v>1780.32</v>
      </c>
      <c r="K29" s="56">
        <f t="shared" si="32"/>
        <v>1335.24</v>
      </c>
      <c r="L29" s="177"/>
    </row>
    <row r="30" spans="1:12" x14ac:dyDescent="0.25">
      <c r="A30" s="24" t="s">
        <v>71</v>
      </c>
      <c r="B30" s="23" t="s">
        <v>2088</v>
      </c>
      <c r="C30" s="43">
        <v>4</v>
      </c>
      <c r="D30" s="43">
        <v>4</v>
      </c>
      <c r="E30" s="103">
        <v>890.16</v>
      </c>
      <c r="F30" s="48">
        <f t="shared" si="27"/>
        <v>445.08</v>
      </c>
      <c r="G30" s="41">
        <f t="shared" si="28"/>
        <v>1335.24</v>
      </c>
      <c r="H30" s="53">
        <f t="shared" si="29"/>
        <v>1001.4300000000001</v>
      </c>
      <c r="I30" s="54">
        <f t="shared" si="30"/>
        <v>445.08</v>
      </c>
      <c r="J30" s="55">
        <f t="shared" si="31"/>
        <v>1780.32</v>
      </c>
      <c r="K30" s="56">
        <f t="shared" si="32"/>
        <v>1335.24</v>
      </c>
      <c r="L30" s="177"/>
    </row>
    <row r="31" spans="1:12" x14ac:dyDescent="0.25">
      <c r="A31" s="24" t="s">
        <v>72</v>
      </c>
      <c r="B31" s="23" t="s">
        <v>1845</v>
      </c>
      <c r="C31" s="43">
        <v>4</v>
      </c>
      <c r="D31" s="43">
        <v>4</v>
      </c>
      <c r="E31" s="103">
        <v>890.16</v>
      </c>
      <c r="F31" s="48">
        <f t="shared" si="27"/>
        <v>445.08</v>
      </c>
      <c r="G31" s="41">
        <f t="shared" si="28"/>
        <v>1335.24</v>
      </c>
      <c r="H31" s="53">
        <f t="shared" si="29"/>
        <v>1001.4300000000001</v>
      </c>
      <c r="I31" s="54">
        <f t="shared" si="30"/>
        <v>445.08</v>
      </c>
      <c r="J31" s="55">
        <f t="shared" si="31"/>
        <v>1780.32</v>
      </c>
      <c r="K31" s="56">
        <f t="shared" si="32"/>
        <v>1335.24</v>
      </c>
      <c r="L31" s="177"/>
    </row>
    <row r="32" spans="1:12" x14ac:dyDescent="0.25">
      <c r="A32" s="24"/>
      <c r="B32" s="23"/>
      <c r="C32" s="43"/>
      <c r="D32" s="43"/>
      <c r="E32" s="103"/>
      <c r="F32" s="42"/>
      <c r="G32" s="104"/>
      <c r="H32" s="3"/>
      <c r="I32" s="25"/>
      <c r="J32" s="106"/>
      <c r="K32" s="110"/>
      <c r="L32" s="177"/>
    </row>
    <row r="33" spans="1:12" x14ac:dyDescent="0.25">
      <c r="A33" s="24" t="s">
        <v>87</v>
      </c>
      <c r="B33" s="23" t="s">
        <v>816</v>
      </c>
      <c r="C33" s="43">
        <v>4</v>
      </c>
      <c r="D33" s="43">
        <v>4</v>
      </c>
      <c r="E33" s="103">
        <v>890.16</v>
      </c>
      <c r="F33" s="48">
        <f t="shared" ref="F33:F46" si="33">E33*50%</f>
        <v>445.08</v>
      </c>
      <c r="G33" s="41">
        <f t="shared" ref="G33:G36" si="34">E33+F33</f>
        <v>1335.24</v>
      </c>
      <c r="H33" s="53">
        <f t="shared" ref="H33:H36" si="35">G33-(G33*25%)</f>
        <v>1001.4300000000001</v>
      </c>
      <c r="I33" s="54">
        <f t="shared" ref="I33:I36" si="36">E33*50%</f>
        <v>445.08</v>
      </c>
      <c r="J33" s="55">
        <f t="shared" ref="J33:J36" si="37">E33+(I33*2)</f>
        <v>1780.32</v>
      </c>
      <c r="K33" s="56">
        <f t="shared" ref="K33:K36" si="38">J33-(J33*25%)</f>
        <v>1335.24</v>
      </c>
      <c r="L33" s="177"/>
    </row>
    <row r="34" spans="1:12" x14ac:dyDescent="0.25">
      <c r="A34" s="24" t="s">
        <v>88</v>
      </c>
      <c r="B34" s="23" t="s">
        <v>817</v>
      </c>
      <c r="C34" s="43">
        <v>4</v>
      </c>
      <c r="D34" s="43">
        <v>4</v>
      </c>
      <c r="E34" s="103">
        <v>890.16</v>
      </c>
      <c r="F34" s="48">
        <f t="shared" si="33"/>
        <v>445.08</v>
      </c>
      <c r="G34" s="41">
        <f t="shared" si="34"/>
        <v>1335.24</v>
      </c>
      <c r="H34" s="53">
        <f t="shared" si="35"/>
        <v>1001.4300000000001</v>
      </c>
      <c r="I34" s="54">
        <f t="shared" si="36"/>
        <v>445.08</v>
      </c>
      <c r="J34" s="55">
        <f t="shared" si="37"/>
        <v>1780.32</v>
      </c>
      <c r="K34" s="56">
        <f t="shared" si="38"/>
        <v>1335.24</v>
      </c>
      <c r="L34" s="177"/>
    </row>
    <row r="35" spans="1:12" x14ac:dyDescent="0.25">
      <c r="A35" s="24" t="s">
        <v>90</v>
      </c>
      <c r="B35" s="23" t="s">
        <v>818</v>
      </c>
      <c r="C35" s="43">
        <v>4</v>
      </c>
      <c r="D35" s="43">
        <v>4</v>
      </c>
      <c r="E35" s="103">
        <v>890.16</v>
      </c>
      <c r="F35" s="48">
        <f t="shared" si="33"/>
        <v>445.08</v>
      </c>
      <c r="G35" s="41">
        <f t="shared" si="34"/>
        <v>1335.24</v>
      </c>
      <c r="H35" s="53">
        <f t="shared" si="35"/>
        <v>1001.4300000000001</v>
      </c>
      <c r="I35" s="54">
        <f t="shared" si="36"/>
        <v>445.08</v>
      </c>
      <c r="J35" s="55">
        <f t="shared" si="37"/>
        <v>1780.32</v>
      </c>
      <c r="K35" s="56">
        <f t="shared" si="38"/>
        <v>1335.24</v>
      </c>
      <c r="L35" s="177"/>
    </row>
    <row r="36" spans="1:12" x14ac:dyDescent="0.25">
      <c r="A36" s="24" t="s">
        <v>91</v>
      </c>
      <c r="B36" s="23" t="s">
        <v>2180</v>
      </c>
      <c r="C36" s="43">
        <v>4</v>
      </c>
      <c r="D36" s="43">
        <v>4</v>
      </c>
      <c r="E36" s="103">
        <v>890.16</v>
      </c>
      <c r="F36" s="48">
        <f t="shared" si="33"/>
        <v>445.08</v>
      </c>
      <c r="G36" s="41">
        <f t="shared" si="34"/>
        <v>1335.24</v>
      </c>
      <c r="H36" s="53">
        <f t="shared" si="35"/>
        <v>1001.4300000000001</v>
      </c>
      <c r="I36" s="54">
        <f t="shared" si="36"/>
        <v>445.08</v>
      </c>
      <c r="J36" s="55">
        <f t="shared" si="37"/>
        <v>1780.32</v>
      </c>
      <c r="K36" s="56">
        <f t="shared" si="38"/>
        <v>1335.24</v>
      </c>
      <c r="L36" s="177"/>
    </row>
    <row r="37" spans="1:12" x14ac:dyDescent="0.25">
      <c r="A37" s="24"/>
      <c r="B37" s="23"/>
      <c r="C37" s="43"/>
      <c r="D37" s="43"/>
      <c r="E37" s="103"/>
      <c r="F37" s="42"/>
      <c r="G37" s="104"/>
      <c r="H37" s="3"/>
      <c r="I37" s="25"/>
      <c r="J37" s="106"/>
      <c r="K37" s="110"/>
      <c r="L37" s="177"/>
    </row>
    <row r="38" spans="1:12" x14ac:dyDescent="0.25">
      <c r="A38" s="24" t="s">
        <v>101</v>
      </c>
      <c r="B38" s="23" t="s">
        <v>2194</v>
      </c>
      <c r="C38" s="43">
        <v>12</v>
      </c>
      <c r="D38" s="43">
        <v>4</v>
      </c>
      <c r="E38" s="103">
        <v>890.16</v>
      </c>
      <c r="F38" s="48">
        <f t="shared" si="33"/>
        <v>445.08</v>
      </c>
      <c r="G38" s="41">
        <f t="shared" ref="G38:G41" si="39">E38+F38</f>
        <v>1335.24</v>
      </c>
      <c r="H38" s="53">
        <f t="shared" ref="H38:H41" si="40">G38-(G38*25%)</f>
        <v>1001.4300000000001</v>
      </c>
      <c r="I38" s="54">
        <f t="shared" ref="I38:I41" si="41">E38*50%</f>
        <v>445.08</v>
      </c>
      <c r="J38" s="55">
        <f t="shared" ref="J38:J41" si="42">E38+(I38*2)</f>
        <v>1780.32</v>
      </c>
      <c r="K38" s="56">
        <f t="shared" ref="K38:K41" si="43">J38-(J38*25%)</f>
        <v>1335.24</v>
      </c>
      <c r="L38" s="177"/>
    </row>
    <row r="39" spans="1:12" x14ac:dyDescent="0.25">
      <c r="A39" s="24" t="s">
        <v>102</v>
      </c>
      <c r="B39" s="23" t="s">
        <v>828</v>
      </c>
      <c r="C39" s="43">
        <v>8</v>
      </c>
      <c r="D39" s="43">
        <v>4</v>
      </c>
      <c r="E39" s="103">
        <v>890.16</v>
      </c>
      <c r="F39" s="48">
        <f t="shared" si="33"/>
        <v>445.08</v>
      </c>
      <c r="G39" s="41">
        <f t="shared" si="39"/>
        <v>1335.24</v>
      </c>
      <c r="H39" s="53">
        <f t="shared" si="40"/>
        <v>1001.4300000000001</v>
      </c>
      <c r="I39" s="54">
        <f t="shared" si="41"/>
        <v>445.08</v>
      </c>
      <c r="J39" s="55">
        <f t="shared" si="42"/>
        <v>1780.32</v>
      </c>
      <c r="K39" s="56">
        <f t="shared" si="43"/>
        <v>1335.24</v>
      </c>
      <c r="L39" s="177"/>
    </row>
    <row r="40" spans="1:12" x14ac:dyDescent="0.25">
      <c r="A40" s="24" t="s">
        <v>104</v>
      </c>
      <c r="B40" s="23" t="s">
        <v>2194</v>
      </c>
      <c r="C40" s="43"/>
      <c r="D40" s="43">
        <v>4</v>
      </c>
      <c r="E40" s="103">
        <v>890.16</v>
      </c>
      <c r="F40" s="48">
        <f t="shared" si="33"/>
        <v>445.08</v>
      </c>
      <c r="G40" s="41">
        <f t="shared" si="39"/>
        <v>1335.24</v>
      </c>
      <c r="H40" s="53">
        <f t="shared" si="40"/>
        <v>1001.4300000000001</v>
      </c>
      <c r="I40" s="54">
        <f t="shared" si="41"/>
        <v>445.08</v>
      </c>
      <c r="J40" s="55">
        <f t="shared" si="42"/>
        <v>1780.32</v>
      </c>
      <c r="K40" s="56">
        <f t="shared" si="43"/>
        <v>1335.24</v>
      </c>
      <c r="L40" s="177"/>
    </row>
    <row r="41" spans="1:12" x14ac:dyDescent="0.25">
      <c r="A41" s="24" t="s">
        <v>105</v>
      </c>
      <c r="B41" s="23" t="s">
        <v>819</v>
      </c>
      <c r="C41" s="43">
        <v>4</v>
      </c>
      <c r="D41" s="43">
        <v>4</v>
      </c>
      <c r="E41" s="103">
        <v>890.16</v>
      </c>
      <c r="F41" s="48">
        <f t="shared" si="33"/>
        <v>445.08</v>
      </c>
      <c r="G41" s="41">
        <f t="shared" si="39"/>
        <v>1335.24</v>
      </c>
      <c r="H41" s="53">
        <f t="shared" si="40"/>
        <v>1001.4300000000001</v>
      </c>
      <c r="I41" s="54">
        <f t="shared" si="41"/>
        <v>445.08</v>
      </c>
      <c r="J41" s="55">
        <f t="shared" si="42"/>
        <v>1780.32</v>
      </c>
      <c r="K41" s="56">
        <f t="shared" si="43"/>
        <v>1335.24</v>
      </c>
      <c r="L41" s="177"/>
    </row>
    <row r="42" spans="1:12" x14ac:dyDescent="0.25">
      <c r="A42" s="24"/>
      <c r="B42" s="123"/>
      <c r="C42" s="43"/>
      <c r="D42" s="43"/>
      <c r="E42" s="103"/>
      <c r="F42" s="42"/>
      <c r="G42" s="104"/>
      <c r="H42" s="3"/>
      <c r="I42" s="25"/>
      <c r="J42" s="106"/>
      <c r="K42" s="110"/>
      <c r="L42" s="177"/>
    </row>
    <row r="43" spans="1:12" x14ac:dyDescent="0.25">
      <c r="A43" s="24" t="s">
        <v>114</v>
      </c>
      <c r="B43" s="23" t="s">
        <v>1444</v>
      </c>
      <c r="C43" s="43">
        <v>4</v>
      </c>
      <c r="D43" s="43">
        <v>4</v>
      </c>
      <c r="E43" s="103">
        <v>890.16</v>
      </c>
      <c r="F43" s="48">
        <f t="shared" si="33"/>
        <v>445.08</v>
      </c>
      <c r="G43" s="41">
        <f t="shared" ref="G43:G46" si="44">E43+F43</f>
        <v>1335.24</v>
      </c>
      <c r="H43" s="53">
        <f t="shared" ref="H43:H46" si="45">G43-(G43*25%)</f>
        <v>1001.4300000000001</v>
      </c>
      <c r="I43" s="54">
        <f t="shared" ref="I43:I46" si="46">E43*50%</f>
        <v>445.08</v>
      </c>
      <c r="J43" s="55">
        <f t="shared" ref="J43:J46" si="47">E43+(I43*2)</f>
        <v>1780.32</v>
      </c>
      <c r="K43" s="56">
        <f t="shared" ref="K43:K46" si="48">J43-(J43*25%)</f>
        <v>1335.24</v>
      </c>
      <c r="L43" s="177"/>
    </row>
    <row r="44" spans="1:12" x14ac:dyDescent="0.25">
      <c r="A44" s="24" t="s">
        <v>116</v>
      </c>
      <c r="B44" s="23" t="s">
        <v>1722</v>
      </c>
      <c r="C44" s="43">
        <v>4</v>
      </c>
      <c r="D44" s="43">
        <v>4</v>
      </c>
      <c r="E44" s="103">
        <v>890.16</v>
      </c>
      <c r="F44" s="48">
        <f t="shared" si="33"/>
        <v>445.08</v>
      </c>
      <c r="G44" s="41">
        <f t="shared" si="44"/>
        <v>1335.24</v>
      </c>
      <c r="H44" s="53">
        <f t="shared" si="45"/>
        <v>1001.4300000000001</v>
      </c>
      <c r="I44" s="54">
        <f t="shared" si="46"/>
        <v>445.08</v>
      </c>
      <c r="J44" s="55">
        <f t="shared" si="47"/>
        <v>1780.32</v>
      </c>
      <c r="K44" s="56">
        <f t="shared" si="48"/>
        <v>1335.24</v>
      </c>
      <c r="L44" s="177"/>
    </row>
    <row r="45" spans="1:12" x14ac:dyDescent="0.25">
      <c r="A45" s="24" t="s">
        <v>117</v>
      </c>
      <c r="B45" s="23" t="s">
        <v>1600</v>
      </c>
      <c r="C45" s="43">
        <v>4</v>
      </c>
      <c r="D45" s="43">
        <v>4</v>
      </c>
      <c r="E45" s="103">
        <v>890.16</v>
      </c>
      <c r="F45" s="48">
        <f t="shared" si="33"/>
        <v>445.08</v>
      </c>
      <c r="G45" s="41">
        <f t="shared" si="44"/>
        <v>1335.24</v>
      </c>
      <c r="H45" s="53">
        <f t="shared" si="45"/>
        <v>1001.4300000000001</v>
      </c>
      <c r="I45" s="54">
        <f t="shared" si="46"/>
        <v>445.08</v>
      </c>
      <c r="J45" s="55">
        <f t="shared" si="47"/>
        <v>1780.32</v>
      </c>
      <c r="K45" s="56">
        <f t="shared" si="48"/>
        <v>1335.24</v>
      </c>
      <c r="L45" s="177"/>
    </row>
    <row r="46" spans="1:12" x14ac:dyDescent="0.25">
      <c r="A46" s="24" t="s">
        <v>118</v>
      </c>
      <c r="B46" s="23" t="s">
        <v>2149</v>
      </c>
      <c r="C46" s="43">
        <v>4</v>
      </c>
      <c r="D46" s="43">
        <v>4</v>
      </c>
      <c r="E46" s="103">
        <v>890.16</v>
      </c>
      <c r="F46" s="48">
        <f t="shared" si="33"/>
        <v>445.08</v>
      </c>
      <c r="G46" s="41">
        <f t="shared" si="44"/>
        <v>1335.24</v>
      </c>
      <c r="H46" s="53">
        <f t="shared" si="45"/>
        <v>1001.4300000000001</v>
      </c>
      <c r="I46" s="54">
        <f t="shared" si="46"/>
        <v>445.08</v>
      </c>
      <c r="J46" s="55">
        <f t="shared" si="47"/>
        <v>1780.32</v>
      </c>
      <c r="K46" s="56">
        <f t="shared" si="48"/>
        <v>1335.24</v>
      </c>
      <c r="L46" s="177"/>
    </row>
    <row r="47" spans="1:12" x14ac:dyDescent="0.25">
      <c r="A47" s="24"/>
      <c r="B47" s="23"/>
      <c r="C47" s="43"/>
      <c r="D47" s="43"/>
      <c r="E47" s="103"/>
      <c r="F47" s="42"/>
      <c r="G47" s="104"/>
      <c r="H47" s="3"/>
      <c r="I47" s="25"/>
      <c r="J47" s="106"/>
      <c r="K47" s="110"/>
      <c r="L47" s="177"/>
    </row>
    <row r="48" spans="1:12" x14ac:dyDescent="0.25">
      <c r="A48" s="24" t="s">
        <v>138</v>
      </c>
      <c r="B48" s="23" t="s">
        <v>1388</v>
      </c>
      <c r="C48" s="43">
        <v>4</v>
      </c>
      <c r="D48" s="43">
        <v>4</v>
      </c>
      <c r="E48" s="103">
        <v>890.16</v>
      </c>
      <c r="F48" s="48">
        <f t="shared" ref="F48:F76" si="49">E48*50%</f>
        <v>445.08</v>
      </c>
      <c r="G48" s="41">
        <f t="shared" ref="G48:G51" si="50">E48+F48</f>
        <v>1335.24</v>
      </c>
      <c r="H48" s="53">
        <f t="shared" ref="H48:H51" si="51">G48-(G48*25%)</f>
        <v>1001.4300000000001</v>
      </c>
      <c r="I48" s="54">
        <f t="shared" ref="I48:I51" si="52">E48*50%</f>
        <v>445.08</v>
      </c>
      <c r="J48" s="55">
        <f t="shared" ref="J48:J51" si="53">E48+(I48*2)</f>
        <v>1780.32</v>
      </c>
      <c r="K48" s="56">
        <f t="shared" ref="K48:K51" si="54">J48-(J48*25%)</f>
        <v>1335.24</v>
      </c>
      <c r="L48" s="177"/>
    </row>
    <row r="49" spans="1:12" x14ac:dyDescent="0.25">
      <c r="A49" s="24" t="s">
        <v>139</v>
      </c>
      <c r="B49" s="23" t="s">
        <v>1701</v>
      </c>
      <c r="C49" s="43">
        <v>4</v>
      </c>
      <c r="D49" s="43">
        <v>4</v>
      </c>
      <c r="E49" s="103">
        <v>890.16</v>
      </c>
      <c r="F49" s="48">
        <f t="shared" si="49"/>
        <v>445.08</v>
      </c>
      <c r="G49" s="41">
        <f t="shared" si="50"/>
        <v>1335.24</v>
      </c>
      <c r="H49" s="53">
        <f t="shared" si="51"/>
        <v>1001.4300000000001</v>
      </c>
      <c r="I49" s="54">
        <f t="shared" si="52"/>
        <v>445.08</v>
      </c>
      <c r="J49" s="55">
        <f t="shared" si="53"/>
        <v>1780.32</v>
      </c>
      <c r="K49" s="56">
        <f t="shared" si="54"/>
        <v>1335.24</v>
      </c>
      <c r="L49" s="177"/>
    </row>
    <row r="50" spans="1:12" x14ac:dyDescent="0.25">
      <c r="A50" s="24" t="s">
        <v>140</v>
      </c>
      <c r="B50" s="23" t="s">
        <v>1511</v>
      </c>
      <c r="C50" s="43">
        <v>4</v>
      </c>
      <c r="D50" s="43">
        <v>4</v>
      </c>
      <c r="E50" s="103">
        <v>890.16</v>
      </c>
      <c r="F50" s="48">
        <f t="shared" si="49"/>
        <v>445.08</v>
      </c>
      <c r="G50" s="41">
        <f t="shared" si="50"/>
        <v>1335.24</v>
      </c>
      <c r="H50" s="53">
        <f t="shared" si="51"/>
        <v>1001.4300000000001</v>
      </c>
      <c r="I50" s="54">
        <f t="shared" si="52"/>
        <v>445.08</v>
      </c>
      <c r="J50" s="55">
        <f t="shared" si="53"/>
        <v>1780.32</v>
      </c>
      <c r="K50" s="56">
        <f t="shared" si="54"/>
        <v>1335.24</v>
      </c>
      <c r="L50" s="177"/>
    </row>
    <row r="51" spans="1:12" x14ac:dyDescent="0.25">
      <c r="A51" s="24" t="s">
        <v>141</v>
      </c>
      <c r="B51" s="23" t="s">
        <v>1511</v>
      </c>
      <c r="C51" s="43">
        <v>4</v>
      </c>
      <c r="D51" s="43">
        <v>4</v>
      </c>
      <c r="E51" s="103">
        <v>890.16</v>
      </c>
      <c r="F51" s="48">
        <f t="shared" si="49"/>
        <v>445.08</v>
      </c>
      <c r="G51" s="41">
        <f t="shared" si="50"/>
        <v>1335.24</v>
      </c>
      <c r="H51" s="53">
        <f t="shared" si="51"/>
        <v>1001.4300000000001</v>
      </c>
      <c r="I51" s="54">
        <f t="shared" si="52"/>
        <v>445.08</v>
      </c>
      <c r="J51" s="55">
        <f t="shared" si="53"/>
        <v>1780.32</v>
      </c>
      <c r="K51" s="56">
        <f t="shared" si="54"/>
        <v>1335.24</v>
      </c>
      <c r="L51" s="177"/>
    </row>
    <row r="52" spans="1:12" x14ac:dyDescent="0.25">
      <c r="A52" s="24"/>
      <c r="B52" s="23"/>
      <c r="C52" s="43"/>
      <c r="D52" s="43"/>
      <c r="E52" s="103"/>
      <c r="F52" s="42"/>
      <c r="G52" s="104"/>
      <c r="H52" s="3"/>
      <c r="I52" s="25"/>
      <c r="J52" s="106"/>
      <c r="K52" s="110"/>
      <c r="L52" s="177"/>
    </row>
    <row r="53" spans="1:12" x14ac:dyDescent="0.25">
      <c r="A53" s="24" t="s">
        <v>151</v>
      </c>
      <c r="B53" s="23" t="s">
        <v>820</v>
      </c>
      <c r="C53" s="43">
        <v>4</v>
      </c>
      <c r="D53" s="43">
        <v>4</v>
      </c>
      <c r="E53" s="103">
        <v>890.16</v>
      </c>
      <c r="F53" s="48">
        <f t="shared" si="49"/>
        <v>445.08</v>
      </c>
      <c r="G53" s="41">
        <f t="shared" ref="G53:G56" si="55">E53+F53</f>
        <v>1335.24</v>
      </c>
      <c r="H53" s="53">
        <f t="shared" ref="H53:H56" si="56">G53-(G53*25%)</f>
        <v>1001.4300000000001</v>
      </c>
      <c r="I53" s="54">
        <f t="shared" ref="I53:I56" si="57">E53*50%</f>
        <v>445.08</v>
      </c>
      <c r="J53" s="55">
        <f t="shared" ref="J53:J56" si="58">E53+(I53*2)</f>
        <v>1780.32</v>
      </c>
      <c r="K53" s="56">
        <f t="shared" ref="K53:K56" si="59">J53-(J53*25%)</f>
        <v>1335.24</v>
      </c>
      <c r="L53" s="177"/>
    </row>
    <row r="54" spans="1:12" x14ac:dyDescent="0.25">
      <c r="A54" s="24" t="s">
        <v>152</v>
      </c>
      <c r="B54" s="23" t="s">
        <v>1362</v>
      </c>
      <c r="C54" s="43">
        <v>4</v>
      </c>
      <c r="D54" s="43">
        <v>4</v>
      </c>
      <c r="E54" s="103">
        <v>890.16</v>
      </c>
      <c r="F54" s="48">
        <f t="shared" si="49"/>
        <v>445.08</v>
      </c>
      <c r="G54" s="41">
        <f t="shared" si="55"/>
        <v>1335.24</v>
      </c>
      <c r="H54" s="53">
        <f t="shared" si="56"/>
        <v>1001.4300000000001</v>
      </c>
      <c r="I54" s="54">
        <f t="shared" si="57"/>
        <v>445.08</v>
      </c>
      <c r="J54" s="55">
        <f t="shared" si="58"/>
        <v>1780.32</v>
      </c>
      <c r="K54" s="56">
        <f t="shared" si="59"/>
        <v>1335.24</v>
      </c>
      <c r="L54" s="177"/>
    </row>
    <row r="55" spans="1:12" x14ac:dyDescent="0.25">
      <c r="A55" s="24" t="s">
        <v>153</v>
      </c>
      <c r="B55" s="23" t="s">
        <v>1358</v>
      </c>
      <c r="C55" s="43">
        <v>4</v>
      </c>
      <c r="D55" s="43">
        <v>4</v>
      </c>
      <c r="E55" s="103">
        <v>890.16</v>
      </c>
      <c r="F55" s="48">
        <f t="shared" si="49"/>
        <v>445.08</v>
      </c>
      <c r="G55" s="41">
        <f t="shared" si="55"/>
        <v>1335.24</v>
      </c>
      <c r="H55" s="53">
        <f t="shared" si="56"/>
        <v>1001.4300000000001</v>
      </c>
      <c r="I55" s="54">
        <f t="shared" si="57"/>
        <v>445.08</v>
      </c>
      <c r="J55" s="55">
        <f t="shared" si="58"/>
        <v>1780.32</v>
      </c>
      <c r="K55" s="56">
        <f t="shared" si="59"/>
        <v>1335.24</v>
      </c>
      <c r="L55" s="177"/>
    </row>
    <row r="56" spans="1:12" x14ac:dyDescent="0.25">
      <c r="A56" s="24" t="s">
        <v>155</v>
      </c>
      <c r="B56" s="23" t="s">
        <v>1358</v>
      </c>
      <c r="C56" s="43">
        <v>4</v>
      </c>
      <c r="D56" s="43">
        <v>4</v>
      </c>
      <c r="E56" s="103">
        <v>890.16</v>
      </c>
      <c r="F56" s="48">
        <f t="shared" si="49"/>
        <v>445.08</v>
      </c>
      <c r="G56" s="41">
        <f t="shared" si="55"/>
        <v>1335.24</v>
      </c>
      <c r="H56" s="53">
        <f t="shared" si="56"/>
        <v>1001.4300000000001</v>
      </c>
      <c r="I56" s="54">
        <f t="shared" si="57"/>
        <v>445.08</v>
      </c>
      <c r="J56" s="55">
        <f t="shared" si="58"/>
        <v>1780.32</v>
      </c>
      <c r="K56" s="56">
        <f t="shared" si="59"/>
        <v>1335.24</v>
      </c>
      <c r="L56" s="177"/>
    </row>
    <row r="57" spans="1:12" x14ac:dyDescent="0.25">
      <c r="A57" s="24"/>
      <c r="B57" s="123"/>
      <c r="C57" s="43"/>
      <c r="D57" s="43"/>
      <c r="E57" s="103"/>
      <c r="F57" s="42"/>
      <c r="G57" s="104"/>
      <c r="H57" s="3"/>
      <c r="I57" s="25"/>
      <c r="J57" s="106"/>
      <c r="K57" s="110"/>
      <c r="L57" s="177"/>
    </row>
    <row r="58" spans="1:12" x14ac:dyDescent="0.25">
      <c r="A58" s="24" t="s">
        <v>162</v>
      </c>
      <c r="B58" s="23" t="s">
        <v>1585</v>
      </c>
      <c r="C58" s="43">
        <v>8</v>
      </c>
      <c r="D58" s="43">
        <v>4</v>
      </c>
      <c r="E58" s="103">
        <v>890.16</v>
      </c>
      <c r="F58" s="48">
        <f t="shared" si="49"/>
        <v>445.08</v>
      </c>
      <c r="G58" s="41">
        <f t="shared" ref="G58:G61" si="60">E58+F58</f>
        <v>1335.24</v>
      </c>
      <c r="H58" s="53">
        <f t="shared" ref="H58:H61" si="61">G58-(G58*25%)</f>
        <v>1001.4300000000001</v>
      </c>
      <c r="I58" s="54">
        <f t="shared" ref="I58:I61" si="62">E58*50%</f>
        <v>445.08</v>
      </c>
      <c r="J58" s="55">
        <f t="shared" ref="J58:J61" si="63">E58+(I58*2)</f>
        <v>1780.32</v>
      </c>
      <c r="K58" s="56">
        <f t="shared" ref="K58:K61" si="64">J58-(J58*25%)</f>
        <v>1335.24</v>
      </c>
      <c r="L58" s="177"/>
    </row>
    <row r="59" spans="1:12" x14ac:dyDescent="0.25">
      <c r="A59" s="24" t="s">
        <v>163</v>
      </c>
      <c r="B59" s="23" t="s">
        <v>822</v>
      </c>
      <c r="C59" s="43">
        <v>12</v>
      </c>
      <c r="D59" s="43">
        <v>4</v>
      </c>
      <c r="E59" s="103">
        <v>890.16</v>
      </c>
      <c r="F59" s="48">
        <f t="shared" si="49"/>
        <v>445.08</v>
      </c>
      <c r="G59" s="41">
        <f t="shared" si="60"/>
        <v>1335.24</v>
      </c>
      <c r="H59" s="53">
        <f t="shared" si="61"/>
        <v>1001.4300000000001</v>
      </c>
      <c r="I59" s="54">
        <f t="shared" si="62"/>
        <v>445.08</v>
      </c>
      <c r="J59" s="55">
        <f t="shared" si="63"/>
        <v>1780.32</v>
      </c>
      <c r="K59" s="56">
        <f t="shared" si="64"/>
        <v>1335.24</v>
      </c>
      <c r="L59" s="177"/>
    </row>
    <row r="60" spans="1:12" x14ac:dyDescent="0.25">
      <c r="A60" s="24" t="s">
        <v>164</v>
      </c>
      <c r="B60" s="23" t="s">
        <v>1585</v>
      </c>
      <c r="C60" s="43"/>
      <c r="D60" s="43">
        <v>4</v>
      </c>
      <c r="E60" s="103">
        <v>890.16</v>
      </c>
      <c r="F60" s="48">
        <f t="shared" si="49"/>
        <v>445.08</v>
      </c>
      <c r="G60" s="41">
        <f t="shared" si="60"/>
        <v>1335.24</v>
      </c>
      <c r="H60" s="53">
        <f t="shared" si="61"/>
        <v>1001.4300000000001</v>
      </c>
      <c r="I60" s="54">
        <f t="shared" si="62"/>
        <v>445.08</v>
      </c>
      <c r="J60" s="55">
        <f t="shared" si="63"/>
        <v>1780.32</v>
      </c>
      <c r="K60" s="56">
        <f t="shared" si="64"/>
        <v>1335.24</v>
      </c>
      <c r="L60" s="177"/>
    </row>
    <row r="61" spans="1:12" x14ac:dyDescent="0.25">
      <c r="A61" s="24" t="s">
        <v>165</v>
      </c>
      <c r="B61" s="23" t="s">
        <v>1920</v>
      </c>
      <c r="C61" s="43"/>
      <c r="D61" s="43">
        <v>4</v>
      </c>
      <c r="E61" s="103">
        <v>890.16</v>
      </c>
      <c r="F61" s="48">
        <f t="shared" si="49"/>
        <v>445.08</v>
      </c>
      <c r="G61" s="41">
        <f t="shared" si="60"/>
        <v>1335.24</v>
      </c>
      <c r="H61" s="53">
        <f t="shared" si="61"/>
        <v>1001.4300000000001</v>
      </c>
      <c r="I61" s="54">
        <f t="shared" si="62"/>
        <v>445.08</v>
      </c>
      <c r="J61" s="55">
        <f t="shared" si="63"/>
        <v>1780.32</v>
      </c>
      <c r="K61" s="56">
        <f t="shared" si="64"/>
        <v>1335.24</v>
      </c>
      <c r="L61" s="177"/>
    </row>
    <row r="62" spans="1:12" x14ac:dyDescent="0.25">
      <c r="A62" s="24"/>
      <c r="B62" s="23"/>
      <c r="C62" s="43"/>
      <c r="D62" s="43"/>
      <c r="E62" s="103"/>
      <c r="F62" s="42"/>
      <c r="G62" s="104"/>
      <c r="H62" s="3"/>
      <c r="I62" s="25"/>
      <c r="J62" s="106"/>
      <c r="K62" s="110"/>
      <c r="L62" s="177"/>
    </row>
    <row r="63" spans="1:12" x14ac:dyDescent="0.25">
      <c r="A63" s="24" t="s">
        <v>169</v>
      </c>
      <c r="B63" s="23" t="s">
        <v>1599</v>
      </c>
      <c r="C63" s="43">
        <v>8</v>
      </c>
      <c r="D63" s="43">
        <v>4</v>
      </c>
      <c r="E63" s="103">
        <v>890.16</v>
      </c>
      <c r="F63" s="48">
        <f t="shared" si="49"/>
        <v>445.08</v>
      </c>
      <c r="G63" s="41">
        <f t="shared" ref="G63:G66" si="65">E63+F63</f>
        <v>1335.24</v>
      </c>
      <c r="H63" s="53">
        <f t="shared" ref="H63:H66" si="66">G63-(G63*25%)</f>
        <v>1001.4300000000001</v>
      </c>
      <c r="I63" s="54">
        <f t="shared" ref="I63:I66" si="67">E63*50%</f>
        <v>445.08</v>
      </c>
      <c r="J63" s="55">
        <f t="shared" ref="J63:J66" si="68">E63+(I63*2)</f>
        <v>1780.32</v>
      </c>
      <c r="K63" s="56">
        <f t="shared" ref="K63:K66" si="69">J63-(J63*25%)</f>
        <v>1335.24</v>
      </c>
      <c r="L63" s="177"/>
    </row>
    <row r="64" spans="1:12" x14ac:dyDescent="0.25">
      <c r="A64" s="24" t="s">
        <v>170</v>
      </c>
      <c r="B64" s="23" t="s">
        <v>2177</v>
      </c>
      <c r="C64" s="43">
        <v>8</v>
      </c>
      <c r="D64" s="43">
        <v>4</v>
      </c>
      <c r="E64" s="103">
        <v>890.16</v>
      </c>
      <c r="F64" s="48">
        <f t="shared" si="49"/>
        <v>445.08</v>
      </c>
      <c r="G64" s="41">
        <f t="shared" si="65"/>
        <v>1335.24</v>
      </c>
      <c r="H64" s="53">
        <f t="shared" si="66"/>
        <v>1001.4300000000001</v>
      </c>
      <c r="I64" s="54">
        <f t="shared" si="67"/>
        <v>445.08</v>
      </c>
      <c r="J64" s="55">
        <f t="shared" si="68"/>
        <v>1780.32</v>
      </c>
      <c r="K64" s="56">
        <f t="shared" si="69"/>
        <v>1335.24</v>
      </c>
      <c r="L64" s="177"/>
    </row>
    <row r="65" spans="1:12" x14ac:dyDescent="0.25">
      <c r="A65" s="24" t="s">
        <v>171</v>
      </c>
      <c r="B65" s="23" t="s">
        <v>2113</v>
      </c>
      <c r="C65" s="43"/>
      <c r="D65" s="43">
        <v>4</v>
      </c>
      <c r="E65" s="103">
        <v>890.16</v>
      </c>
      <c r="F65" s="48">
        <f t="shared" si="49"/>
        <v>445.08</v>
      </c>
      <c r="G65" s="41">
        <f t="shared" si="65"/>
        <v>1335.24</v>
      </c>
      <c r="H65" s="53">
        <f t="shared" si="66"/>
        <v>1001.4300000000001</v>
      </c>
      <c r="I65" s="54">
        <f t="shared" si="67"/>
        <v>445.08</v>
      </c>
      <c r="J65" s="55">
        <f t="shared" si="68"/>
        <v>1780.32</v>
      </c>
      <c r="K65" s="56">
        <f t="shared" si="69"/>
        <v>1335.24</v>
      </c>
      <c r="L65" s="177"/>
    </row>
    <row r="66" spans="1:12" x14ac:dyDescent="0.25">
      <c r="A66" s="24" t="s">
        <v>172</v>
      </c>
      <c r="B66" s="23" t="s">
        <v>2177</v>
      </c>
      <c r="C66" s="43"/>
      <c r="D66" s="43">
        <v>4</v>
      </c>
      <c r="E66" s="103">
        <v>890.16</v>
      </c>
      <c r="F66" s="48">
        <f t="shared" si="49"/>
        <v>445.08</v>
      </c>
      <c r="G66" s="41">
        <f t="shared" si="65"/>
        <v>1335.24</v>
      </c>
      <c r="H66" s="53">
        <f t="shared" si="66"/>
        <v>1001.4300000000001</v>
      </c>
      <c r="I66" s="54">
        <f t="shared" si="67"/>
        <v>445.08</v>
      </c>
      <c r="J66" s="55">
        <f t="shared" si="68"/>
        <v>1780.32</v>
      </c>
      <c r="K66" s="56">
        <f t="shared" si="69"/>
        <v>1335.24</v>
      </c>
      <c r="L66" s="177"/>
    </row>
    <row r="67" spans="1:12" x14ac:dyDescent="0.25">
      <c r="A67" s="24"/>
      <c r="B67" s="23"/>
      <c r="C67" s="43"/>
      <c r="D67" s="43"/>
      <c r="E67" s="103"/>
      <c r="F67" s="42"/>
      <c r="G67" s="104"/>
      <c r="H67" s="3"/>
      <c r="I67" s="25"/>
      <c r="J67" s="106"/>
      <c r="K67" s="110"/>
      <c r="L67" s="177"/>
    </row>
    <row r="68" spans="1:12" x14ac:dyDescent="0.25">
      <c r="A68" s="24" t="s">
        <v>173</v>
      </c>
      <c r="B68" s="23" t="s">
        <v>2050</v>
      </c>
      <c r="C68" s="43">
        <v>12</v>
      </c>
      <c r="D68" s="43">
        <v>4</v>
      </c>
      <c r="E68" s="103">
        <v>890.16</v>
      </c>
      <c r="F68" s="48">
        <f t="shared" si="49"/>
        <v>445.08</v>
      </c>
      <c r="G68" s="41">
        <f t="shared" ref="G68:G71" si="70">E68+F68</f>
        <v>1335.24</v>
      </c>
      <c r="H68" s="53">
        <f t="shared" ref="H68:H71" si="71">G68-(G68*25%)</f>
        <v>1001.4300000000001</v>
      </c>
      <c r="I68" s="54">
        <f t="shared" ref="I68:I71" si="72">E68*50%</f>
        <v>445.08</v>
      </c>
      <c r="J68" s="55">
        <f t="shared" ref="J68:J71" si="73">E68+(I68*2)</f>
        <v>1780.32</v>
      </c>
      <c r="K68" s="56">
        <f t="shared" ref="K68:K71" si="74">J68-(J68*25%)</f>
        <v>1335.24</v>
      </c>
      <c r="L68" s="177"/>
    </row>
    <row r="69" spans="1:12" x14ac:dyDescent="0.25">
      <c r="A69" s="24" t="s">
        <v>174</v>
      </c>
      <c r="B69" s="23" t="s">
        <v>2113</v>
      </c>
      <c r="C69" s="43">
        <v>4</v>
      </c>
      <c r="D69" s="127">
        <v>4</v>
      </c>
      <c r="E69" s="103">
        <v>890.16</v>
      </c>
      <c r="F69" s="48">
        <f t="shared" si="49"/>
        <v>445.08</v>
      </c>
      <c r="G69" s="41">
        <f t="shared" si="70"/>
        <v>1335.24</v>
      </c>
      <c r="H69" s="53">
        <f t="shared" si="71"/>
        <v>1001.4300000000001</v>
      </c>
      <c r="I69" s="54">
        <f t="shared" si="72"/>
        <v>445.08</v>
      </c>
      <c r="J69" s="55">
        <f t="shared" si="73"/>
        <v>1780.32</v>
      </c>
      <c r="K69" s="56">
        <f t="shared" si="74"/>
        <v>1335.24</v>
      </c>
      <c r="L69" s="177"/>
    </row>
    <row r="70" spans="1:12" x14ac:dyDescent="0.25">
      <c r="A70" s="24" t="s">
        <v>176</v>
      </c>
      <c r="B70" s="23" t="s">
        <v>2092</v>
      </c>
      <c r="C70" s="43"/>
      <c r="D70" s="43">
        <v>4</v>
      </c>
      <c r="E70" s="103">
        <v>890.16</v>
      </c>
      <c r="F70" s="48">
        <f t="shared" si="49"/>
        <v>445.08</v>
      </c>
      <c r="G70" s="41">
        <f t="shared" si="70"/>
        <v>1335.24</v>
      </c>
      <c r="H70" s="53">
        <f t="shared" si="71"/>
        <v>1001.4300000000001</v>
      </c>
      <c r="I70" s="54">
        <f t="shared" si="72"/>
        <v>445.08</v>
      </c>
      <c r="J70" s="55">
        <f t="shared" si="73"/>
        <v>1780.32</v>
      </c>
      <c r="K70" s="56">
        <f t="shared" si="74"/>
        <v>1335.24</v>
      </c>
      <c r="L70" s="177"/>
    </row>
    <row r="71" spans="1:12" x14ac:dyDescent="0.25">
      <c r="A71" s="24" t="s">
        <v>177</v>
      </c>
      <c r="B71" s="23" t="s">
        <v>1359</v>
      </c>
      <c r="C71" s="43">
        <v>4</v>
      </c>
      <c r="D71" s="43">
        <v>4</v>
      </c>
      <c r="E71" s="103">
        <v>890.16</v>
      </c>
      <c r="F71" s="48">
        <f t="shared" si="49"/>
        <v>445.08</v>
      </c>
      <c r="G71" s="41">
        <f t="shared" si="70"/>
        <v>1335.24</v>
      </c>
      <c r="H71" s="53">
        <f t="shared" si="71"/>
        <v>1001.4300000000001</v>
      </c>
      <c r="I71" s="54">
        <f t="shared" si="72"/>
        <v>445.08</v>
      </c>
      <c r="J71" s="55">
        <f t="shared" si="73"/>
        <v>1780.32</v>
      </c>
      <c r="K71" s="56">
        <f t="shared" si="74"/>
        <v>1335.24</v>
      </c>
      <c r="L71" s="177"/>
    </row>
    <row r="72" spans="1:12" x14ac:dyDescent="0.25">
      <c r="A72" s="24"/>
      <c r="B72" s="23"/>
      <c r="C72" s="43"/>
      <c r="D72" s="43"/>
      <c r="E72" s="103"/>
      <c r="F72" s="42"/>
      <c r="G72" s="104"/>
      <c r="H72" s="3"/>
      <c r="I72" s="25"/>
      <c r="J72" s="106"/>
      <c r="K72" s="110"/>
      <c r="L72" s="177"/>
    </row>
    <row r="73" spans="1:12" x14ac:dyDescent="0.25">
      <c r="A73" s="24" t="s">
        <v>180</v>
      </c>
      <c r="B73" s="23" t="s">
        <v>2223</v>
      </c>
      <c r="C73" s="43">
        <v>4</v>
      </c>
      <c r="D73" s="43">
        <v>4</v>
      </c>
      <c r="E73" s="103">
        <v>890.16</v>
      </c>
      <c r="F73" s="48">
        <f t="shared" si="49"/>
        <v>445.08</v>
      </c>
      <c r="G73" s="41">
        <f t="shared" ref="G73:G76" si="75">E73+F73</f>
        <v>1335.24</v>
      </c>
      <c r="H73" s="53">
        <f t="shared" ref="H73:H76" si="76">G73-(G73*25%)</f>
        <v>1001.4300000000001</v>
      </c>
      <c r="I73" s="54">
        <f t="shared" ref="I73:I76" si="77">E73*50%</f>
        <v>445.08</v>
      </c>
      <c r="J73" s="55">
        <f t="shared" ref="J73:J76" si="78">E73+(I73*2)</f>
        <v>1780.32</v>
      </c>
      <c r="K73" s="56">
        <f t="shared" ref="K73:K76" si="79">J73-(J73*25%)</f>
        <v>1335.24</v>
      </c>
      <c r="L73" s="177"/>
    </row>
    <row r="74" spans="1:12" x14ac:dyDescent="0.25">
      <c r="A74" s="24" t="s">
        <v>181</v>
      </c>
      <c r="B74" s="23" t="s">
        <v>2233</v>
      </c>
      <c r="C74" s="43"/>
      <c r="D74" s="43">
        <v>4</v>
      </c>
      <c r="E74" s="103">
        <v>890.16</v>
      </c>
      <c r="F74" s="48">
        <f t="shared" si="49"/>
        <v>445.08</v>
      </c>
      <c r="G74" s="41">
        <f t="shared" si="75"/>
        <v>1335.24</v>
      </c>
      <c r="H74" s="53">
        <f t="shared" si="76"/>
        <v>1001.4300000000001</v>
      </c>
      <c r="I74" s="54">
        <f t="shared" si="77"/>
        <v>445.08</v>
      </c>
      <c r="J74" s="55">
        <f t="shared" si="78"/>
        <v>1780.32</v>
      </c>
      <c r="K74" s="56">
        <f t="shared" si="79"/>
        <v>1335.24</v>
      </c>
      <c r="L74" s="177"/>
    </row>
    <row r="75" spans="1:12" x14ac:dyDescent="0.25">
      <c r="A75" s="24" t="s">
        <v>182</v>
      </c>
      <c r="B75" s="23" t="s">
        <v>823</v>
      </c>
      <c r="C75" s="43">
        <v>4</v>
      </c>
      <c r="D75" s="43">
        <v>4</v>
      </c>
      <c r="E75" s="103">
        <v>890.16</v>
      </c>
      <c r="F75" s="48">
        <f t="shared" si="49"/>
        <v>445.08</v>
      </c>
      <c r="G75" s="41">
        <f t="shared" si="75"/>
        <v>1335.24</v>
      </c>
      <c r="H75" s="53">
        <f t="shared" si="76"/>
        <v>1001.4300000000001</v>
      </c>
      <c r="I75" s="54">
        <f t="shared" si="77"/>
        <v>445.08</v>
      </c>
      <c r="J75" s="55">
        <f t="shared" si="78"/>
        <v>1780.32</v>
      </c>
      <c r="K75" s="56">
        <f t="shared" si="79"/>
        <v>1335.24</v>
      </c>
      <c r="L75" s="177"/>
    </row>
    <row r="76" spans="1:12" x14ac:dyDescent="0.25">
      <c r="A76" s="24" t="s">
        <v>183</v>
      </c>
      <c r="B76" s="23" t="s">
        <v>1921</v>
      </c>
      <c r="C76" s="43"/>
      <c r="D76" s="43">
        <v>4</v>
      </c>
      <c r="E76" s="103">
        <v>890.16</v>
      </c>
      <c r="F76" s="48">
        <f t="shared" si="49"/>
        <v>445.08</v>
      </c>
      <c r="G76" s="41">
        <f t="shared" si="75"/>
        <v>1335.24</v>
      </c>
      <c r="H76" s="53">
        <f t="shared" si="76"/>
        <v>1001.4300000000001</v>
      </c>
      <c r="I76" s="54">
        <f t="shared" si="77"/>
        <v>445.08</v>
      </c>
      <c r="J76" s="55">
        <f t="shared" si="78"/>
        <v>1780.32</v>
      </c>
      <c r="K76" s="56">
        <f t="shared" si="79"/>
        <v>1335.24</v>
      </c>
      <c r="L76" s="177"/>
    </row>
    <row r="77" spans="1:12" x14ac:dyDescent="0.25">
      <c r="A77" s="24"/>
      <c r="B77" s="23"/>
      <c r="C77" s="43"/>
      <c r="D77" s="43"/>
      <c r="E77" s="103"/>
      <c r="F77" s="42"/>
      <c r="G77" s="104"/>
      <c r="H77" s="3"/>
      <c r="I77" s="25"/>
      <c r="J77" s="106"/>
      <c r="K77" s="110"/>
      <c r="L77" s="177"/>
    </row>
    <row r="78" spans="1:12" x14ac:dyDescent="0.25">
      <c r="A78" s="24" t="s">
        <v>190</v>
      </c>
      <c r="B78" s="23" t="s">
        <v>824</v>
      </c>
      <c r="C78" s="43">
        <v>8</v>
      </c>
      <c r="D78" s="43">
        <v>4</v>
      </c>
      <c r="E78" s="103">
        <v>890.16</v>
      </c>
      <c r="F78" s="48">
        <f t="shared" ref="F78:F96" si="80">E78*50%</f>
        <v>445.08</v>
      </c>
      <c r="G78" s="41">
        <f t="shared" ref="G78:G81" si="81">E78+F78</f>
        <v>1335.24</v>
      </c>
      <c r="H78" s="53">
        <f t="shared" ref="H78:H81" si="82">G78-(G78*25%)</f>
        <v>1001.4300000000001</v>
      </c>
      <c r="I78" s="54">
        <f t="shared" ref="I78:I81" si="83">E78*50%</f>
        <v>445.08</v>
      </c>
      <c r="J78" s="55">
        <f t="shared" ref="J78:J81" si="84">E78+(I78*2)</f>
        <v>1780.32</v>
      </c>
      <c r="K78" s="56">
        <f t="shared" ref="K78:K81" si="85">J78-(J78*25%)</f>
        <v>1335.24</v>
      </c>
      <c r="L78" s="177"/>
    </row>
    <row r="79" spans="1:12" x14ac:dyDescent="0.25">
      <c r="A79" s="24" t="s">
        <v>191</v>
      </c>
      <c r="B79" s="23" t="s">
        <v>825</v>
      </c>
      <c r="C79" s="43">
        <v>4</v>
      </c>
      <c r="D79" s="43">
        <v>4</v>
      </c>
      <c r="E79" s="103">
        <v>890.16</v>
      </c>
      <c r="F79" s="48">
        <f t="shared" si="80"/>
        <v>445.08</v>
      </c>
      <c r="G79" s="41">
        <f t="shared" si="81"/>
        <v>1335.24</v>
      </c>
      <c r="H79" s="53">
        <f t="shared" si="82"/>
        <v>1001.4300000000001</v>
      </c>
      <c r="I79" s="54">
        <f t="shared" si="83"/>
        <v>445.08</v>
      </c>
      <c r="J79" s="55">
        <f t="shared" si="84"/>
        <v>1780.32</v>
      </c>
      <c r="K79" s="56">
        <f t="shared" si="85"/>
        <v>1335.24</v>
      </c>
      <c r="L79" s="177"/>
    </row>
    <row r="80" spans="1:12" x14ac:dyDescent="0.25">
      <c r="A80" s="24" t="s">
        <v>192</v>
      </c>
      <c r="B80" s="23" t="s">
        <v>1920</v>
      </c>
      <c r="C80" s="43"/>
      <c r="D80" s="43">
        <v>4</v>
      </c>
      <c r="E80" s="103">
        <v>890.16</v>
      </c>
      <c r="F80" s="48">
        <f t="shared" si="80"/>
        <v>445.08</v>
      </c>
      <c r="G80" s="41">
        <f t="shared" si="81"/>
        <v>1335.24</v>
      </c>
      <c r="H80" s="53">
        <f t="shared" si="82"/>
        <v>1001.4300000000001</v>
      </c>
      <c r="I80" s="54">
        <f t="shared" si="83"/>
        <v>445.08</v>
      </c>
      <c r="J80" s="55">
        <f t="shared" si="84"/>
        <v>1780.32</v>
      </c>
      <c r="K80" s="56">
        <f t="shared" si="85"/>
        <v>1335.24</v>
      </c>
      <c r="L80" s="177"/>
    </row>
    <row r="81" spans="1:12" x14ac:dyDescent="0.25">
      <c r="A81" s="24" t="s">
        <v>193</v>
      </c>
      <c r="B81" s="23" t="s">
        <v>826</v>
      </c>
      <c r="C81" s="43">
        <v>8</v>
      </c>
      <c r="D81" s="43">
        <v>4</v>
      </c>
      <c r="E81" s="103">
        <v>890.16</v>
      </c>
      <c r="F81" s="48">
        <f t="shared" si="80"/>
        <v>445.08</v>
      </c>
      <c r="G81" s="41">
        <f t="shared" si="81"/>
        <v>1335.24</v>
      </c>
      <c r="H81" s="53">
        <f t="shared" si="82"/>
        <v>1001.4300000000001</v>
      </c>
      <c r="I81" s="54">
        <f t="shared" si="83"/>
        <v>445.08</v>
      </c>
      <c r="J81" s="55">
        <f t="shared" si="84"/>
        <v>1780.32</v>
      </c>
      <c r="K81" s="56">
        <f t="shared" si="85"/>
        <v>1335.24</v>
      </c>
      <c r="L81" s="177"/>
    </row>
    <row r="82" spans="1:12" x14ac:dyDescent="0.25">
      <c r="A82" s="24"/>
      <c r="B82" s="23"/>
      <c r="C82" s="43"/>
      <c r="D82" s="43"/>
      <c r="E82" s="103"/>
      <c r="F82" s="42"/>
      <c r="G82" s="104"/>
      <c r="H82" s="3"/>
      <c r="I82" s="25"/>
      <c r="J82" s="106"/>
      <c r="K82" s="110"/>
      <c r="L82" s="177"/>
    </row>
    <row r="83" spans="1:12" x14ac:dyDescent="0.25">
      <c r="A83" s="24" t="s">
        <v>198</v>
      </c>
      <c r="B83" s="23" t="s">
        <v>2179</v>
      </c>
      <c r="C83" s="43">
        <v>4</v>
      </c>
      <c r="D83" s="43">
        <v>4</v>
      </c>
      <c r="E83" s="103">
        <v>890.16</v>
      </c>
      <c r="F83" s="48">
        <f t="shared" si="80"/>
        <v>445.08</v>
      </c>
      <c r="G83" s="41">
        <f t="shared" ref="G83:G86" si="86">E83+F83</f>
        <v>1335.24</v>
      </c>
      <c r="H83" s="53">
        <f t="shared" ref="H83:H86" si="87">G83-(G83*25%)</f>
        <v>1001.4300000000001</v>
      </c>
      <c r="I83" s="54">
        <f t="shared" ref="I83:I86" si="88">E83*50%</f>
        <v>445.08</v>
      </c>
      <c r="J83" s="55">
        <f t="shared" ref="J83:J86" si="89">E83+(I83*2)</f>
        <v>1780.32</v>
      </c>
      <c r="K83" s="56">
        <f t="shared" ref="K83:K86" si="90">J83-(J83*25%)</f>
        <v>1335.24</v>
      </c>
      <c r="L83" s="177"/>
    </row>
    <row r="84" spans="1:12" x14ac:dyDescent="0.25">
      <c r="A84" s="24" t="s">
        <v>199</v>
      </c>
      <c r="B84" s="23" t="s">
        <v>2179</v>
      </c>
      <c r="C84" s="43">
        <v>4</v>
      </c>
      <c r="D84" s="43">
        <v>4</v>
      </c>
      <c r="E84" s="103">
        <v>890.16</v>
      </c>
      <c r="F84" s="48">
        <f t="shared" si="80"/>
        <v>445.08</v>
      </c>
      <c r="G84" s="41">
        <f t="shared" si="86"/>
        <v>1335.24</v>
      </c>
      <c r="H84" s="53">
        <f t="shared" si="87"/>
        <v>1001.4300000000001</v>
      </c>
      <c r="I84" s="54">
        <f t="shared" si="88"/>
        <v>445.08</v>
      </c>
      <c r="J84" s="55">
        <f t="shared" si="89"/>
        <v>1780.32</v>
      </c>
      <c r="K84" s="56">
        <f t="shared" si="90"/>
        <v>1335.24</v>
      </c>
      <c r="L84" s="177"/>
    </row>
    <row r="85" spans="1:12" x14ac:dyDescent="0.25">
      <c r="A85" s="24" t="s">
        <v>200</v>
      </c>
      <c r="B85" s="23"/>
      <c r="C85" s="43">
        <v>4</v>
      </c>
      <c r="D85" s="43">
        <v>4</v>
      </c>
      <c r="E85" s="103">
        <v>890.16</v>
      </c>
      <c r="F85" s="48">
        <f t="shared" si="80"/>
        <v>445.08</v>
      </c>
      <c r="G85" s="41">
        <f t="shared" si="86"/>
        <v>1335.24</v>
      </c>
      <c r="H85" s="53">
        <f t="shared" si="87"/>
        <v>1001.4300000000001</v>
      </c>
      <c r="I85" s="54">
        <f t="shared" si="88"/>
        <v>445.08</v>
      </c>
      <c r="J85" s="55">
        <f t="shared" si="89"/>
        <v>1780.32</v>
      </c>
      <c r="K85" s="56">
        <f t="shared" si="90"/>
        <v>1335.24</v>
      </c>
      <c r="L85" s="177"/>
    </row>
    <row r="86" spans="1:12" x14ac:dyDescent="0.25">
      <c r="A86" s="24" t="s">
        <v>202</v>
      </c>
      <c r="B86" s="23" t="s">
        <v>1720</v>
      </c>
      <c r="C86" s="43">
        <v>4</v>
      </c>
      <c r="D86" s="43">
        <v>4</v>
      </c>
      <c r="E86" s="103">
        <v>890.16</v>
      </c>
      <c r="F86" s="48">
        <f t="shared" si="80"/>
        <v>445.08</v>
      </c>
      <c r="G86" s="41">
        <f t="shared" si="86"/>
        <v>1335.24</v>
      </c>
      <c r="H86" s="53">
        <f t="shared" si="87"/>
        <v>1001.4300000000001</v>
      </c>
      <c r="I86" s="54">
        <f t="shared" si="88"/>
        <v>445.08</v>
      </c>
      <c r="J86" s="55">
        <f t="shared" si="89"/>
        <v>1780.32</v>
      </c>
      <c r="K86" s="56">
        <f t="shared" si="90"/>
        <v>1335.24</v>
      </c>
      <c r="L86" s="177"/>
    </row>
    <row r="87" spans="1:12" x14ac:dyDescent="0.25">
      <c r="A87" s="24"/>
      <c r="B87" s="23"/>
      <c r="C87" s="43"/>
      <c r="D87" s="43"/>
      <c r="E87" s="103"/>
      <c r="F87" s="42"/>
      <c r="G87" s="104"/>
      <c r="H87" s="3"/>
      <c r="I87" s="25"/>
      <c r="J87" s="106"/>
      <c r="K87" s="110"/>
      <c r="L87" s="177"/>
    </row>
    <row r="88" spans="1:12" x14ac:dyDescent="0.25">
      <c r="A88" s="24" t="s">
        <v>209</v>
      </c>
      <c r="B88" s="23" t="s">
        <v>2224</v>
      </c>
      <c r="C88" s="43">
        <v>4</v>
      </c>
      <c r="D88" s="43">
        <v>4</v>
      </c>
      <c r="E88" s="103">
        <v>890.16</v>
      </c>
      <c r="F88" s="48">
        <f t="shared" si="80"/>
        <v>445.08</v>
      </c>
      <c r="G88" s="41">
        <f t="shared" ref="G88:G91" si="91">E88+F88</f>
        <v>1335.24</v>
      </c>
      <c r="H88" s="53">
        <f t="shared" ref="H88:H91" si="92">G88-(G88*25%)</f>
        <v>1001.4300000000001</v>
      </c>
      <c r="I88" s="54">
        <f t="shared" ref="I88:I91" si="93">E88*50%</f>
        <v>445.08</v>
      </c>
      <c r="J88" s="55">
        <f t="shared" ref="J88:J91" si="94">E88+(I88*2)</f>
        <v>1780.32</v>
      </c>
      <c r="K88" s="56">
        <f t="shared" ref="K88:K91" si="95">J88-(J88*25%)</f>
        <v>1335.24</v>
      </c>
      <c r="L88" s="177"/>
    </row>
    <row r="89" spans="1:12" x14ac:dyDescent="0.25">
      <c r="A89" s="24" t="s">
        <v>211</v>
      </c>
      <c r="B89" s="23"/>
      <c r="C89" s="43">
        <v>4</v>
      </c>
      <c r="D89" s="43">
        <v>4</v>
      </c>
      <c r="E89" s="103">
        <v>890.16</v>
      </c>
      <c r="F89" s="48">
        <f t="shared" si="80"/>
        <v>445.08</v>
      </c>
      <c r="G89" s="41">
        <f t="shared" si="91"/>
        <v>1335.24</v>
      </c>
      <c r="H89" s="53">
        <f t="shared" si="92"/>
        <v>1001.4300000000001</v>
      </c>
      <c r="I89" s="54">
        <f t="shared" si="93"/>
        <v>445.08</v>
      </c>
      <c r="J89" s="55">
        <f t="shared" si="94"/>
        <v>1780.32</v>
      </c>
      <c r="K89" s="56">
        <f t="shared" si="95"/>
        <v>1335.24</v>
      </c>
      <c r="L89" s="177"/>
    </row>
    <row r="90" spans="1:12" x14ac:dyDescent="0.25">
      <c r="A90" s="24" t="s">
        <v>212</v>
      </c>
      <c r="B90" s="23" t="s">
        <v>2120</v>
      </c>
      <c r="C90" s="43">
        <v>8</v>
      </c>
      <c r="D90" s="43">
        <v>4</v>
      </c>
      <c r="E90" s="103">
        <v>890.16</v>
      </c>
      <c r="F90" s="48">
        <f t="shared" si="80"/>
        <v>445.08</v>
      </c>
      <c r="G90" s="41">
        <f t="shared" si="91"/>
        <v>1335.24</v>
      </c>
      <c r="H90" s="53">
        <f t="shared" si="92"/>
        <v>1001.4300000000001</v>
      </c>
      <c r="I90" s="54">
        <f t="shared" si="93"/>
        <v>445.08</v>
      </c>
      <c r="J90" s="55">
        <f t="shared" si="94"/>
        <v>1780.32</v>
      </c>
      <c r="K90" s="56">
        <f t="shared" si="95"/>
        <v>1335.24</v>
      </c>
      <c r="L90" s="177"/>
    </row>
    <row r="91" spans="1:12" x14ac:dyDescent="0.25">
      <c r="A91" s="24" t="s">
        <v>213</v>
      </c>
      <c r="B91" s="23" t="s">
        <v>2120</v>
      </c>
      <c r="C91" s="43"/>
      <c r="D91" s="43">
        <v>4</v>
      </c>
      <c r="E91" s="103">
        <v>890.16</v>
      </c>
      <c r="F91" s="48">
        <f t="shared" si="80"/>
        <v>445.08</v>
      </c>
      <c r="G91" s="41">
        <f t="shared" si="91"/>
        <v>1335.24</v>
      </c>
      <c r="H91" s="53">
        <f t="shared" si="92"/>
        <v>1001.4300000000001</v>
      </c>
      <c r="I91" s="54">
        <f t="shared" si="93"/>
        <v>445.08</v>
      </c>
      <c r="J91" s="55">
        <f t="shared" si="94"/>
        <v>1780.32</v>
      </c>
      <c r="K91" s="56">
        <f t="shared" si="95"/>
        <v>1335.24</v>
      </c>
      <c r="L91" s="177"/>
    </row>
    <row r="92" spans="1:12" x14ac:dyDescent="0.25">
      <c r="A92" s="24"/>
      <c r="B92" s="23"/>
      <c r="C92" s="43"/>
      <c r="D92" s="43"/>
      <c r="E92" s="103"/>
      <c r="F92" s="42"/>
      <c r="G92" s="104"/>
      <c r="H92" s="3"/>
      <c r="I92" s="25"/>
      <c r="J92" s="106"/>
      <c r="K92" s="110"/>
      <c r="L92" s="177"/>
    </row>
    <row r="93" spans="1:12" x14ac:dyDescent="0.25">
      <c r="A93" s="24" t="s">
        <v>250</v>
      </c>
      <c r="B93" s="23" t="s">
        <v>1922</v>
      </c>
      <c r="C93" s="43"/>
      <c r="D93" s="43">
        <v>4</v>
      </c>
      <c r="E93" s="103">
        <v>890.16</v>
      </c>
      <c r="F93" s="48">
        <f t="shared" si="80"/>
        <v>445.08</v>
      </c>
      <c r="G93" s="41">
        <f t="shared" ref="G93:G96" si="96">E93+F93</f>
        <v>1335.24</v>
      </c>
      <c r="H93" s="53">
        <f t="shared" ref="H93:H96" si="97">G93-(G93*25%)</f>
        <v>1001.4300000000001</v>
      </c>
      <c r="I93" s="54">
        <f t="shared" ref="I93:I96" si="98">E93*50%</f>
        <v>445.08</v>
      </c>
      <c r="J93" s="55">
        <f t="shared" ref="J93:J96" si="99">E93+(I93*2)</f>
        <v>1780.32</v>
      </c>
      <c r="K93" s="56">
        <f t="shared" ref="K93:K96" si="100">J93-(J93*25%)</f>
        <v>1335.24</v>
      </c>
      <c r="L93" s="177"/>
    </row>
    <row r="94" spans="1:12" x14ac:dyDescent="0.25">
      <c r="A94" s="24" t="s">
        <v>251</v>
      </c>
      <c r="B94" s="23" t="s">
        <v>2216</v>
      </c>
      <c r="C94" s="43"/>
      <c r="D94" s="43">
        <v>4</v>
      </c>
      <c r="E94" s="103">
        <v>890.16</v>
      </c>
      <c r="F94" s="48">
        <f t="shared" si="80"/>
        <v>445.08</v>
      </c>
      <c r="G94" s="41">
        <f t="shared" si="96"/>
        <v>1335.24</v>
      </c>
      <c r="H94" s="53">
        <f t="shared" si="97"/>
        <v>1001.4300000000001</v>
      </c>
      <c r="I94" s="54">
        <f t="shared" si="98"/>
        <v>445.08</v>
      </c>
      <c r="J94" s="55">
        <f t="shared" si="99"/>
        <v>1780.32</v>
      </c>
      <c r="K94" s="56">
        <f t="shared" si="100"/>
        <v>1335.24</v>
      </c>
      <c r="L94" s="177"/>
    </row>
    <row r="95" spans="1:12" x14ac:dyDescent="0.25">
      <c r="A95" s="24" t="s">
        <v>252</v>
      </c>
      <c r="B95" s="23" t="s">
        <v>2195</v>
      </c>
      <c r="C95" s="43"/>
      <c r="D95" s="43">
        <v>4</v>
      </c>
      <c r="E95" s="103">
        <v>890.16</v>
      </c>
      <c r="F95" s="48">
        <f t="shared" si="80"/>
        <v>445.08</v>
      </c>
      <c r="G95" s="41">
        <f t="shared" si="96"/>
        <v>1335.24</v>
      </c>
      <c r="H95" s="53">
        <f t="shared" si="97"/>
        <v>1001.4300000000001</v>
      </c>
      <c r="I95" s="54">
        <f t="shared" si="98"/>
        <v>445.08</v>
      </c>
      <c r="J95" s="55">
        <f t="shared" si="99"/>
        <v>1780.32</v>
      </c>
      <c r="K95" s="56">
        <f t="shared" si="100"/>
        <v>1335.24</v>
      </c>
      <c r="L95" s="177"/>
    </row>
    <row r="96" spans="1:12" x14ac:dyDescent="0.25">
      <c r="A96" s="24" t="s">
        <v>253</v>
      </c>
      <c r="B96" s="23" t="s">
        <v>1407</v>
      </c>
      <c r="C96" s="43">
        <v>4</v>
      </c>
      <c r="D96" s="43">
        <v>4</v>
      </c>
      <c r="E96" s="103">
        <v>890.16</v>
      </c>
      <c r="F96" s="48">
        <f t="shared" si="80"/>
        <v>445.08</v>
      </c>
      <c r="G96" s="41">
        <f t="shared" si="96"/>
        <v>1335.24</v>
      </c>
      <c r="H96" s="53">
        <f t="shared" si="97"/>
        <v>1001.4300000000001</v>
      </c>
      <c r="I96" s="54">
        <f t="shared" si="98"/>
        <v>445.08</v>
      </c>
      <c r="J96" s="55">
        <f t="shared" si="99"/>
        <v>1780.32</v>
      </c>
      <c r="K96" s="56">
        <f t="shared" si="100"/>
        <v>1335.24</v>
      </c>
      <c r="L96" s="177"/>
    </row>
    <row r="97" spans="1:12" x14ac:dyDescent="0.25">
      <c r="A97" s="30"/>
      <c r="B97" s="23"/>
      <c r="C97" s="30"/>
      <c r="D97" s="263"/>
      <c r="E97" s="30"/>
      <c r="F97" s="42"/>
      <c r="G97" s="128"/>
      <c r="H97" s="3"/>
      <c r="I97" s="25"/>
      <c r="J97" s="106"/>
      <c r="K97" s="110"/>
      <c r="L97" s="177"/>
    </row>
    <row r="98" spans="1:12" x14ac:dyDescent="0.25">
      <c r="A98" s="24" t="s">
        <v>281</v>
      </c>
      <c r="B98" s="23" t="s">
        <v>1724</v>
      </c>
      <c r="C98" s="43">
        <v>8</v>
      </c>
      <c r="D98" s="43">
        <v>4</v>
      </c>
      <c r="E98" s="103">
        <v>890.16</v>
      </c>
      <c r="F98" s="48">
        <f t="shared" ref="F98:F101" si="101">E98*50%</f>
        <v>445.08</v>
      </c>
      <c r="G98" s="41">
        <f t="shared" ref="G98:G101" si="102">E98+F98</f>
        <v>1335.24</v>
      </c>
      <c r="H98" s="53">
        <f t="shared" ref="H98:H101" si="103">G98-(G98*25%)</f>
        <v>1001.4300000000001</v>
      </c>
      <c r="I98" s="54">
        <f t="shared" ref="I98:I101" si="104">E98*50%</f>
        <v>445.08</v>
      </c>
      <c r="J98" s="55">
        <f t="shared" ref="J98:J101" si="105">E98+(I98*2)</f>
        <v>1780.32</v>
      </c>
      <c r="K98" s="56">
        <f t="shared" ref="K98:K101" si="106">J98-(J98*25%)</f>
        <v>1335.24</v>
      </c>
      <c r="L98" s="177"/>
    </row>
    <row r="99" spans="1:12" x14ac:dyDescent="0.25">
      <c r="A99" s="24" t="s">
        <v>282</v>
      </c>
      <c r="B99" s="23" t="s">
        <v>820</v>
      </c>
      <c r="C99" s="43">
        <v>4</v>
      </c>
      <c r="D99" s="43">
        <v>4</v>
      </c>
      <c r="E99" s="103">
        <v>890.16</v>
      </c>
      <c r="F99" s="48">
        <f t="shared" si="101"/>
        <v>445.08</v>
      </c>
      <c r="G99" s="41">
        <f t="shared" si="102"/>
        <v>1335.24</v>
      </c>
      <c r="H99" s="53">
        <f t="shared" si="103"/>
        <v>1001.4300000000001</v>
      </c>
      <c r="I99" s="54">
        <f t="shared" si="104"/>
        <v>445.08</v>
      </c>
      <c r="J99" s="55">
        <f t="shared" si="105"/>
        <v>1780.32</v>
      </c>
      <c r="K99" s="56">
        <f t="shared" si="106"/>
        <v>1335.24</v>
      </c>
      <c r="L99" s="177"/>
    </row>
    <row r="100" spans="1:12" x14ac:dyDescent="0.25">
      <c r="A100" s="24" t="s">
        <v>284</v>
      </c>
      <c r="B100" s="23" t="s">
        <v>1923</v>
      </c>
      <c r="C100" s="43"/>
      <c r="D100" s="43">
        <v>4</v>
      </c>
      <c r="E100" s="103">
        <v>890.16</v>
      </c>
      <c r="F100" s="48">
        <f t="shared" si="101"/>
        <v>445.08</v>
      </c>
      <c r="G100" s="41">
        <f t="shared" si="102"/>
        <v>1335.24</v>
      </c>
      <c r="H100" s="53">
        <f t="shared" si="103"/>
        <v>1001.4300000000001</v>
      </c>
      <c r="I100" s="54">
        <f t="shared" si="104"/>
        <v>445.08</v>
      </c>
      <c r="J100" s="55">
        <f t="shared" si="105"/>
        <v>1780.32</v>
      </c>
      <c r="K100" s="56">
        <f t="shared" si="106"/>
        <v>1335.24</v>
      </c>
      <c r="L100" s="177"/>
    </row>
    <row r="101" spans="1:12" x14ac:dyDescent="0.25">
      <c r="A101" s="24" t="s">
        <v>286</v>
      </c>
      <c r="B101" s="23" t="s">
        <v>2091</v>
      </c>
      <c r="C101" s="43">
        <v>4</v>
      </c>
      <c r="D101" s="43">
        <v>4</v>
      </c>
      <c r="E101" s="103">
        <v>890.16</v>
      </c>
      <c r="F101" s="48">
        <f t="shared" si="101"/>
        <v>445.08</v>
      </c>
      <c r="G101" s="41">
        <f t="shared" si="102"/>
        <v>1335.24</v>
      </c>
      <c r="H101" s="53">
        <f t="shared" si="103"/>
        <v>1001.4300000000001</v>
      </c>
      <c r="I101" s="54">
        <f t="shared" si="104"/>
        <v>445.08</v>
      </c>
      <c r="J101" s="55">
        <f t="shared" si="105"/>
        <v>1780.32</v>
      </c>
      <c r="K101" s="56">
        <f t="shared" si="106"/>
        <v>1335.24</v>
      </c>
      <c r="L101" s="177"/>
    </row>
    <row r="102" spans="1:12" s="8" customFormat="1" x14ac:dyDescent="0.25">
      <c r="A102" s="62"/>
      <c r="B102" s="60"/>
      <c r="C102" s="61"/>
      <c r="D102" s="61"/>
      <c r="E102" s="129"/>
      <c r="F102" s="85"/>
      <c r="G102" s="128"/>
      <c r="H102" s="128"/>
      <c r="I102" s="25"/>
      <c r="J102" s="130"/>
      <c r="K102" s="131"/>
      <c r="L102" s="179"/>
    </row>
    <row r="103" spans="1:12" s="8" customFormat="1" x14ac:dyDescent="0.25">
      <c r="A103" s="24" t="s">
        <v>316</v>
      </c>
      <c r="B103" s="23" t="s">
        <v>2076</v>
      </c>
      <c r="C103" s="43">
        <v>4</v>
      </c>
      <c r="D103" s="43">
        <v>4</v>
      </c>
      <c r="E103" s="103">
        <v>890.16</v>
      </c>
      <c r="F103" s="48">
        <f t="shared" ref="F103:F106" si="107">E103*50%</f>
        <v>445.08</v>
      </c>
      <c r="G103" s="41">
        <f t="shared" ref="G103:G106" si="108">E103+F103</f>
        <v>1335.24</v>
      </c>
      <c r="H103" s="53">
        <f t="shared" ref="H103:H106" si="109">G103-(G103*25%)</f>
        <v>1001.4300000000001</v>
      </c>
      <c r="I103" s="54">
        <f t="shared" ref="I103:I106" si="110">E103*50%</f>
        <v>445.08</v>
      </c>
      <c r="J103" s="55">
        <f t="shared" ref="J103:J106" si="111">E103+(I103*2)</f>
        <v>1780.32</v>
      </c>
      <c r="K103" s="56">
        <f t="shared" ref="K103:K106" si="112">J103-(J103*25%)</f>
        <v>1335.24</v>
      </c>
      <c r="L103" s="179"/>
    </row>
    <row r="104" spans="1:12" s="8" customFormat="1" x14ac:dyDescent="0.25">
      <c r="A104" s="24" t="s">
        <v>317</v>
      </c>
      <c r="B104" s="23" t="s">
        <v>829</v>
      </c>
      <c r="C104" s="43">
        <v>4</v>
      </c>
      <c r="D104" s="43">
        <v>4</v>
      </c>
      <c r="E104" s="103">
        <v>890.16</v>
      </c>
      <c r="F104" s="48">
        <f t="shared" si="107"/>
        <v>445.08</v>
      </c>
      <c r="G104" s="41">
        <f t="shared" si="108"/>
        <v>1335.24</v>
      </c>
      <c r="H104" s="53">
        <f t="shared" si="109"/>
        <v>1001.4300000000001</v>
      </c>
      <c r="I104" s="54">
        <f t="shared" si="110"/>
        <v>445.08</v>
      </c>
      <c r="J104" s="55">
        <f t="shared" si="111"/>
        <v>1780.32</v>
      </c>
      <c r="K104" s="56">
        <f t="shared" si="112"/>
        <v>1335.24</v>
      </c>
      <c r="L104" s="179"/>
    </row>
    <row r="105" spans="1:12" x14ac:dyDescent="0.25">
      <c r="A105" s="24" t="s">
        <v>318</v>
      </c>
      <c r="B105" s="23" t="s">
        <v>2132</v>
      </c>
      <c r="C105" s="43">
        <v>4</v>
      </c>
      <c r="D105" s="43">
        <v>4</v>
      </c>
      <c r="E105" s="103">
        <v>890.16</v>
      </c>
      <c r="F105" s="48">
        <f t="shared" si="107"/>
        <v>445.08</v>
      </c>
      <c r="G105" s="41">
        <f t="shared" si="108"/>
        <v>1335.24</v>
      </c>
      <c r="H105" s="53">
        <f t="shared" si="109"/>
        <v>1001.4300000000001</v>
      </c>
      <c r="I105" s="54">
        <f t="shared" si="110"/>
        <v>445.08</v>
      </c>
      <c r="J105" s="55">
        <f t="shared" si="111"/>
        <v>1780.32</v>
      </c>
      <c r="K105" s="56">
        <f t="shared" si="112"/>
        <v>1335.24</v>
      </c>
      <c r="L105" s="177"/>
    </row>
    <row r="106" spans="1:12" x14ac:dyDescent="0.25">
      <c r="A106" s="24" t="s">
        <v>319</v>
      </c>
      <c r="B106" s="23" t="s">
        <v>830</v>
      </c>
      <c r="C106" s="43">
        <v>4</v>
      </c>
      <c r="D106" s="43">
        <v>4</v>
      </c>
      <c r="E106" s="103">
        <v>890.16</v>
      </c>
      <c r="F106" s="48">
        <f t="shared" si="107"/>
        <v>445.08</v>
      </c>
      <c r="G106" s="41">
        <f t="shared" si="108"/>
        <v>1335.24</v>
      </c>
      <c r="H106" s="53">
        <f t="shared" si="109"/>
        <v>1001.4300000000001</v>
      </c>
      <c r="I106" s="54">
        <f t="shared" si="110"/>
        <v>445.08</v>
      </c>
      <c r="J106" s="55">
        <f t="shared" si="111"/>
        <v>1780.32</v>
      </c>
      <c r="K106" s="56">
        <f t="shared" si="112"/>
        <v>1335.24</v>
      </c>
      <c r="L106" s="177"/>
    </row>
    <row r="107" spans="1:12" s="1" customFormat="1" x14ac:dyDescent="0.25">
      <c r="A107" s="69"/>
      <c r="B107" s="132" t="s">
        <v>1435</v>
      </c>
      <c r="C107" s="133"/>
      <c r="D107" s="28">
        <f>SUM(D3:D106)</f>
        <v>336</v>
      </c>
      <c r="E107" s="28"/>
      <c r="F107" s="25"/>
      <c r="G107" s="25"/>
      <c r="H107" s="25"/>
      <c r="I107" s="25"/>
      <c r="J107" s="28">
        <f t="shared" ref="J107:K107" si="113">SUM(J3:J106)</f>
        <v>149546.88000000032</v>
      </c>
      <c r="K107" s="28">
        <f t="shared" si="113"/>
        <v>112160.16000000015</v>
      </c>
      <c r="L107" s="183"/>
    </row>
    <row r="109" spans="1:12" s="9" customFormat="1" x14ac:dyDescent="0.25">
      <c r="A109" s="31"/>
      <c r="B109" s="66"/>
      <c r="C109" s="31"/>
      <c r="D109" s="31"/>
      <c r="E109" s="31"/>
      <c r="F109" s="31"/>
      <c r="G109" s="124"/>
      <c r="H109" s="96"/>
      <c r="I109" s="102"/>
      <c r="J109" s="92"/>
      <c r="K109" s="97"/>
    </row>
  </sheetData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zoomScaleNormal="100" workbookViewId="0">
      <pane xSplit="2" ySplit="2" topLeftCell="C39" activePane="bottomRight" state="frozen"/>
      <selection pane="topRight" activeCell="C1" sqref="C1"/>
      <selection pane="bottomLeft" activeCell="A4" sqref="A4"/>
      <selection pane="bottomRight" activeCell="J48" sqref="J48"/>
    </sheetView>
  </sheetViews>
  <sheetFormatPr defaultRowHeight="15" x14ac:dyDescent="0.25"/>
  <cols>
    <col min="1" max="1" width="8.85546875" customWidth="1"/>
    <col min="2" max="2" width="25.5703125" customWidth="1"/>
    <col min="3" max="3" width="11.42578125" customWidth="1"/>
    <col min="4" max="4" width="12.42578125" customWidth="1"/>
    <col min="5" max="5" width="11.7109375" customWidth="1"/>
    <col min="6" max="6" width="12.5703125" customWidth="1"/>
    <col min="7" max="7" width="12.28515625" customWidth="1"/>
    <col min="8" max="8" width="13.5703125" customWidth="1"/>
    <col min="9" max="9" width="11.42578125" customWidth="1"/>
    <col min="10" max="10" width="12" customWidth="1"/>
    <col min="11" max="11" width="14.28515625" customWidth="1"/>
    <col min="12" max="12" width="15.140625" customWidth="1"/>
  </cols>
  <sheetData>
    <row r="1" spans="1:12" ht="15.75" x14ac:dyDescent="0.25">
      <c r="A1" s="31"/>
      <c r="B1" s="21" t="s">
        <v>848</v>
      </c>
      <c r="C1" s="31"/>
      <c r="D1" s="31"/>
      <c r="E1" s="31"/>
      <c r="F1" s="31"/>
      <c r="G1" s="31"/>
      <c r="H1" s="124"/>
      <c r="I1" s="96"/>
      <c r="J1" s="210"/>
      <c r="K1" s="97"/>
      <c r="L1" s="167"/>
    </row>
    <row r="2" spans="1:12" s="19" customFormat="1" ht="45" x14ac:dyDescent="0.25">
      <c r="A2" s="13" t="s">
        <v>1705</v>
      </c>
      <c r="B2" s="73" t="s">
        <v>1847</v>
      </c>
      <c r="C2" s="13" t="s">
        <v>1874</v>
      </c>
      <c r="D2" s="13" t="s">
        <v>1875</v>
      </c>
      <c r="E2" s="17" t="s">
        <v>1876</v>
      </c>
      <c r="F2" s="70" t="s">
        <v>1877</v>
      </c>
      <c r="G2" s="71" t="s">
        <v>1878</v>
      </c>
      <c r="H2" s="15" t="s">
        <v>1895</v>
      </c>
      <c r="I2" s="72" t="s">
        <v>1880</v>
      </c>
      <c r="J2" s="196" t="s">
        <v>1881</v>
      </c>
      <c r="K2" s="16" t="s">
        <v>1612</v>
      </c>
      <c r="L2" s="13" t="s">
        <v>1964</v>
      </c>
    </row>
    <row r="3" spans="1:12" ht="15.75" x14ac:dyDescent="0.25">
      <c r="A3" s="24" t="s">
        <v>0</v>
      </c>
      <c r="B3" s="23" t="s">
        <v>1620</v>
      </c>
      <c r="C3" s="43">
        <v>12.28</v>
      </c>
      <c r="D3" s="103">
        <v>6.25</v>
      </c>
      <c r="E3" s="43">
        <v>584.82500000000005</v>
      </c>
      <c r="F3" s="48">
        <f t="shared" ref="F3:F6" si="0">E3*50%</f>
        <v>292.41250000000002</v>
      </c>
      <c r="G3" s="41">
        <f t="shared" ref="G3:G6" si="1">E3+F3</f>
        <v>877.23750000000007</v>
      </c>
      <c r="H3" s="53">
        <f t="shared" ref="H3:H6" si="2">G3-(G3*25%)</f>
        <v>657.92812500000002</v>
      </c>
      <c r="I3" s="54">
        <f t="shared" ref="I3:I6" si="3">E3*50%</f>
        <v>292.41250000000002</v>
      </c>
      <c r="J3" s="55">
        <f t="shared" ref="J3:J6" si="4">E3+(I3*2)</f>
        <v>1169.6500000000001</v>
      </c>
      <c r="K3" s="56">
        <f t="shared" ref="K3:K6" si="5">J3-(J3*25%)</f>
        <v>877.23750000000007</v>
      </c>
      <c r="L3" s="181"/>
    </row>
    <row r="4" spans="1:12" ht="15.75" x14ac:dyDescent="0.25">
      <c r="A4" s="24" t="s">
        <v>2</v>
      </c>
      <c r="B4" s="23" t="s">
        <v>1620</v>
      </c>
      <c r="C4" s="23"/>
      <c r="D4" s="103">
        <v>6.25</v>
      </c>
      <c r="E4" s="43">
        <v>584.82500000000005</v>
      </c>
      <c r="F4" s="48">
        <f t="shared" si="0"/>
        <v>292.41250000000002</v>
      </c>
      <c r="G4" s="41">
        <f t="shared" si="1"/>
        <v>877.23750000000007</v>
      </c>
      <c r="H4" s="53">
        <f t="shared" si="2"/>
        <v>657.92812500000002</v>
      </c>
      <c r="I4" s="54">
        <f t="shared" si="3"/>
        <v>292.41250000000002</v>
      </c>
      <c r="J4" s="55">
        <f t="shared" si="4"/>
        <v>1169.6500000000001</v>
      </c>
      <c r="K4" s="56">
        <f t="shared" si="5"/>
        <v>877.23750000000007</v>
      </c>
      <c r="L4" s="181"/>
    </row>
    <row r="5" spans="1:12" ht="15.75" x14ac:dyDescent="0.25">
      <c r="A5" s="24" t="s">
        <v>3</v>
      </c>
      <c r="B5" s="23" t="s">
        <v>833</v>
      </c>
      <c r="C5" s="43">
        <v>8.5790000000000006</v>
      </c>
      <c r="D5" s="103">
        <v>6.5</v>
      </c>
      <c r="E5" s="103">
        <v>608.20000000000005</v>
      </c>
      <c r="F5" s="48">
        <f t="shared" si="0"/>
        <v>304.10000000000002</v>
      </c>
      <c r="G5" s="41">
        <f t="shared" si="1"/>
        <v>912.30000000000007</v>
      </c>
      <c r="H5" s="53">
        <f t="shared" si="2"/>
        <v>684.22500000000002</v>
      </c>
      <c r="I5" s="54">
        <f t="shared" si="3"/>
        <v>304.10000000000002</v>
      </c>
      <c r="J5" s="55">
        <f t="shared" si="4"/>
        <v>1216.4000000000001</v>
      </c>
      <c r="K5" s="56">
        <f t="shared" si="5"/>
        <v>912.30000000000007</v>
      </c>
      <c r="L5" s="181"/>
    </row>
    <row r="6" spans="1:12" ht="16.5" customHeight="1" x14ac:dyDescent="0.25">
      <c r="A6" s="24" t="s">
        <v>5</v>
      </c>
      <c r="B6" s="23" t="s">
        <v>834</v>
      </c>
      <c r="C6" s="43">
        <v>6.9169999999999998</v>
      </c>
      <c r="D6" s="135">
        <v>4.8440000000000003</v>
      </c>
      <c r="E6" s="135">
        <v>415.56</v>
      </c>
      <c r="F6" s="48">
        <f t="shared" si="0"/>
        <v>207.78</v>
      </c>
      <c r="G6" s="41">
        <f t="shared" si="1"/>
        <v>623.34</v>
      </c>
      <c r="H6" s="53">
        <f t="shared" si="2"/>
        <v>467.505</v>
      </c>
      <c r="I6" s="54">
        <f t="shared" si="3"/>
        <v>207.78</v>
      </c>
      <c r="J6" s="55">
        <f t="shared" si="4"/>
        <v>831.12</v>
      </c>
      <c r="K6" s="56">
        <f t="shared" si="5"/>
        <v>623.34</v>
      </c>
      <c r="L6" s="184"/>
    </row>
    <row r="7" spans="1:12" ht="15.75" x14ac:dyDescent="0.25">
      <c r="A7" s="24"/>
      <c r="B7" s="23"/>
      <c r="C7" s="23"/>
      <c r="D7" s="103"/>
      <c r="E7" s="23"/>
      <c r="F7" s="136"/>
      <c r="G7" s="42"/>
      <c r="H7" s="104"/>
      <c r="I7" s="3"/>
      <c r="J7" s="203"/>
      <c r="K7" s="110"/>
      <c r="L7" s="181"/>
    </row>
    <row r="8" spans="1:12" ht="15.75" x14ac:dyDescent="0.25">
      <c r="A8" s="24" t="s">
        <v>9</v>
      </c>
      <c r="B8" s="23" t="s">
        <v>835</v>
      </c>
      <c r="C8" s="23"/>
      <c r="D8" s="103">
        <v>3.95</v>
      </c>
      <c r="E8" s="103">
        <v>369.6</v>
      </c>
      <c r="F8" s="48">
        <f t="shared" ref="F8:F12" si="6">E8*50%</f>
        <v>184.8</v>
      </c>
      <c r="G8" s="41">
        <f t="shared" ref="G8:G12" si="7">E8+F8</f>
        <v>554.40000000000009</v>
      </c>
      <c r="H8" s="53">
        <f t="shared" ref="H8:H12" si="8">G8-(G8*25%)</f>
        <v>415.80000000000007</v>
      </c>
      <c r="I8" s="54">
        <f t="shared" ref="I8:I12" si="9">E8*50%</f>
        <v>184.8</v>
      </c>
      <c r="J8" s="55">
        <f t="shared" ref="J8:J12" si="10">E8+(I8*2)</f>
        <v>739.2</v>
      </c>
      <c r="K8" s="56">
        <f t="shared" ref="K8:K12" si="11">J8-(J8*25%)</f>
        <v>554.40000000000009</v>
      </c>
      <c r="L8" s="181"/>
    </row>
    <row r="9" spans="1:12" ht="15.75" x14ac:dyDescent="0.25">
      <c r="A9" s="24" t="s">
        <v>10</v>
      </c>
      <c r="B9" s="23" t="s">
        <v>836</v>
      </c>
      <c r="C9" s="43">
        <v>7.4779999999999998</v>
      </c>
      <c r="D9" s="103">
        <v>6.5</v>
      </c>
      <c r="E9" s="103">
        <v>699.9</v>
      </c>
      <c r="F9" s="48">
        <f t="shared" si="6"/>
        <v>349.95</v>
      </c>
      <c r="G9" s="41">
        <f t="shared" si="7"/>
        <v>1049.8499999999999</v>
      </c>
      <c r="H9" s="53">
        <f t="shared" si="8"/>
        <v>787.38749999999993</v>
      </c>
      <c r="I9" s="54">
        <f t="shared" si="9"/>
        <v>349.95</v>
      </c>
      <c r="J9" s="55">
        <f t="shared" si="10"/>
        <v>1399.8</v>
      </c>
      <c r="K9" s="56">
        <f t="shared" si="11"/>
        <v>1049.8499999999999</v>
      </c>
      <c r="L9" s="181"/>
    </row>
    <row r="10" spans="1:12" ht="15.75" x14ac:dyDescent="0.25">
      <c r="A10" s="24" t="s">
        <v>11</v>
      </c>
      <c r="B10" s="23" t="s">
        <v>834</v>
      </c>
      <c r="C10" s="23"/>
      <c r="D10" s="103">
        <v>3.86</v>
      </c>
      <c r="E10" s="137">
        <v>331.3</v>
      </c>
      <c r="F10" s="48">
        <f t="shared" si="6"/>
        <v>165.65</v>
      </c>
      <c r="G10" s="41">
        <f t="shared" si="7"/>
        <v>496.95000000000005</v>
      </c>
      <c r="H10" s="53">
        <f t="shared" si="8"/>
        <v>372.71250000000003</v>
      </c>
      <c r="I10" s="54">
        <f t="shared" si="9"/>
        <v>165.65</v>
      </c>
      <c r="J10" s="55">
        <f t="shared" si="10"/>
        <v>662.6</v>
      </c>
      <c r="K10" s="56">
        <f t="shared" si="11"/>
        <v>496.95000000000005</v>
      </c>
      <c r="L10" s="181"/>
    </row>
    <row r="11" spans="1:12" ht="15.75" x14ac:dyDescent="0.25">
      <c r="A11" s="24" t="s">
        <v>12</v>
      </c>
      <c r="B11" s="23" t="s">
        <v>834</v>
      </c>
      <c r="C11" s="43">
        <v>6.18</v>
      </c>
      <c r="D11" s="103">
        <v>5.4</v>
      </c>
      <c r="E11" s="103">
        <v>463.48</v>
      </c>
      <c r="F11" s="48">
        <f t="shared" si="6"/>
        <v>231.74</v>
      </c>
      <c r="G11" s="41">
        <f t="shared" si="7"/>
        <v>695.22</v>
      </c>
      <c r="H11" s="53">
        <f t="shared" si="8"/>
        <v>521.41499999999996</v>
      </c>
      <c r="I11" s="54">
        <f t="shared" si="9"/>
        <v>231.74</v>
      </c>
      <c r="J11" s="55">
        <f t="shared" si="10"/>
        <v>926.96</v>
      </c>
      <c r="K11" s="56">
        <f t="shared" si="11"/>
        <v>695.22</v>
      </c>
      <c r="L11" s="181"/>
    </row>
    <row r="12" spans="1:12" ht="15.75" x14ac:dyDescent="0.25">
      <c r="A12" s="24" t="s">
        <v>13</v>
      </c>
      <c r="B12" s="23" t="s">
        <v>1806</v>
      </c>
      <c r="C12" s="43">
        <v>4.718</v>
      </c>
      <c r="D12" s="103">
        <v>5</v>
      </c>
      <c r="E12" s="103">
        <v>467.85</v>
      </c>
      <c r="F12" s="48">
        <f t="shared" si="6"/>
        <v>233.92500000000001</v>
      </c>
      <c r="G12" s="41">
        <f t="shared" si="7"/>
        <v>701.77500000000009</v>
      </c>
      <c r="H12" s="53">
        <f t="shared" si="8"/>
        <v>526.33125000000007</v>
      </c>
      <c r="I12" s="54">
        <f t="shared" si="9"/>
        <v>233.92500000000001</v>
      </c>
      <c r="J12" s="55">
        <f t="shared" si="10"/>
        <v>935.7</v>
      </c>
      <c r="K12" s="56">
        <f t="shared" si="11"/>
        <v>701.77500000000009</v>
      </c>
      <c r="L12" s="181"/>
    </row>
    <row r="13" spans="1:12" ht="15.75" x14ac:dyDescent="0.25">
      <c r="A13" s="24"/>
      <c r="B13" s="23"/>
      <c r="C13" s="43"/>
      <c r="D13" s="103"/>
      <c r="E13" s="103"/>
      <c r="F13" s="103"/>
      <c r="G13" s="42"/>
      <c r="H13" s="104"/>
      <c r="I13" s="3"/>
      <c r="J13" s="203"/>
      <c r="K13" s="110"/>
      <c r="L13" s="181"/>
    </row>
    <row r="14" spans="1:12" ht="15.75" x14ac:dyDescent="0.25">
      <c r="A14" s="24" t="s">
        <v>21</v>
      </c>
      <c r="B14" s="23" t="s">
        <v>2045</v>
      </c>
      <c r="C14" s="43">
        <v>5.08</v>
      </c>
      <c r="D14" s="103">
        <v>3</v>
      </c>
      <c r="E14" s="103">
        <v>271.92500000000001</v>
      </c>
      <c r="F14" s="48">
        <f t="shared" ref="F14:F16" si="12">E14*50%</f>
        <v>135.96250000000001</v>
      </c>
      <c r="G14" s="41">
        <f t="shared" ref="G14:G16" si="13">E14+F14</f>
        <v>407.88750000000005</v>
      </c>
      <c r="H14" s="53">
        <f t="shared" ref="H14:H16" si="14">G14-(G14*25%)</f>
        <v>305.91562500000003</v>
      </c>
      <c r="I14" s="54">
        <f t="shared" ref="I14:I16" si="15">E14*50%</f>
        <v>135.96250000000001</v>
      </c>
      <c r="J14" s="55">
        <f t="shared" ref="J14:J16" si="16">E14+(I14*2)</f>
        <v>543.85</v>
      </c>
      <c r="K14" s="56">
        <f t="shared" ref="K14:K16" si="17">J14-(J14*25%)</f>
        <v>407.88750000000005</v>
      </c>
      <c r="L14" s="181"/>
    </row>
    <row r="15" spans="1:12" ht="15.75" x14ac:dyDescent="0.25">
      <c r="A15" s="24" t="s">
        <v>22</v>
      </c>
      <c r="B15" s="23" t="s">
        <v>2045</v>
      </c>
      <c r="C15" s="23"/>
      <c r="D15" s="103">
        <v>3</v>
      </c>
      <c r="E15" s="103">
        <v>271.92500000000001</v>
      </c>
      <c r="F15" s="48">
        <f t="shared" si="12"/>
        <v>135.96250000000001</v>
      </c>
      <c r="G15" s="41">
        <f t="shared" si="13"/>
        <v>407.88750000000005</v>
      </c>
      <c r="H15" s="53">
        <f t="shared" si="14"/>
        <v>305.91562500000003</v>
      </c>
      <c r="I15" s="54">
        <f t="shared" si="15"/>
        <v>135.96250000000001</v>
      </c>
      <c r="J15" s="55">
        <f t="shared" si="16"/>
        <v>543.85</v>
      </c>
      <c r="K15" s="56">
        <f t="shared" si="17"/>
        <v>407.88750000000005</v>
      </c>
      <c r="L15" s="181"/>
    </row>
    <row r="16" spans="1:12" ht="15.75" x14ac:dyDescent="0.25">
      <c r="A16" s="24" t="s">
        <v>23</v>
      </c>
      <c r="B16" s="23" t="s">
        <v>837</v>
      </c>
      <c r="C16" s="43">
        <v>2.8420000000000001</v>
      </c>
      <c r="D16" s="103">
        <v>3</v>
      </c>
      <c r="E16" s="103">
        <v>280.75</v>
      </c>
      <c r="F16" s="48">
        <f t="shared" si="12"/>
        <v>140.375</v>
      </c>
      <c r="G16" s="41">
        <f t="shared" si="13"/>
        <v>421.125</v>
      </c>
      <c r="H16" s="53">
        <f t="shared" si="14"/>
        <v>315.84375</v>
      </c>
      <c r="I16" s="54">
        <f t="shared" si="15"/>
        <v>140.375</v>
      </c>
      <c r="J16" s="55">
        <f t="shared" si="16"/>
        <v>561.5</v>
      </c>
      <c r="K16" s="56">
        <f t="shared" si="17"/>
        <v>421.125</v>
      </c>
      <c r="L16" s="181"/>
    </row>
    <row r="17" spans="1:12" ht="15.75" x14ac:dyDescent="0.25">
      <c r="A17" s="24"/>
      <c r="B17" s="23"/>
      <c r="C17" s="43"/>
      <c r="D17" s="103"/>
      <c r="E17" s="103"/>
      <c r="F17" s="103"/>
      <c r="G17" s="42"/>
      <c r="H17" s="104"/>
      <c r="I17" s="3"/>
      <c r="J17" s="203"/>
      <c r="K17" s="110"/>
      <c r="L17" s="181"/>
    </row>
    <row r="18" spans="1:12" s="261" customFormat="1" ht="15.75" x14ac:dyDescent="0.25">
      <c r="A18" s="49" t="s">
        <v>37</v>
      </c>
      <c r="B18" s="50" t="s">
        <v>838</v>
      </c>
      <c r="C18" s="51">
        <v>4.18</v>
      </c>
      <c r="D18" s="116">
        <v>3.61</v>
      </c>
      <c r="E18" s="116">
        <v>358.7</v>
      </c>
      <c r="F18" s="58">
        <f t="shared" ref="F18:F20" si="18">E18*50%</f>
        <v>179.35</v>
      </c>
      <c r="G18" s="41">
        <f t="shared" ref="G18:G20" si="19">E18+F18</f>
        <v>538.04999999999995</v>
      </c>
      <c r="H18" s="53">
        <f t="shared" ref="H18:H20" si="20">G18-(G18*25%)</f>
        <v>403.53749999999997</v>
      </c>
      <c r="I18" s="54">
        <f t="shared" ref="I18:I20" si="21">E18*50%</f>
        <v>179.35</v>
      </c>
      <c r="J18" s="55">
        <f t="shared" ref="J18:J20" si="22">E18+(I18*2)</f>
        <v>717.4</v>
      </c>
      <c r="K18" s="56">
        <f t="shared" ref="K18:K20" si="23">J18-(J18*25%)</f>
        <v>538.04999999999995</v>
      </c>
      <c r="L18" s="248"/>
    </row>
    <row r="19" spans="1:12" ht="15.75" x14ac:dyDescent="0.25">
      <c r="A19" s="24" t="s">
        <v>39</v>
      </c>
      <c r="B19" s="23" t="s">
        <v>2131</v>
      </c>
      <c r="C19" s="43">
        <v>3.55</v>
      </c>
      <c r="D19" s="103">
        <v>3.9</v>
      </c>
      <c r="E19" s="103">
        <v>334.75</v>
      </c>
      <c r="F19" s="48">
        <f t="shared" si="18"/>
        <v>167.375</v>
      </c>
      <c r="G19" s="41">
        <f t="shared" si="19"/>
        <v>502.125</v>
      </c>
      <c r="H19" s="53">
        <f t="shared" si="20"/>
        <v>376.59375</v>
      </c>
      <c r="I19" s="54">
        <f t="shared" si="21"/>
        <v>167.375</v>
      </c>
      <c r="J19" s="55">
        <f t="shared" si="22"/>
        <v>669.5</v>
      </c>
      <c r="K19" s="56">
        <f t="shared" si="23"/>
        <v>502.125</v>
      </c>
      <c r="L19" s="181"/>
    </row>
    <row r="20" spans="1:12" ht="15.75" x14ac:dyDescent="0.25">
      <c r="A20" s="24" t="s">
        <v>40</v>
      </c>
      <c r="B20" s="23" t="s">
        <v>839</v>
      </c>
      <c r="C20" s="43">
        <v>4</v>
      </c>
      <c r="D20" s="103">
        <v>3.83</v>
      </c>
      <c r="E20" s="103">
        <v>358.4</v>
      </c>
      <c r="F20" s="48">
        <f t="shared" si="18"/>
        <v>179.2</v>
      </c>
      <c r="G20" s="41">
        <f t="shared" si="19"/>
        <v>537.59999999999991</v>
      </c>
      <c r="H20" s="53">
        <f t="shared" si="20"/>
        <v>403.19999999999993</v>
      </c>
      <c r="I20" s="54">
        <f t="shared" si="21"/>
        <v>179.2</v>
      </c>
      <c r="J20" s="55">
        <f t="shared" si="22"/>
        <v>716.8</v>
      </c>
      <c r="K20" s="56">
        <f t="shared" si="23"/>
        <v>537.59999999999991</v>
      </c>
      <c r="L20" s="181"/>
    </row>
    <row r="21" spans="1:12" ht="15.75" x14ac:dyDescent="0.25">
      <c r="A21" s="24"/>
      <c r="B21" s="23"/>
      <c r="C21" s="43"/>
      <c r="D21" s="103"/>
      <c r="E21" s="103"/>
      <c r="F21" s="103"/>
      <c r="G21" s="42"/>
      <c r="H21" s="104"/>
      <c r="I21" s="3"/>
      <c r="J21" s="203"/>
      <c r="K21" s="110"/>
      <c r="L21" s="181"/>
    </row>
    <row r="22" spans="1:12" ht="15.75" x14ac:dyDescent="0.25">
      <c r="A22" s="24" t="s">
        <v>49</v>
      </c>
      <c r="B22" s="23" t="s">
        <v>2046</v>
      </c>
      <c r="C22" s="43">
        <v>4.3840000000000003</v>
      </c>
      <c r="D22" s="103">
        <v>3.8</v>
      </c>
      <c r="E22" s="103">
        <v>355.6</v>
      </c>
      <c r="F22" s="48">
        <f t="shared" ref="F22:F27" si="24">E22*50%</f>
        <v>177.8</v>
      </c>
      <c r="G22" s="41">
        <f t="shared" ref="G22:G27" si="25">E22+F22</f>
        <v>533.40000000000009</v>
      </c>
      <c r="H22" s="53">
        <f t="shared" ref="H22:H27" si="26">G22-(G22*25%)</f>
        <v>400.05000000000007</v>
      </c>
      <c r="I22" s="54">
        <f t="shared" ref="I22:I27" si="27">E22*50%</f>
        <v>177.8</v>
      </c>
      <c r="J22" s="55">
        <f t="shared" ref="J22:J27" si="28">E22+(I22*2)</f>
        <v>711.2</v>
      </c>
      <c r="K22" s="56">
        <f t="shared" ref="K22:K27" si="29">J22-(J22*25%)</f>
        <v>533.40000000000009</v>
      </c>
      <c r="L22" s="181"/>
    </row>
    <row r="23" spans="1:12" ht="15.75" x14ac:dyDescent="0.25">
      <c r="A23" s="24" t="s">
        <v>50</v>
      </c>
      <c r="B23" s="23" t="s">
        <v>2046</v>
      </c>
      <c r="C23" s="43">
        <v>4.343</v>
      </c>
      <c r="D23" s="103">
        <v>3.8</v>
      </c>
      <c r="E23" s="103">
        <v>326.14999999999998</v>
      </c>
      <c r="F23" s="48">
        <f t="shared" si="24"/>
        <v>163.07499999999999</v>
      </c>
      <c r="G23" s="41">
        <f t="shared" si="25"/>
        <v>489.22499999999997</v>
      </c>
      <c r="H23" s="53">
        <f t="shared" si="26"/>
        <v>366.91874999999999</v>
      </c>
      <c r="I23" s="54">
        <f t="shared" si="27"/>
        <v>163.07499999999999</v>
      </c>
      <c r="J23" s="55">
        <f t="shared" si="28"/>
        <v>652.29999999999995</v>
      </c>
      <c r="K23" s="56">
        <f t="shared" si="29"/>
        <v>489.22499999999997</v>
      </c>
      <c r="L23" s="181"/>
    </row>
    <row r="24" spans="1:12" ht="15.75" x14ac:dyDescent="0.25">
      <c r="A24" s="24" t="s">
        <v>51</v>
      </c>
      <c r="B24" s="23" t="s">
        <v>840</v>
      </c>
      <c r="C24" s="43">
        <v>8.6460000000000008</v>
      </c>
      <c r="D24" s="103">
        <v>4</v>
      </c>
      <c r="E24" s="103">
        <v>374.3</v>
      </c>
      <c r="F24" s="48">
        <f t="shared" si="24"/>
        <v>187.15</v>
      </c>
      <c r="G24" s="41">
        <f t="shared" si="25"/>
        <v>561.45000000000005</v>
      </c>
      <c r="H24" s="53">
        <f t="shared" si="26"/>
        <v>421.08750000000003</v>
      </c>
      <c r="I24" s="54">
        <f t="shared" si="27"/>
        <v>187.15</v>
      </c>
      <c r="J24" s="55">
        <f t="shared" si="28"/>
        <v>748.6</v>
      </c>
      <c r="K24" s="56">
        <f t="shared" si="29"/>
        <v>561.45000000000005</v>
      </c>
      <c r="L24" s="181"/>
    </row>
    <row r="25" spans="1:12" ht="15.75" x14ac:dyDescent="0.25">
      <c r="A25" s="24" t="s">
        <v>53</v>
      </c>
      <c r="B25" s="23" t="s">
        <v>840</v>
      </c>
      <c r="C25" s="23"/>
      <c r="D25" s="103">
        <v>4</v>
      </c>
      <c r="E25" s="103">
        <v>374.3</v>
      </c>
      <c r="F25" s="48">
        <f t="shared" si="24"/>
        <v>187.15</v>
      </c>
      <c r="G25" s="41">
        <f t="shared" si="25"/>
        <v>561.45000000000005</v>
      </c>
      <c r="H25" s="53">
        <f t="shared" si="26"/>
        <v>421.08750000000003</v>
      </c>
      <c r="I25" s="54">
        <f t="shared" si="27"/>
        <v>187.15</v>
      </c>
      <c r="J25" s="55">
        <f t="shared" si="28"/>
        <v>748.6</v>
      </c>
      <c r="K25" s="56">
        <f t="shared" si="29"/>
        <v>561.45000000000005</v>
      </c>
      <c r="L25" s="181"/>
    </row>
    <row r="26" spans="1:12" ht="15.75" x14ac:dyDescent="0.25">
      <c r="A26" s="24" t="s">
        <v>54</v>
      </c>
      <c r="B26" s="23" t="s">
        <v>1779</v>
      </c>
      <c r="C26" s="138"/>
      <c r="D26" s="103">
        <v>3.61</v>
      </c>
      <c r="E26" s="103">
        <v>309.85000000000002</v>
      </c>
      <c r="F26" s="48">
        <f t="shared" si="24"/>
        <v>154.92500000000001</v>
      </c>
      <c r="G26" s="41">
        <f t="shared" si="25"/>
        <v>464.77500000000003</v>
      </c>
      <c r="H26" s="53">
        <f t="shared" si="26"/>
        <v>348.58125000000001</v>
      </c>
      <c r="I26" s="54">
        <f t="shared" si="27"/>
        <v>154.92500000000001</v>
      </c>
      <c r="J26" s="55">
        <f t="shared" si="28"/>
        <v>619.70000000000005</v>
      </c>
      <c r="K26" s="56">
        <f t="shared" si="29"/>
        <v>464.77500000000003</v>
      </c>
      <c r="L26" s="181"/>
    </row>
    <row r="27" spans="1:12" ht="15.75" x14ac:dyDescent="0.25">
      <c r="A27" s="24" t="s">
        <v>56</v>
      </c>
      <c r="B27" s="23" t="s">
        <v>841</v>
      </c>
      <c r="C27" s="43">
        <v>3.8</v>
      </c>
      <c r="D27" s="103">
        <v>4</v>
      </c>
      <c r="E27" s="103">
        <v>374.3</v>
      </c>
      <c r="F27" s="48">
        <f t="shared" si="24"/>
        <v>187.15</v>
      </c>
      <c r="G27" s="41">
        <f t="shared" si="25"/>
        <v>561.45000000000005</v>
      </c>
      <c r="H27" s="53">
        <f t="shared" si="26"/>
        <v>421.08750000000003</v>
      </c>
      <c r="I27" s="54">
        <f t="shared" si="27"/>
        <v>187.15</v>
      </c>
      <c r="J27" s="55">
        <f t="shared" si="28"/>
        <v>748.6</v>
      </c>
      <c r="K27" s="56">
        <f t="shared" si="29"/>
        <v>561.45000000000005</v>
      </c>
      <c r="L27" s="181"/>
    </row>
    <row r="28" spans="1:12" ht="15.75" x14ac:dyDescent="0.25">
      <c r="A28" s="24"/>
      <c r="B28" s="23"/>
      <c r="C28" s="43"/>
      <c r="D28" s="103"/>
      <c r="E28" s="103"/>
      <c r="F28" s="103"/>
      <c r="G28" s="42"/>
      <c r="H28" s="104"/>
      <c r="I28" s="3"/>
      <c r="J28" s="203"/>
      <c r="K28" s="110"/>
      <c r="L28" s="181"/>
    </row>
    <row r="29" spans="1:12" ht="15.75" x14ac:dyDescent="0.25">
      <c r="A29" s="24" t="s">
        <v>69</v>
      </c>
      <c r="B29" s="23" t="s">
        <v>842</v>
      </c>
      <c r="C29" s="43">
        <v>18.579999999999998</v>
      </c>
      <c r="D29" s="103">
        <v>3.33</v>
      </c>
      <c r="E29" s="103">
        <v>294.41666665999998</v>
      </c>
      <c r="F29" s="48">
        <f t="shared" ref="F29:F34" si="30">E29*50%</f>
        <v>147.20833332999999</v>
      </c>
      <c r="G29" s="41">
        <f t="shared" ref="G29:G34" si="31">E29+F29</f>
        <v>441.62499998999999</v>
      </c>
      <c r="H29" s="53">
        <f t="shared" ref="H29:H34" si="32">G29-(G29*25%)</f>
        <v>331.21874999249997</v>
      </c>
      <c r="I29" s="54">
        <f t="shared" ref="I29:I34" si="33">E29*50%</f>
        <v>147.20833332999999</v>
      </c>
      <c r="J29" s="55">
        <f t="shared" ref="J29:J34" si="34">E29+(I29*2)</f>
        <v>588.83333331999995</v>
      </c>
      <c r="K29" s="56">
        <f t="shared" ref="K29:K34" si="35">J29-(J29*25%)</f>
        <v>441.62499998999999</v>
      </c>
      <c r="L29" s="181"/>
    </row>
    <row r="30" spans="1:12" ht="15.75" x14ac:dyDescent="0.25">
      <c r="A30" s="24" t="s">
        <v>70</v>
      </c>
      <c r="B30" s="23" t="s">
        <v>842</v>
      </c>
      <c r="C30" s="23"/>
      <c r="D30" s="103">
        <v>3.33</v>
      </c>
      <c r="E30" s="103">
        <v>294.41500000000002</v>
      </c>
      <c r="F30" s="48">
        <f t="shared" si="30"/>
        <v>147.20750000000001</v>
      </c>
      <c r="G30" s="41">
        <f t="shared" si="31"/>
        <v>441.62250000000006</v>
      </c>
      <c r="H30" s="53">
        <f t="shared" si="32"/>
        <v>331.21687500000007</v>
      </c>
      <c r="I30" s="54">
        <f t="shared" si="33"/>
        <v>147.20750000000001</v>
      </c>
      <c r="J30" s="55">
        <f t="shared" si="34"/>
        <v>588.83000000000004</v>
      </c>
      <c r="K30" s="56">
        <f t="shared" si="35"/>
        <v>441.62250000000006</v>
      </c>
      <c r="L30" s="181"/>
    </row>
    <row r="31" spans="1:12" ht="15.75" x14ac:dyDescent="0.25">
      <c r="A31" s="24" t="s">
        <v>71</v>
      </c>
      <c r="B31" s="23" t="s">
        <v>842</v>
      </c>
      <c r="C31" s="23"/>
      <c r="D31" s="103">
        <v>3.33</v>
      </c>
      <c r="E31" s="103">
        <v>294.41500000000002</v>
      </c>
      <c r="F31" s="48">
        <f t="shared" si="30"/>
        <v>147.20750000000001</v>
      </c>
      <c r="G31" s="41">
        <f t="shared" si="31"/>
        <v>441.62250000000006</v>
      </c>
      <c r="H31" s="53">
        <f t="shared" si="32"/>
        <v>331.21687500000007</v>
      </c>
      <c r="I31" s="54">
        <f t="shared" si="33"/>
        <v>147.20750000000001</v>
      </c>
      <c r="J31" s="55">
        <f t="shared" si="34"/>
        <v>588.83000000000004</v>
      </c>
      <c r="K31" s="56">
        <f t="shared" si="35"/>
        <v>441.62250000000006</v>
      </c>
      <c r="L31" s="181"/>
    </row>
    <row r="32" spans="1:12" ht="15.75" x14ac:dyDescent="0.25">
      <c r="A32" s="24" t="s">
        <v>72</v>
      </c>
      <c r="B32" s="23" t="s">
        <v>843</v>
      </c>
      <c r="C32" s="43">
        <v>8.1549999999999994</v>
      </c>
      <c r="D32" s="103">
        <v>3.38</v>
      </c>
      <c r="E32" s="103">
        <v>290.125</v>
      </c>
      <c r="F32" s="48">
        <f t="shared" si="30"/>
        <v>145.0625</v>
      </c>
      <c r="G32" s="41">
        <f t="shared" si="31"/>
        <v>435.1875</v>
      </c>
      <c r="H32" s="53">
        <f t="shared" si="32"/>
        <v>326.390625</v>
      </c>
      <c r="I32" s="54">
        <f t="shared" si="33"/>
        <v>145.0625</v>
      </c>
      <c r="J32" s="55">
        <f t="shared" si="34"/>
        <v>580.25</v>
      </c>
      <c r="K32" s="56">
        <f t="shared" si="35"/>
        <v>435.1875</v>
      </c>
      <c r="L32" s="181"/>
    </row>
    <row r="33" spans="1:12" ht="15.75" x14ac:dyDescent="0.25">
      <c r="A33" s="24" t="s">
        <v>73</v>
      </c>
      <c r="B33" s="23" t="s">
        <v>843</v>
      </c>
      <c r="C33" s="23"/>
      <c r="D33" s="103">
        <v>3.38</v>
      </c>
      <c r="E33" s="103">
        <v>290.125</v>
      </c>
      <c r="F33" s="48">
        <f t="shared" si="30"/>
        <v>145.0625</v>
      </c>
      <c r="G33" s="41">
        <f t="shared" si="31"/>
        <v>435.1875</v>
      </c>
      <c r="H33" s="53">
        <f t="shared" si="32"/>
        <v>326.390625</v>
      </c>
      <c r="I33" s="54">
        <f t="shared" si="33"/>
        <v>145.0625</v>
      </c>
      <c r="J33" s="55">
        <f t="shared" si="34"/>
        <v>580.25</v>
      </c>
      <c r="K33" s="56">
        <f t="shared" si="35"/>
        <v>435.1875</v>
      </c>
      <c r="L33" s="181"/>
    </row>
    <row r="34" spans="1:12" ht="15.75" x14ac:dyDescent="0.25">
      <c r="A34" s="24" t="s">
        <v>74</v>
      </c>
      <c r="B34" s="23" t="s">
        <v>1779</v>
      </c>
      <c r="C34" s="23">
        <v>5.29</v>
      </c>
      <c r="D34" s="103">
        <v>3.75</v>
      </c>
      <c r="E34" s="103">
        <v>316.303</v>
      </c>
      <c r="F34" s="48">
        <f t="shared" si="30"/>
        <v>158.1515</v>
      </c>
      <c r="G34" s="41">
        <f t="shared" si="31"/>
        <v>474.4545</v>
      </c>
      <c r="H34" s="53">
        <f t="shared" si="32"/>
        <v>355.84087499999998</v>
      </c>
      <c r="I34" s="54">
        <f t="shared" si="33"/>
        <v>158.1515</v>
      </c>
      <c r="J34" s="55">
        <f t="shared" si="34"/>
        <v>632.60599999999999</v>
      </c>
      <c r="K34" s="56">
        <f t="shared" si="35"/>
        <v>474.4545</v>
      </c>
      <c r="L34" s="181"/>
    </row>
    <row r="35" spans="1:12" ht="15.75" x14ac:dyDescent="0.25">
      <c r="A35" s="24"/>
      <c r="B35" s="23"/>
      <c r="C35" s="23"/>
      <c r="D35" s="103"/>
      <c r="E35" s="23"/>
      <c r="F35" s="103"/>
      <c r="G35" s="42"/>
      <c r="H35" s="104"/>
      <c r="I35" s="3"/>
      <c r="J35" s="203"/>
      <c r="K35" s="110"/>
      <c r="L35" s="181"/>
    </row>
    <row r="36" spans="1:12" ht="15.75" x14ac:dyDescent="0.25">
      <c r="A36" s="24" t="s">
        <v>87</v>
      </c>
      <c r="B36" s="23" t="s">
        <v>2047</v>
      </c>
      <c r="C36" s="43">
        <v>2.76</v>
      </c>
      <c r="D36" s="103">
        <v>3.5</v>
      </c>
      <c r="E36" s="103">
        <v>300.39999999999998</v>
      </c>
      <c r="F36" s="48">
        <f t="shared" ref="F36:F47" si="36">E36*50%</f>
        <v>150.19999999999999</v>
      </c>
      <c r="G36" s="41">
        <f t="shared" ref="G36:G47" si="37">E36+F36</f>
        <v>450.59999999999997</v>
      </c>
      <c r="H36" s="53">
        <f t="shared" ref="H36:H47" si="38">G36-(G36*25%)</f>
        <v>337.95</v>
      </c>
      <c r="I36" s="54">
        <f t="shared" ref="I36:I47" si="39">E36*50%</f>
        <v>150.19999999999999</v>
      </c>
      <c r="J36" s="55">
        <f t="shared" ref="J36:J47" si="40">E36+(I36*2)</f>
        <v>600.79999999999995</v>
      </c>
      <c r="K36" s="56">
        <f t="shared" ref="K36:K47" si="41">J36-(J36*25%)</f>
        <v>450.59999999999997</v>
      </c>
      <c r="L36" s="181"/>
    </row>
    <row r="37" spans="1:12" ht="15.75" x14ac:dyDescent="0.25">
      <c r="A37" s="24" t="s">
        <v>88</v>
      </c>
      <c r="B37" s="23" t="s">
        <v>844</v>
      </c>
      <c r="C37" s="43">
        <v>3.5379999999999998</v>
      </c>
      <c r="D37" s="103">
        <v>3.25</v>
      </c>
      <c r="E37" s="103">
        <v>304.10000000000002</v>
      </c>
      <c r="F37" s="48">
        <f t="shared" si="36"/>
        <v>152.05000000000001</v>
      </c>
      <c r="G37" s="41">
        <f t="shared" si="37"/>
        <v>456.15000000000003</v>
      </c>
      <c r="H37" s="53">
        <f t="shared" si="38"/>
        <v>342.11250000000001</v>
      </c>
      <c r="I37" s="54">
        <f t="shared" si="39"/>
        <v>152.05000000000001</v>
      </c>
      <c r="J37" s="55">
        <f t="shared" si="40"/>
        <v>608.20000000000005</v>
      </c>
      <c r="K37" s="56">
        <f t="shared" si="41"/>
        <v>456.15000000000003</v>
      </c>
      <c r="L37" s="181"/>
    </row>
    <row r="38" spans="1:12" ht="15.75" x14ac:dyDescent="0.25">
      <c r="A38" s="24" t="s">
        <v>90</v>
      </c>
      <c r="B38" s="23" t="s">
        <v>845</v>
      </c>
      <c r="C38" s="138"/>
      <c r="D38" s="103">
        <v>3.25</v>
      </c>
      <c r="E38" s="103">
        <v>304.10000000000002</v>
      </c>
      <c r="F38" s="48">
        <f t="shared" si="36"/>
        <v>152.05000000000001</v>
      </c>
      <c r="G38" s="41">
        <f t="shared" si="37"/>
        <v>456.15000000000003</v>
      </c>
      <c r="H38" s="53">
        <f t="shared" si="38"/>
        <v>342.11250000000001</v>
      </c>
      <c r="I38" s="54">
        <f t="shared" si="39"/>
        <v>152.05000000000001</v>
      </c>
      <c r="J38" s="55">
        <f t="shared" si="40"/>
        <v>608.20000000000005</v>
      </c>
      <c r="K38" s="56">
        <f t="shared" si="41"/>
        <v>456.15000000000003</v>
      </c>
      <c r="L38" s="181"/>
    </row>
    <row r="39" spans="1:12" ht="15.75" x14ac:dyDescent="0.25">
      <c r="A39" s="24" t="s">
        <v>91</v>
      </c>
      <c r="B39" s="23" t="s">
        <v>1646</v>
      </c>
      <c r="C39" s="43">
        <v>18.079999999999998</v>
      </c>
      <c r="D39" s="103">
        <v>3.13</v>
      </c>
      <c r="E39" s="103">
        <v>305.97500000000002</v>
      </c>
      <c r="F39" s="48">
        <f t="shared" si="36"/>
        <v>152.98750000000001</v>
      </c>
      <c r="G39" s="41">
        <f t="shared" si="37"/>
        <v>458.96250000000003</v>
      </c>
      <c r="H39" s="53">
        <f t="shared" si="38"/>
        <v>344.22187500000001</v>
      </c>
      <c r="I39" s="54">
        <f t="shared" si="39"/>
        <v>152.98750000000001</v>
      </c>
      <c r="J39" s="55">
        <f t="shared" si="40"/>
        <v>611.95000000000005</v>
      </c>
      <c r="K39" s="56">
        <f t="shared" si="41"/>
        <v>458.96250000000003</v>
      </c>
      <c r="L39" s="181"/>
    </row>
    <row r="40" spans="1:12" ht="15.75" x14ac:dyDescent="0.25">
      <c r="A40" s="24" t="s">
        <v>93</v>
      </c>
      <c r="B40" s="23" t="s">
        <v>846</v>
      </c>
      <c r="C40" s="23"/>
      <c r="D40" s="103">
        <v>3.13</v>
      </c>
      <c r="E40" s="103">
        <v>305.98</v>
      </c>
      <c r="F40" s="48">
        <f t="shared" si="36"/>
        <v>152.99</v>
      </c>
      <c r="G40" s="41">
        <f t="shared" si="37"/>
        <v>458.97</v>
      </c>
      <c r="H40" s="53">
        <f t="shared" si="38"/>
        <v>344.22750000000002</v>
      </c>
      <c r="I40" s="54">
        <f t="shared" si="39"/>
        <v>152.99</v>
      </c>
      <c r="J40" s="55">
        <f t="shared" si="40"/>
        <v>611.96</v>
      </c>
      <c r="K40" s="56">
        <f t="shared" si="41"/>
        <v>458.97</v>
      </c>
      <c r="L40" s="181"/>
    </row>
    <row r="41" spans="1:12" ht="15.75" x14ac:dyDescent="0.25">
      <c r="A41" s="24" t="s">
        <v>94</v>
      </c>
      <c r="B41" s="23" t="s">
        <v>2112</v>
      </c>
      <c r="C41" s="43">
        <v>7.3</v>
      </c>
      <c r="D41" s="103">
        <v>3.63</v>
      </c>
      <c r="E41" s="103">
        <v>339.67500000000001</v>
      </c>
      <c r="F41" s="48">
        <f t="shared" si="36"/>
        <v>169.83750000000001</v>
      </c>
      <c r="G41" s="41">
        <f t="shared" si="37"/>
        <v>509.51250000000005</v>
      </c>
      <c r="H41" s="53">
        <f t="shared" si="38"/>
        <v>382.13437500000003</v>
      </c>
      <c r="I41" s="54">
        <f t="shared" si="39"/>
        <v>169.83750000000001</v>
      </c>
      <c r="J41" s="55">
        <f t="shared" si="40"/>
        <v>679.35</v>
      </c>
      <c r="K41" s="56">
        <f t="shared" si="41"/>
        <v>509.51250000000005</v>
      </c>
      <c r="L41" s="181"/>
    </row>
    <row r="42" spans="1:12" ht="15.75" x14ac:dyDescent="0.25">
      <c r="A42" s="24" t="s">
        <v>95</v>
      </c>
      <c r="B42" s="23" t="s">
        <v>2112</v>
      </c>
      <c r="C42" s="23"/>
      <c r="D42" s="103">
        <v>3.63</v>
      </c>
      <c r="E42" s="103">
        <v>339.67500000000001</v>
      </c>
      <c r="F42" s="48">
        <f t="shared" si="36"/>
        <v>169.83750000000001</v>
      </c>
      <c r="G42" s="41">
        <f t="shared" si="37"/>
        <v>509.51250000000005</v>
      </c>
      <c r="H42" s="53">
        <f t="shared" si="38"/>
        <v>382.13437500000003</v>
      </c>
      <c r="I42" s="54">
        <f t="shared" si="39"/>
        <v>169.83750000000001</v>
      </c>
      <c r="J42" s="55">
        <f t="shared" si="40"/>
        <v>679.35</v>
      </c>
      <c r="K42" s="56">
        <f t="shared" si="41"/>
        <v>509.51250000000005</v>
      </c>
      <c r="L42" s="181"/>
    </row>
    <row r="43" spans="1:12" ht="15.75" x14ac:dyDescent="0.25">
      <c r="A43" s="24" t="s">
        <v>96</v>
      </c>
      <c r="B43" s="23" t="s">
        <v>846</v>
      </c>
      <c r="C43" s="23"/>
      <c r="D43" s="103">
        <v>3.27</v>
      </c>
      <c r="E43" s="103">
        <v>305.98</v>
      </c>
      <c r="F43" s="48">
        <f t="shared" si="36"/>
        <v>152.99</v>
      </c>
      <c r="G43" s="41">
        <f t="shared" si="37"/>
        <v>458.97</v>
      </c>
      <c r="H43" s="53">
        <f t="shared" si="38"/>
        <v>344.22750000000002</v>
      </c>
      <c r="I43" s="54">
        <f t="shared" si="39"/>
        <v>152.99</v>
      </c>
      <c r="J43" s="55">
        <f t="shared" si="40"/>
        <v>611.96</v>
      </c>
      <c r="K43" s="56">
        <f t="shared" si="41"/>
        <v>458.97</v>
      </c>
      <c r="L43" s="181"/>
    </row>
    <row r="44" spans="1:12" ht="15.75" x14ac:dyDescent="0.25">
      <c r="A44" s="24" t="s">
        <v>97</v>
      </c>
      <c r="B44" s="23" t="s">
        <v>846</v>
      </c>
      <c r="C44" s="23"/>
      <c r="D44" s="103">
        <v>3.27</v>
      </c>
      <c r="E44" s="103">
        <v>305.98</v>
      </c>
      <c r="F44" s="48">
        <f t="shared" si="36"/>
        <v>152.99</v>
      </c>
      <c r="G44" s="41">
        <f t="shared" si="37"/>
        <v>458.97</v>
      </c>
      <c r="H44" s="53">
        <f t="shared" si="38"/>
        <v>344.22750000000002</v>
      </c>
      <c r="I44" s="54">
        <f t="shared" si="39"/>
        <v>152.99</v>
      </c>
      <c r="J44" s="55">
        <f t="shared" si="40"/>
        <v>611.96</v>
      </c>
      <c r="K44" s="56">
        <f t="shared" si="41"/>
        <v>458.97</v>
      </c>
      <c r="L44" s="181"/>
    </row>
    <row r="45" spans="1:12" ht="15.75" x14ac:dyDescent="0.25">
      <c r="A45" s="24" t="s">
        <v>98</v>
      </c>
      <c r="B45" s="23" t="s">
        <v>846</v>
      </c>
      <c r="C45" s="23"/>
      <c r="D45" s="103">
        <v>3.27</v>
      </c>
      <c r="E45" s="103">
        <v>305.97500000000002</v>
      </c>
      <c r="F45" s="48">
        <f t="shared" si="36"/>
        <v>152.98750000000001</v>
      </c>
      <c r="G45" s="41">
        <f t="shared" si="37"/>
        <v>458.96250000000003</v>
      </c>
      <c r="H45" s="53">
        <f t="shared" si="38"/>
        <v>344.22187500000001</v>
      </c>
      <c r="I45" s="54">
        <f t="shared" si="39"/>
        <v>152.98750000000001</v>
      </c>
      <c r="J45" s="55">
        <f t="shared" si="40"/>
        <v>611.95000000000005</v>
      </c>
      <c r="K45" s="56">
        <f t="shared" si="41"/>
        <v>458.96250000000003</v>
      </c>
      <c r="L45" s="181"/>
    </row>
    <row r="46" spans="1:12" ht="15.75" x14ac:dyDescent="0.25">
      <c r="A46" s="24" t="s">
        <v>100</v>
      </c>
      <c r="B46" s="23" t="s">
        <v>1409</v>
      </c>
      <c r="C46" s="43"/>
      <c r="D46" s="103">
        <v>3.25</v>
      </c>
      <c r="E46" s="103">
        <v>278.95</v>
      </c>
      <c r="F46" s="48">
        <f t="shared" si="36"/>
        <v>139.47499999999999</v>
      </c>
      <c r="G46" s="41">
        <f t="shared" si="37"/>
        <v>418.42499999999995</v>
      </c>
      <c r="H46" s="53">
        <f t="shared" si="38"/>
        <v>313.81874999999997</v>
      </c>
      <c r="I46" s="54">
        <f t="shared" si="39"/>
        <v>139.47499999999999</v>
      </c>
      <c r="J46" s="55">
        <f t="shared" si="40"/>
        <v>557.9</v>
      </c>
      <c r="K46" s="56">
        <f t="shared" si="41"/>
        <v>418.42499999999995</v>
      </c>
      <c r="L46" s="181"/>
    </row>
    <row r="47" spans="1:12" ht="15.75" x14ac:dyDescent="0.25">
      <c r="A47" s="24" t="s">
        <v>832</v>
      </c>
      <c r="B47" s="23" t="s">
        <v>1409</v>
      </c>
      <c r="C47" s="43"/>
      <c r="D47" s="103">
        <v>3.25</v>
      </c>
      <c r="E47" s="103">
        <v>278.95</v>
      </c>
      <c r="F47" s="48">
        <f t="shared" si="36"/>
        <v>139.47499999999999</v>
      </c>
      <c r="G47" s="41">
        <f t="shared" si="37"/>
        <v>418.42499999999995</v>
      </c>
      <c r="H47" s="53">
        <f t="shared" si="38"/>
        <v>313.81874999999997</v>
      </c>
      <c r="I47" s="54">
        <f t="shared" si="39"/>
        <v>139.47499999999999</v>
      </c>
      <c r="J47" s="55">
        <f t="shared" si="40"/>
        <v>557.9</v>
      </c>
      <c r="K47" s="56">
        <f t="shared" si="41"/>
        <v>418.42499999999995</v>
      </c>
      <c r="L47" s="181"/>
    </row>
    <row r="48" spans="1:12" s="11" customFormat="1" ht="15.75" x14ac:dyDescent="0.25">
      <c r="A48" s="68"/>
      <c r="B48" s="68" t="s">
        <v>1327</v>
      </c>
      <c r="C48" s="25"/>
      <c r="D48" s="25">
        <f>SUM(D3:D47)</f>
        <v>152.434</v>
      </c>
      <c r="E48" s="25"/>
      <c r="F48" s="25"/>
      <c r="G48" s="25"/>
      <c r="H48" s="25"/>
      <c r="I48" s="25"/>
      <c r="J48" s="94">
        <f t="shared" ref="J48:K48" si="42">SUM(J3:J47)</f>
        <v>27944.059333320005</v>
      </c>
      <c r="K48" s="94">
        <f t="shared" si="42"/>
        <v>20958.044499990006</v>
      </c>
      <c r="L48" s="185"/>
    </row>
    <row r="49" s="5" customFormat="1" ht="12" x14ac:dyDescent="0.2"/>
  </sheetData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workbookViewId="0">
      <pane xSplit="3" ySplit="2" topLeftCell="D42" activePane="bottomRight" state="frozen"/>
      <selection pane="topRight" activeCell="D1" sqref="D1"/>
      <selection pane="bottomLeft" activeCell="A4" sqref="A4"/>
      <selection pane="bottomRight" activeCell="J60" sqref="J60"/>
    </sheetView>
  </sheetViews>
  <sheetFormatPr defaultRowHeight="15.75" x14ac:dyDescent="0.25"/>
  <cols>
    <col min="1" max="1" width="9.140625" style="31" customWidth="1"/>
    <col min="2" max="2" width="27.28515625" style="31" customWidth="1"/>
    <col min="3" max="3" width="12.5703125" style="140" customWidth="1"/>
    <col min="4" max="4" width="13.85546875" style="31" customWidth="1"/>
    <col min="5" max="5" width="13.85546875" style="66" customWidth="1"/>
    <col min="6" max="6" width="13" style="31" customWidth="1"/>
    <col min="7" max="7" width="13.85546875" style="141" customWidth="1"/>
    <col min="8" max="8" width="13.85546875" style="90" customWidth="1"/>
    <col min="9" max="9" width="13" style="142" customWidth="1"/>
    <col min="10" max="10" width="13.85546875" style="205" customWidth="1"/>
    <col min="11" max="11" width="13.85546875" style="67" customWidth="1"/>
    <col min="12" max="12" width="15.85546875" style="167" customWidth="1"/>
    <col min="13" max="13" width="13.28515625" customWidth="1"/>
  </cols>
  <sheetData>
    <row r="1" spans="1:12" x14ac:dyDescent="0.25">
      <c r="B1" s="21" t="s">
        <v>861</v>
      </c>
    </row>
    <row r="2" spans="1:12" s="101" customFormat="1" ht="45" x14ac:dyDescent="0.25">
      <c r="A2" s="13" t="s">
        <v>1705</v>
      </c>
      <c r="B2" s="73" t="s">
        <v>1847</v>
      </c>
      <c r="C2" s="13" t="s">
        <v>1874</v>
      </c>
      <c r="D2" s="13" t="s">
        <v>1875</v>
      </c>
      <c r="E2" s="17" t="s">
        <v>1876</v>
      </c>
      <c r="F2" s="70" t="s">
        <v>1877</v>
      </c>
      <c r="G2" s="71" t="s">
        <v>1878</v>
      </c>
      <c r="H2" s="15" t="s">
        <v>1895</v>
      </c>
      <c r="I2" s="72" t="s">
        <v>1880</v>
      </c>
      <c r="J2" s="196" t="s">
        <v>1881</v>
      </c>
      <c r="K2" s="16" t="s">
        <v>1612</v>
      </c>
      <c r="L2" s="13" t="s">
        <v>1964</v>
      </c>
    </row>
    <row r="3" spans="1:12" x14ac:dyDescent="0.25">
      <c r="A3" s="24" t="s">
        <v>5</v>
      </c>
      <c r="B3" s="23" t="s">
        <v>1382</v>
      </c>
      <c r="C3" s="44">
        <v>4.32</v>
      </c>
      <c r="D3" s="103">
        <v>4.8</v>
      </c>
      <c r="E3" s="103">
        <v>342</v>
      </c>
      <c r="F3" s="48">
        <f t="shared" ref="F3:F10" si="0">E3*50%</f>
        <v>171</v>
      </c>
      <c r="G3" s="41">
        <f t="shared" ref="G3:G10" si="1">E3+F3</f>
        <v>513</v>
      </c>
      <c r="H3" s="53">
        <f t="shared" ref="H3:H10" si="2">G3-(G3*25%)</f>
        <v>384.75</v>
      </c>
      <c r="I3" s="54">
        <f t="shared" ref="I3:I10" si="3">E3*50%</f>
        <v>171</v>
      </c>
      <c r="J3" s="55">
        <f t="shared" ref="J3:J10" si="4">E3+(I3*2)</f>
        <v>684</v>
      </c>
      <c r="K3" s="56">
        <f t="shared" ref="K3:K10" si="5">J3-(J3*25%)</f>
        <v>513</v>
      </c>
      <c r="L3" s="181"/>
    </row>
    <row r="4" spans="1:12" x14ac:dyDescent="0.25">
      <c r="A4" s="24" t="s">
        <v>6</v>
      </c>
      <c r="B4" s="23" t="s">
        <v>854</v>
      </c>
      <c r="C4" s="44">
        <v>5.04</v>
      </c>
      <c r="D4" s="103">
        <v>5.04</v>
      </c>
      <c r="E4" s="103">
        <v>359.1</v>
      </c>
      <c r="F4" s="48">
        <f t="shared" si="0"/>
        <v>179.55</v>
      </c>
      <c r="G4" s="41">
        <f t="shared" si="1"/>
        <v>538.65000000000009</v>
      </c>
      <c r="H4" s="53">
        <f t="shared" si="2"/>
        <v>403.98750000000007</v>
      </c>
      <c r="I4" s="54">
        <f t="shared" si="3"/>
        <v>179.55</v>
      </c>
      <c r="J4" s="55">
        <f t="shared" si="4"/>
        <v>718.2</v>
      </c>
      <c r="K4" s="56">
        <f t="shared" si="5"/>
        <v>538.65000000000009</v>
      </c>
      <c r="L4" s="181"/>
    </row>
    <row r="5" spans="1:12" x14ac:dyDescent="0.25">
      <c r="A5" s="24" t="s">
        <v>8</v>
      </c>
      <c r="B5" s="23" t="s">
        <v>1336</v>
      </c>
      <c r="C5" s="46">
        <v>5.04</v>
      </c>
      <c r="D5" s="103">
        <v>5.04</v>
      </c>
      <c r="E5" s="103">
        <v>359.1</v>
      </c>
      <c r="F5" s="48">
        <f t="shared" si="0"/>
        <v>179.55</v>
      </c>
      <c r="G5" s="41">
        <f t="shared" si="1"/>
        <v>538.65000000000009</v>
      </c>
      <c r="H5" s="53">
        <f t="shared" si="2"/>
        <v>403.98750000000007</v>
      </c>
      <c r="I5" s="54">
        <f t="shared" si="3"/>
        <v>179.55</v>
      </c>
      <c r="J5" s="55">
        <f t="shared" si="4"/>
        <v>718.2</v>
      </c>
      <c r="K5" s="56">
        <f t="shared" si="5"/>
        <v>538.65000000000009</v>
      </c>
      <c r="L5" s="181"/>
    </row>
    <row r="6" spans="1:12" x14ac:dyDescent="0.25">
      <c r="A6" s="24" t="s">
        <v>849</v>
      </c>
      <c r="B6" s="23" t="s">
        <v>1415</v>
      </c>
      <c r="C6" s="46">
        <v>5.28</v>
      </c>
      <c r="D6" s="103">
        <v>5.28</v>
      </c>
      <c r="E6" s="103">
        <v>376.2</v>
      </c>
      <c r="F6" s="48">
        <f t="shared" si="0"/>
        <v>188.1</v>
      </c>
      <c r="G6" s="41">
        <f t="shared" si="1"/>
        <v>564.29999999999995</v>
      </c>
      <c r="H6" s="53">
        <f t="shared" si="2"/>
        <v>423.22499999999997</v>
      </c>
      <c r="I6" s="54">
        <f t="shared" si="3"/>
        <v>188.1</v>
      </c>
      <c r="J6" s="55">
        <f t="shared" si="4"/>
        <v>752.4</v>
      </c>
      <c r="K6" s="56">
        <f t="shared" si="5"/>
        <v>564.29999999999995</v>
      </c>
      <c r="L6" s="181"/>
    </row>
    <row r="7" spans="1:12" x14ac:dyDescent="0.25">
      <c r="A7" s="24" t="s">
        <v>850</v>
      </c>
      <c r="B7" s="23" t="s">
        <v>855</v>
      </c>
      <c r="C7" s="46">
        <v>4.8600000000000003</v>
      </c>
      <c r="D7" s="103">
        <v>4.8600000000000003</v>
      </c>
      <c r="E7" s="103">
        <v>346.3</v>
      </c>
      <c r="F7" s="48">
        <f t="shared" si="0"/>
        <v>173.15</v>
      </c>
      <c r="G7" s="41">
        <f t="shared" si="1"/>
        <v>519.45000000000005</v>
      </c>
      <c r="H7" s="53">
        <f t="shared" si="2"/>
        <v>389.58750000000003</v>
      </c>
      <c r="I7" s="54">
        <f t="shared" si="3"/>
        <v>173.15</v>
      </c>
      <c r="J7" s="55">
        <f t="shared" si="4"/>
        <v>692.6</v>
      </c>
      <c r="K7" s="56">
        <f t="shared" si="5"/>
        <v>519.45000000000005</v>
      </c>
      <c r="L7" s="181"/>
    </row>
    <row r="8" spans="1:12" x14ac:dyDescent="0.25">
      <c r="A8" s="24" t="s">
        <v>851</v>
      </c>
      <c r="B8" s="23" t="s">
        <v>856</v>
      </c>
      <c r="C8" s="44">
        <v>5.38</v>
      </c>
      <c r="D8" s="103">
        <v>5.38</v>
      </c>
      <c r="E8" s="103">
        <v>376.2</v>
      </c>
      <c r="F8" s="48">
        <f t="shared" si="0"/>
        <v>188.1</v>
      </c>
      <c r="G8" s="41">
        <f t="shared" si="1"/>
        <v>564.29999999999995</v>
      </c>
      <c r="H8" s="53">
        <f t="shared" si="2"/>
        <v>423.22499999999997</v>
      </c>
      <c r="I8" s="54">
        <f t="shared" si="3"/>
        <v>188.1</v>
      </c>
      <c r="J8" s="55">
        <f t="shared" si="4"/>
        <v>752.4</v>
      </c>
      <c r="K8" s="56">
        <f t="shared" si="5"/>
        <v>564.29999999999995</v>
      </c>
      <c r="L8" s="181"/>
    </row>
    <row r="9" spans="1:12" s="261" customFormat="1" x14ac:dyDescent="0.25">
      <c r="A9" s="49" t="s">
        <v>852</v>
      </c>
      <c r="B9" s="50" t="s">
        <v>857</v>
      </c>
      <c r="C9" s="57">
        <v>16.850000000000001</v>
      </c>
      <c r="D9" s="116">
        <v>10.85</v>
      </c>
      <c r="E9" s="116">
        <v>409.565</v>
      </c>
      <c r="F9" s="58">
        <f t="shared" si="0"/>
        <v>204.7825</v>
      </c>
      <c r="G9" s="41">
        <f t="shared" si="1"/>
        <v>614.34749999999997</v>
      </c>
      <c r="H9" s="53">
        <f t="shared" si="2"/>
        <v>460.760625</v>
      </c>
      <c r="I9" s="54">
        <f t="shared" si="3"/>
        <v>204.7825</v>
      </c>
      <c r="J9" s="55">
        <f t="shared" si="4"/>
        <v>819.13</v>
      </c>
      <c r="K9" s="56">
        <f t="shared" si="5"/>
        <v>614.34749999999997</v>
      </c>
      <c r="L9" s="248"/>
    </row>
    <row r="10" spans="1:12" s="261" customFormat="1" x14ac:dyDescent="0.25">
      <c r="A10" s="49" t="s">
        <v>853</v>
      </c>
      <c r="B10" s="50" t="s">
        <v>1925</v>
      </c>
      <c r="C10" s="57"/>
      <c r="D10" s="208"/>
      <c r="E10" s="116">
        <v>409.565</v>
      </c>
      <c r="F10" s="58">
        <f t="shared" si="0"/>
        <v>204.7825</v>
      </c>
      <c r="G10" s="41">
        <f t="shared" si="1"/>
        <v>614.34749999999997</v>
      </c>
      <c r="H10" s="53">
        <f t="shared" si="2"/>
        <v>460.760625</v>
      </c>
      <c r="I10" s="54">
        <f t="shared" si="3"/>
        <v>204.7825</v>
      </c>
      <c r="J10" s="55">
        <f t="shared" si="4"/>
        <v>819.13</v>
      </c>
      <c r="K10" s="56">
        <f t="shared" si="5"/>
        <v>614.34749999999997</v>
      </c>
      <c r="L10" s="248"/>
    </row>
    <row r="11" spans="1:12" x14ac:dyDescent="0.25">
      <c r="A11" s="24"/>
      <c r="B11" s="23"/>
      <c r="C11" s="144"/>
      <c r="D11" s="103"/>
      <c r="E11" s="103"/>
      <c r="F11" s="42"/>
      <c r="G11" s="145"/>
      <c r="H11" s="42"/>
      <c r="I11" s="25"/>
      <c r="J11" s="59"/>
      <c r="K11" s="40"/>
      <c r="L11" s="181"/>
    </row>
    <row r="12" spans="1:12" x14ac:dyDescent="0.25">
      <c r="A12" s="24" t="s">
        <v>9</v>
      </c>
      <c r="B12" s="23" t="s">
        <v>1563</v>
      </c>
      <c r="C12" s="46">
        <v>6.25</v>
      </c>
      <c r="D12" s="103">
        <v>6.25</v>
      </c>
      <c r="E12" s="103">
        <v>445.35</v>
      </c>
      <c r="F12" s="48">
        <f t="shared" ref="F12:F19" si="6">E12*50%</f>
        <v>222.67500000000001</v>
      </c>
      <c r="G12" s="41">
        <f t="shared" ref="G12:G19" si="7">E12+F12</f>
        <v>668.02500000000009</v>
      </c>
      <c r="H12" s="53">
        <f t="shared" ref="H12:H19" si="8">G12-(G12*25%)</f>
        <v>501.01875000000007</v>
      </c>
      <c r="I12" s="54">
        <f t="shared" ref="I12:I19" si="9">E12*50%</f>
        <v>222.67500000000001</v>
      </c>
      <c r="J12" s="55">
        <f t="shared" ref="J12:J19" si="10">E12+(I12*2)</f>
        <v>890.7</v>
      </c>
      <c r="K12" s="56">
        <f t="shared" ref="K12:K19" si="11">J12-(J12*25%)</f>
        <v>668.02500000000009</v>
      </c>
      <c r="L12" s="181"/>
    </row>
    <row r="13" spans="1:12" x14ac:dyDescent="0.25">
      <c r="A13" s="24" t="s">
        <v>10</v>
      </c>
      <c r="B13" s="23" t="s">
        <v>1924</v>
      </c>
      <c r="C13" s="46">
        <v>6.25</v>
      </c>
      <c r="D13" s="103">
        <v>6.25</v>
      </c>
      <c r="E13" s="103">
        <v>415.9</v>
      </c>
      <c r="F13" s="48">
        <f t="shared" si="6"/>
        <v>207.95</v>
      </c>
      <c r="G13" s="41">
        <f t="shared" si="7"/>
        <v>623.84999999999991</v>
      </c>
      <c r="H13" s="53">
        <f t="shared" si="8"/>
        <v>467.88749999999993</v>
      </c>
      <c r="I13" s="54">
        <f t="shared" si="9"/>
        <v>207.95</v>
      </c>
      <c r="J13" s="55">
        <f t="shared" si="10"/>
        <v>831.8</v>
      </c>
      <c r="K13" s="56">
        <f t="shared" si="11"/>
        <v>623.84999999999991</v>
      </c>
      <c r="L13" s="181"/>
    </row>
    <row r="14" spans="1:12" x14ac:dyDescent="0.25">
      <c r="A14" s="24" t="s">
        <v>11</v>
      </c>
      <c r="B14" s="23" t="s">
        <v>1469</v>
      </c>
      <c r="C14" s="46"/>
      <c r="D14" s="103">
        <v>6.25</v>
      </c>
      <c r="E14" s="103">
        <v>415.9</v>
      </c>
      <c r="F14" s="48">
        <f t="shared" si="6"/>
        <v>207.95</v>
      </c>
      <c r="G14" s="41">
        <f t="shared" si="7"/>
        <v>623.84999999999991</v>
      </c>
      <c r="H14" s="53">
        <f t="shared" si="8"/>
        <v>467.88749999999993</v>
      </c>
      <c r="I14" s="54">
        <f t="shared" si="9"/>
        <v>207.95</v>
      </c>
      <c r="J14" s="55">
        <f t="shared" si="10"/>
        <v>831.8</v>
      </c>
      <c r="K14" s="56">
        <f t="shared" si="11"/>
        <v>623.84999999999991</v>
      </c>
      <c r="L14" s="181"/>
    </row>
    <row r="15" spans="1:12" x14ac:dyDescent="0.25">
      <c r="A15" s="24" t="s">
        <v>12</v>
      </c>
      <c r="B15" s="146" t="s">
        <v>1469</v>
      </c>
      <c r="C15" s="46"/>
      <c r="D15" s="103">
        <v>6.25</v>
      </c>
      <c r="E15" s="147">
        <v>445.35</v>
      </c>
      <c r="F15" s="48">
        <f t="shared" si="6"/>
        <v>222.67500000000001</v>
      </c>
      <c r="G15" s="41">
        <f t="shared" si="7"/>
        <v>668.02500000000009</v>
      </c>
      <c r="H15" s="53">
        <f t="shared" si="8"/>
        <v>501.01875000000007</v>
      </c>
      <c r="I15" s="54">
        <f t="shared" si="9"/>
        <v>222.67500000000001</v>
      </c>
      <c r="J15" s="55">
        <f t="shared" si="10"/>
        <v>890.7</v>
      </c>
      <c r="K15" s="56">
        <f t="shared" si="11"/>
        <v>668.02500000000009</v>
      </c>
      <c r="L15" s="181"/>
    </row>
    <row r="16" spans="1:12" x14ac:dyDescent="0.25">
      <c r="A16" s="24" t="s">
        <v>13</v>
      </c>
      <c r="B16" s="23" t="s">
        <v>2042</v>
      </c>
      <c r="C16" s="46"/>
      <c r="D16" s="103">
        <v>6.25</v>
      </c>
      <c r="E16" s="103">
        <v>445.375</v>
      </c>
      <c r="F16" s="48">
        <f t="shared" si="6"/>
        <v>222.6875</v>
      </c>
      <c r="G16" s="41">
        <f t="shared" si="7"/>
        <v>668.0625</v>
      </c>
      <c r="H16" s="53">
        <f t="shared" si="8"/>
        <v>501.046875</v>
      </c>
      <c r="I16" s="54">
        <f t="shared" si="9"/>
        <v>222.6875</v>
      </c>
      <c r="J16" s="55">
        <f t="shared" si="10"/>
        <v>890.75</v>
      </c>
      <c r="K16" s="56">
        <f t="shared" si="11"/>
        <v>668.0625</v>
      </c>
      <c r="L16" s="181"/>
    </row>
    <row r="17" spans="1:12" x14ac:dyDescent="0.25">
      <c r="A17" s="24" t="s">
        <v>14</v>
      </c>
      <c r="B17" s="23" t="s">
        <v>1831</v>
      </c>
      <c r="C17" s="46"/>
      <c r="D17" s="103">
        <v>6.25</v>
      </c>
      <c r="E17" s="103">
        <v>415.9</v>
      </c>
      <c r="F17" s="48">
        <f t="shared" si="6"/>
        <v>207.95</v>
      </c>
      <c r="G17" s="41">
        <f t="shared" si="7"/>
        <v>623.84999999999991</v>
      </c>
      <c r="H17" s="53">
        <f t="shared" si="8"/>
        <v>467.88749999999993</v>
      </c>
      <c r="I17" s="54">
        <f t="shared" si="9"/>
        <v>207.95</v>
      </c>
      <c r="J17" s="55">
        <f t="shared" si="10"/>
        <v>831.8</v>
      </c>
      <c r="K17" s="56">
        <f t="shared" si="11"/>
        <v>623.84999999999991</v>
      </c>
      <c r="L17" s="181"/>
    </row>
    <row r="18" spans="1:12" x14ac:dyDescent="0.25">
      <c r="A18" s="24" t="s">
        <v>15</v>
      </c>
      <c r="B18" s="23" t="s">
        <v>858</v>
      </c>
      <c r="C18" s="46"/>
      <c r="D18" s="103">
        <v>6.25</v>
      </c>
      <c r="E18" s="103">
        <v>445.35</v>
      </c>
      <c r="F18" s="48">
        <f t="shared" si="6"/>
        <v>222.67500000000001</v>
      </c>
      <c r="G18" s="41">
        <f t="shared" si="7"/>
        <v>668.02500000000009</v>
      </c>
      <c r="H18" s="53">
        <f t="shared" si="8"/>
        <v>501.01875000000007</v>
      </c>
      <c r="I18" s="54">
        <f t="shared" si="9"/>
        <v>222.67500000000001</v>
      </c>
      <c r="J18" s="55">
        <f t="shared" si="10"/>
        <v>890.7</v>
      </c>
      <c r="K18" s="56">
        <f t="shared" si="11"/>
        <v>668.02500000000009</v>
      </c>
      <c r="L18" s="181"/>
    </row>
    <row r="19" spans="1:12" x14ac:dyDescent="0.25">
      <c r="A19" s="24" t="s">
        <v>16</v>
      </c>
      <c r="B19" s="23" t="s">
        <v>1926</v>
      </c>
      <c r="C19" s="46"/>
      <c r="D19" s="103">
        <v>6.25</v>
      </c>
      <c r="E19" s="103">
        <v>445.35</v>
      </c>
      <c r="F19" s="48">
        <f t="shared" si="6"/>
        <v>222.67500000000001</v>
      </c>
      <c r="G19" s="41">
        <f t="shared" si="7"/>
        <v>668.02500000000009</v>
      </c>
      <c r="H19" s="53">
        <f t="shared" si="8"/>
        <v>501.01875000000007</v>
      </c>
      <c r="I19" s="54">
        <f t="shared" si="9"/>
        <v>222.67500000000001</v>
      </c>
      <c r="J19" s="55">
        <f t="shared" si="10"/>
        <v>890.7</v>
      </c>
      <c r="K19" s="56">
        <f t="shared" si="11"/>
        <v>668.02500000000009</v>
      </c>
      <c r="L19" s="181"/>
    </row>
    <row r="20" spans="1:12" x14ac:dyDescent="0.25">
      <c r="A20" s="24"/>
      <c r="B20" s="23"/>
      <c r="C20" s="46"/>
      <c r="D20" s="108"/>
      <c r="E20" s="48"/>
      <c r="F20" s="42"/>
      <c r="G20" s="145"/>
      <c r="H20" s="42"/>
      <c r="I20" s="25"/>
      <c r="J20" s="59"/>
      <c r="K20" s="40"/>
      <c r="L20" s="181"/>
    </row>
    <row r="21" spans="1:12" x14ac:dyDescent="0.25">
      <c r="A21" s="24" t="s">
        <v>21</v>
      </c>
      <c r="B21" s="23"/>
      <c r="C21" s="46"/>
      <c r="D21" s="103">
        <v>6.25</v>
      </c>
      <c r="E21" s="103">
        <v>445.35</v>
      </c>
      <c r="F21" s="48">
        <f t="shared" ref="F21:F59" si="12">E21*50%</f>
        <v>222.67500000000001</v>
      </c>
      <c r="G21" s="41">
        <f t="shared" ref="G21:G26" si="13">E21+F21</f>
        <v>668.02500000000009</v>
      </c>
      <c r="H21" s="53">
        <f t="shared" ref="H21:H26" si="14">G21-(G21*25%)</f>
        <v>501.01875000000007</v>
      </c>
      <c r="I21" s="54">
        <f t="shared" ref="I21:I26" si="15">E21*50%</f>
        <v>222.67500000000001</v>
      </c>
      <c r="J21" s="55">
        <f t="shared" ref="J21:J26" si="16">E21+(I21*2)</f>
        <v>890.7</v>
      </c>
      <c r="K21" s="56">
        <f t="shared" ref="K21:K26" si="17">J21-(J21*25%)</f>
        <v>668.02500000000009</v>
      </c>
      <c r="L21" s="181"/>
    </row>
    <row r="22" spans="1:12" x14ac:dyDescent="0.25">
      <c r="A22" s="24" t="s">
        <v>22</v>
      </c>
      <c r="B22" s="23" t="s">
        <v>1661</v>
      </c>
      <c r="C22" s="46"/>
      <c r="D22" s="135">
        <v>6.25</v>
      </c>
      <c r="E22" s="135">
        <v>415.9</v>
      </c>
      <c r="F22" s="48">
        <f t="shared" si="12"/>
        <v>207.95</v>
      </c>
      <c r="G22" s="41">
        <f t="shared" si="13"/>
        <v>623.84999999999991</v>
      </c>
      <c r="H22" s="53">
        <f t="shared" si="14"/>
        <v>467.88749999999993</v>
      </c>
      <c r="I22" s="54">
        <f t="shared" si="15"/>
        <v>207.95</v>
      </c>
      <c r="J22" s="206">
        <f t="shared" si="16"/>
        <v>831.8</v>
      </c>
      <c r="K22" s="56">
        <f t="shared" si="17"/>
        <v>623.84999999999991</v>
      </c>
      <c r="L22" s="184"/>
    </row>
    <row r="23" spans="1:12" x14ac:dyDescent="0.25">
      <c r="A23" s="24" t="s">
        <v>23</v>
      </c>
      <c r="B23" s="23" t="s">
        <v>1576</v>
      </c>
      <c r="C23" s="46">
        <v>6.25</v>
      </c>
      <c r="D23" s="103">
        <v>6.25</v>
      </c>
      <c r="E23" s="103">
        <v>445.35</v>
      </c>
      <c r="F23" s="48">
        <f t="shared" si="12"/>
        <v>222.67500000000001</v>
      </c>
      <c r="G23" s="41">
        <f t="shared" si="13"/>
        <v>668.02500000000009</v>
      </c>
      <c r="H23" s="53">
        <f t="shared" si="14"/>
        <v>501.01875000000007</v>
      </c>
      <c r="I23" s="54">
        <f t="shared" si="15"/>
        <v>222.67500000000001</v>
      </c>
      <c r="J23" s="55">
        <f t="shared" si="16"/>
        <v>890.7</v>
      </c>
      <c r="K23" s="56">
        <f t="shared" si="17"/>
        <v>668.02500000000009</v>
      </c>
      <c r="L23" s="181"/>
    </row>
    <row r="24" spans="1:12" x14ac:dyDescent="0.25">
      <c r="A24" s="24" t="s">
        <v>24</v>
      </c>
      <c r="B24" s="23"/>
      <c r="C24" s="46"/>
      <c r="D24" s="143"/>
      <c r="E24" s="103"/>
      <c r="F24" s="48">
        <f t="shared" si="12"/>
        <v>0</v>
      </c>
      <c r="G24" s="41">
        <f t="shared" si="13"/>
        <v>0</v>
      </c>
      <c r="H24" s="53">
        <f t="shared" si="14"/>
        <v>0</v>
      </c>
      <c r="I24" s="54">
        <f t="shared" si="15"/>
        <v>0</v>
      </c>
      <c r="J24" s="55">
        <f t="shared" si="16"/>
        <v>0</v>
      </c>
      <c r="K24" s="56">
        <f t="shared" si="17"/>
        <v>0</v>
      </c>
      <c r="L24" s="181"/>
    </row>
    <row r="25" spans="1:12" s="10" customFormat="1" x14ac:dyDescent="0.25">
      <c r="A25" s="119" t="s">
        <v>25</v>
      </c>
      <c r="B25" s="120" t="s">
        <v>1512</v>
      </c>
      <c r="C25" s="148"/>
      <c r="D25" s="122">
        <v>6.25</v>
      </c>
      <c r="E25" s="122">
        <v>415.9</v>
      </c>
      <c r="F25" s="48">
        <f t="shared" si="12"/>
        <v>207.95</v>
      </c>
      <c r="G25" s="41">
        <f t="shared" si="13"/>
        <v>623.84999999999991</v>
      </c>
      <c r="H25" s="53">
        <f t="shared" si="14"/>
        <v>467.88749999999993</v>
      </c>
      <c r="I25" s="54">
        <f t="shared" si="15"/>
        <v>207.95</v>
      </c>
      <c r="J25" s="55">
        <f t="shared" si="16"/>
        <v>831.8</v>
      </c>
      <c r="K25" s="56">
        <f t="shared" si="17"/>
        <v>623.84999999999991</v>
      </c>
      <c r="L25" s="186"/>
    </row>
    <row r="26" spans="1:12" x14ac:dyDescent="0.25">
      <c r="A26" s="24" t="s">
        <v>26</v>
      </c>
      <c r="B26" s="23" t="s">
        <v>1537</v>
      </c>
      <c r="C26" s="46"/>
      <c r="D26" s="103">
        <v>5.25</v>
      </c>
      <c r="E26" s="103">
        <v>374.19</v>
      </c>
      <c r="F26" s="48">
        <f t="shared" si="12"/>
        <v>187.095</v>
      </c>
      <c r="G26" s="41">
        <f t="shared" si="13"/>
        <v>561.28499999999997</v>
      </c>
      <c r="H26" s="53">
        <f t="shared" si="14"/>
        <v>420.96375</v>
      </c>
      <c r="I26" s="54">
        <f t="shared" si="15"/>
        <v>187.095</v>
      </c>
      <c r="J26" s="55">
        <f t="shared" si="16"/>
        <v>748.38</v>
      </c>
      <c r="K26" s="56">
        <f t="shared" si="17"/>
        <v>561.28499999999997</v>
      </c>
      <c r="L26" s="181"/>
    </row>
    <row r="27" spans="1:12" x14ac:dyDescent="0.25">
      <c r="A27" s="24"/>
      <c r="B27" s="23"/>
      <c r="C27" s="46"/>
      <c r="D27" s="103"/>
      <c r="E27" s="103"/>
      <c r="F27" s="42"/>
      <c r="G27" s="145"/>
      <c r="H27" s="42"/>
      <c r="I27" s="25"/>
      <c r="J27" s="59"/>
      <c r="K27" s="40"/>
      <c r="L27" s="181"/>
    </row>
    <row r="28" spans="1:12" x14ac:dyDescent="0.25">
      <c r="A28" s="24" t="s">
        <v>37</v>
      </c>
      <c r="B28" s="23"/>
      <c r="C28" s="46"/>
      <c r="D28" s="103">
        <v>6.25</v>
      </c>
      <c r="E28" s="103">
        <v>445.35</v>
      </c>
      <c r="F28" s="48">
        <f t="shared" ref="F28:F36" si="18">E28*50%</f>
        <v>222.67500000000001</v>
      </c>
      <c r="G28" s="41">
        <f t="shared" ref="G28:G36" si="19">E28+F28</f>
        <v>668.02500000000009</v>
      </c>
      <c r="H28" s="53">
        <f t="shared" ref="H28:H36" si="20">G28-(G28*25%)</f>
        <v>501.01875000000007</v>
      </c>
      <c r="I28" s="54">
        <f t="shared" ref="I28:I36" si="21">E28*50%</f>
        <v>222.67500000000001</v>
      </c>
      <c r="J28" s="55">
        <f t="shared" ref="J28:J36" si="22">E28+(I28*2)</f>
        <v>890.7</v>
      </c>
      <c r="K28" s="56">
        <f t="shared" ref="K28:K36" si="23">J28-(J28*25%)</f>
        <v>668.02500000000009</v>
      </c>
      <c r="L28" s="181"/>
    </row>
    <row r="29" spans="1:12" x14ac:dyDescent="0.25">
      <c r="A29" s="24" t="s">
        <v>39</v>
      </c>
      <c r="B29" s="23" t="s">
        <v>1364</v>
      </c>
      <c r="C29" s="46"/>
      <c r="D29" s="103">
        <v>6.25</v>
      </c>
      <c r="E29" s="103">
        <v>415.9</v>
      </c>
      <c r="F29" s="48">
        <f t="shared" si="18"/>
        <v>207.95</v>
      </c>
      <c r="G29" s="41">
        <f t="shared" si="19"/>
        <v>623.84999999999991</v>
      </c>
      <c r="H29" s="53">
        <f t="shared" si="20"/>
        <v>467.88749999999993</v>
      </c>
      <c r="I29" s="54">
        <f t="shared" si="21"/>
        <v>207.95</v>
      </c>
      <c r="J29" s="55">
        <f t="shared" si="22"/>
        <v>831.8</v>
      </c>
      <c r="K29" s="56">
        <f t="shared" si="23"/>
        <v>623.84999999999991</v>
      </c>
      <c r="L29" s="181"/>
    </row>
    <row r="30" spans="1:12" x14ac:dyDescent="0.25">
      <c r="A30" s="24" t="s">
        <v>40</v>
      </c>
      <c r="B30" s="23" t="s">
        <v>1419</v>
      </c>
      <c r="C30" s="46"/>
      <c r="D30" s="103">
        <v>6.25</v>
      </c>
      <c r="E30" s="103">
        <v>445.35</v>
      </c>
      <c r="F30" s="48">
        <f t="shared" si="18"/>
        <v>222.67500000000001</v>
      </c>
      <c r="G30" s="41">
        <f t="shared" si="19"/>
        <v>668.02500000000009</v>
      </c>
      <c r="H30" s="53">
        <f t="shared" si="20"/>
        <v>501.01875000000007</v>
      </c>
      <c r="I30" s="54">
        <f t="shared" si="21"/>
        <v>222.67500000000001</v>
      </c>
      <c r="J30" s="55">
        <f t="shared" si="22"/>
        <v>890.7</v>
      </c>
      <c r="K30" s="56">
        <f t="shared" si="23"/>
        <v>668.02500000000009</v>
      </c>
      <c r="L30" s="181"/>
    </row>
    <row r="31" spans="1:12" x14ac:dyDescent="0.25">
      <c r="A31" s="24"/>
      <c r="B31" s="23"/>
      <c r="C31" s="46"/>
      <c r="D31" s="103"/>
      <c r="E31" s="103"/>
      <c r="F31" s="48"/>
      <c r="G31" s="41"/>
      <c r="H31" s="53"/>
      <c r="I31" s="54"/>
      <c r="J31" s="55"/>
      <c r="K31" s="56"/>
      <c r="L31" s="181"/>
    </row>
    <row r="32" spans="1:12" x14ac:dyDescent="0.25">
      <c r="A32" s="24"/>
      <c r="B32" s="23"/>
      <c r="C32" s="46"/>
      <c r="D32" s="103"/>
      <c r="E32" s="103"/>
      <c r="F32" s="48"/>
      <c r="G32" s="41"/>
      <c r="H32" s="53"/>
      <c r="I32" s="54"/>
      <c r="J32" s="55"/>
      <c r="K32" s="56"/>
      <c r="L32" s="181"/>
    </row>
    <row r="33" spans="1:12" x14ac:dyDescent="0.25">
      <c r="A33" s="24"/>
      <c r="B33" s="23"/>
      <c r="C33" s="46"/>
      <c r="D33" s="103"/>
      <c r="E33" s="103"/>
      <c r="F33" s="48"/>
      <c r="G33" s="41"/>
      <c r="H33" s="53"/>
      <c r="I33" s="54"/>
      <c r="J33" s="55"/>
      <c r="K33" s="56"/>
      <c r="L33" s="181"/>
    </row>
    <row r="34" spans="1:12" s="10" customFormat="1" x14ac:dyDescent="0.25">
      <c r="A34" s="119" t="s">
        <v>42</v>
      </c>
      <c r="B34" s="120" t="s">
        <v>1513</v>
      </c>
      <c r="C34" s="149"/>
      <c r="D34" s="122">
        <v>6.25</v>
      </c>
      <c r="E34" s="122">
        <v>445.35</v>
      </c>
      <c r="F34" s="48">
        <f t="shared" si="18"/>
        <v>222.67500000000001</v>
      </c>
      <c r="G34" s="41">
        <f t="shared" si="19"/>
        <v>668.02500000000009</v>
      </c>
      <c r="H34" s="53">
        <f t="shared" si="20"/>
        <v>501.01875000000007</v>
      </c>
      <c r="I34" s="54">
        <f t="shared" si="21"/>
        <v>222.67500000000001</v>
      </c>
      <c r="J34" s="55">
        <f t="shared" si="22"/>
        <v>890.7</v>
      </c>
      <c r="K34" s="56">
        <f t="shared" si="23"/>
        <v>668.02500000000009</v>
      </c>
      <c r="L34" s="186"/>
    </row>
    <row r="35" spans="1:12" x14ac:dyDescent="0.25">
      <c r="A35" s="24" t="s">
        <v>43</v>
      </c>
      <c r="B35" s="23"/>
      <c r="C35" s="46"/>
      <c r="D35" s="103">
        <v>6.25</v>
      </c>
      <c r="E35" s="103">
        <v>415.9</v>
      </c>
      <c r="F35" s="48">
        <f t="shared" si="18"/>
        <v>207.95</v>
      </c>
      <c r="G35" s="41">
        <f t="shared" si="19"/>
        <v>623.84999999999991</v>
      </c>
      <c r="H35" s="53">
        <f t="shared" si="20"/>
        <v>467.88749999999993</v>
      </c>
      <c r="I35" s="54">
        <f t="shared" si="21"/>
        <v>207.95</v>
      </c>
      <c r="J35" s="55">
        <f t="shared" si="22"/>
        <v>831.8</v>
      </c>
      <c r="K35" s="56">
        <f t="shared" si="23"/>
        <v>623.84999999999991</v>
      </c>
      <c r="L35" s="181"/>
    </row>
    <row r="36" spans="1:12" x14ac:dyDescent="0.25">
      <c r="A36" s="24" t="s">
        <v>44</v>
      </c>
      <c r="B36" s="23" t="s">
        <v>1962</v>
      </c>
      <c r="C36" s="44">
        <v>9.09</v>
      </c>
      <c r="D36" s="103">
        <v>6.25</v>
      </c>
      <c r="E36" s="103">
        <v>445.35</v>
      </c>
      <c r="F36" s="48">
        <f t="shared" si="18"/>
        <v>222.67500000000001</v>
      </c>
      <c r="G36" s="41">
        <f t="shared" si="19"/>
        <v>668.02500000000009</v>
      </c>
      <c r="H36" s="53">
        <f t="shared" si="20"/>
        <v>501.01875000000007</v>
      </c>
      <c r="I36" s="54">
        <f t="shared" si="21"/>
        <v>222.67500000000001</v>
      </c>
      <c r="J36" s="55">
        <f t="shared" si="22"/>
        <v>890.7</v>
      </c>
      <c r="K36" s="56">
        <f t="shared" si="23"/>
        <v>668.02500000000009</v>
      </c>
      <c r="L36" s="181"/>
    </row>
    <row r="37" spans="1:12" x14ac:dyDescent="0.25">
      <c r="A37" s="24"/>
      <c r="B37" s="23"/>
      <c r="C37" s="44"/>
      <c r="D37" s="103"/>
      <c r="E37" s="103"/>
      <c r="F37" s="42"/>
      <c r="G37" s="145"/>
      <c r="H37" s="42"/>
      <c r="I37" s="25"/>
      <c r="J37" s="59"/>
      <c r="K37" s="40"/>
      <c r="L37" s="181"/>
    </row>
    <row r="38" spans="1:12" x14ac:dyDescent="0.25">
      <c r="A38" s="24" t="s">
        <v>49</v>
      </c>
      <c r="B38" s="23" t="s">
        <v>1658</v>
      </c>
      <c r="C38" s="46"/>
      <c r="D38" s="103">
        <v>6.25</v>
      </c>
      <c r="E38" s="103">
        <v>445.35</v>
      </c>
      <c r="F38" s="48">
        <f t="shared" ref="F38:F41" si="24">E38*50%</f>
        <v>222.67500000000001</v>
      </c>
      <c r="G38" s="41">
        <f t="shared" ref="G38:G41" si="25">E38+F38</f>
        <v>668.02500000000009</v>
      </c>
      <c r="H38" s="53">
        <f t="shared" ref="H38:H41" si="26">G38-(G38*25%)</f>
        <v>501.01875000000007</v>
      </c>
      <c r="I38" s="54">
        <f t="shared" ref="I38:I41" si="27">E38*50%</f>
        <v>222.67500000000001</v>
      </c>
      <c r="J38" s="55">
        <f t="shared" ref="J38:J41" si="28">E38+(I38*2)</f>
        <v>890.7</v>
      </c>
      <c r="K38" s="56">
        <f t="shared" ref="K38:K41" si="29">J38-(J38*25%)</f>
        <v>668.02500000000009</v>
      </c>
      <c r="L38" s="181"/>
    </row>
    <row r="39" spans="1:12" s="10" customFormat="1" x14ac:dyDescent="0.25">
      <c r="A39" s="119" t="s">
        <v>50</v>
      </c>
      <c r="B39" s="120" t="s">
        <v>1657</v>
      </c>
      <c r="C39" s="150">
        <v>6.25</v>
      </c>
      <c r="D39" s="122">
        <v>6.25</v>
      </c>
      <c r="E39" s="122">
        <v>445.35</v>
      </c>
      <c r="F39" s="48">
        <f t="shared" si="24"/>
        <v>222.67500000000001</v>
      </c>
      <c r="G39" s="41">
        <f t="shared" si="25"/>
        <v>668.02500000000009</v>
      </c>
      <c r="H39" s="53">
        <f t="shared" si="26"/>
        <v>501.01875000000007</v>
      </c>
      <c r="I39" s="54">
        <f t="shared" si="27"/>
        <v>222.67500000000001</v>
      </c>
      <c r="J39" s="55">
        <f t="shared" si="28"/>
        <v>890.7</v>
      </c>
      <c r="K39" s="56">
        <f t="shared" si="29"/>
        <v>668.02500000000009</v>
      </c>
      <c r="L39" s="186"/>
    </row>
    <row r="40" spans="1:12" x14ac:dyDescent="0.25">
      <c r="A40" s="24" t="s">
        <v>51</v>
      </c>
      <c r="B40" s="23" t="s">
        <v>2027</v>
      </c>
      <c r="C40" s="46">
        <v>6.25</v>
      </c>
      <c r="D40" s="143"/>
      <c r="E40" s="103">
        <v>445.35</v>
      </c>
      <c r="F40" s="48">
        <f t="shared" si="24"/>
        <v>222.67500000000001</v>
      </c>
      <c r="G40" s="41">
        <f t="shared" si="25"/>
        <v>668.02500000000009</v>
      </c>
      <c r="H40" s="53">
        <f t="shared" si="26"/>
        <v>501.01875000000007</v>
      </c>
      <c r="I40" s="54">
        <f t="shared" si="27"/>
        <v>222.67500000000001</v>
      </c>
      <c r="J40" s="55">
        <f t="shared" si="28"/>
        <v>890.7</v>
      </c>
      <c r="K40" s="56">
        <f t="shared" si="29"/>
        <v>668.02500000000009</v>
      </c>
      <c r="L40" s="181"/>
    </row>
    <row r="41" spans="1:12" x14ac:dyDescent="0.25">
      <c r="A41" s="24" t="s">
        <v>53</v>
      </c>
      <c r="B41" s="23" t="s">
        <v>1514</v>
      </c>
      <c r="C41" s="46">
        <v>6.25</v>
      </c>
      <c r="D41" s="143"/>
      <c r="E41" s="103">
        <v>474.6</v>
      </c>
      <c r="F41" s="48">
        <f t="shared" si="24"/>
        <v>237.3</v>
      </c>
      <c r="G41" s="41">
        <f t="shared" si="25"/>
        <v>711.90000000000009</v>
      </c>
      <c r="H41" s="53">
        <f t="shared" si="26"/>
        <v>533.92500000000007</v>
      </c>
      <c r="I41" s="54">
        <f t="shared" si="27"/>
        <v>237.3</v>
      </c>
      <c r="J41" s="55">
        <f t="shared" si="28"/>
        <v>949.2</v>
      </c>
      <c r="K41" s="56">
        <f t="shared" si="29"/>
        <v>711.90000000000009</v>
      </c>
      <c r="L41" s="181"/>
    </row>
    <row r="42" spans="1:12" x14ac:dyDescent="0.25">
      <c r="A42" s="24"/>
      <c r="B42" s="23"/>
      <c r="C42" s="46"/>
      <c r="D42" s="103"/>
      <c r="E42" s="103"/>
      <c r="F42" s="42"/>
      <c r="G42" s="145"/>
      <c r="H42" s="42"/>
      <c r="I42" s="25"/>
      <c r="J42" s="59"/>
      <c r="K42" s="40"/>
      <c r="L42" s="181"/>
    </row>
    <row r="43" spans="1:12" x14ac:dyDescent="0.25">
      <c r="A43" s="24" t="s">
        <v>69</v>
      </c>
      <c r="B43" s="23" t="s">
        <v>1932</v>
      </c>
      <c r="C43" s="46">
        <v>12.5</v>
      </c>
      <c r="D43" s="103">
        <v>12.5</v>
      </c>
      <c r="E43" s="103">
        <v>459.97500000000002</v>
      </c>
      <c r="F43" s="48">
        <f t="shared" ref="F43:F46" si="30">E43*50%</f>
        <v>229.98750000000001</v>
      </c>
      <c r="G43" s="41">
        <f t="shared" ref="G43:G46" si="31">E43+F43</f>
        <v>689.96250000000009</v>
      </c>
      <c r="H43" s="53">
        <f t="shared" ref="H43:H46" si="32">G43-(G43*25%)</f>
        <v>517.47187500000007</v>
      </c>
      <c r="I43" s="54">
        <f t="shared" ref="I43:I46" si="33">E43*50%</f>
        <v>229.98750000000001</v>
      </c>
      <c r="J43" s="55">
        <f t="shared" ref="J43:J46" si="34">E43+(I43*2)</f>
        <v>919.95</v>
      </c>
      <c r="K43" s="56">
        <f t="shared" ref="K43:K46" si="35">J43-(J43*25%)</f>
        <v>689.96250000000009</v>
      </c>
      <c r="L43" s="181"/>
    </row>
    <row r="44" spans="1:12" x14ac:dyDescent="0.25">
      <c r="A44" s="24" t="s">
        <v>70</v>
      </c>
      <c r="B44" s="23" t="s">
        <v>1933</v>
      </c>
      <c r="C44" s="46"/>
      <c r="D44" s="143"/>
      <c r="E44" s="103">
        <v>459.97500000000002</v>
      </c>
      <c r="F44" s="48">
        <f t="shared" si="30"/>
        <v>229.98750000000001</v>
      </c>
      <c r="G44" s="41">
        <f t="shared" si="31"/>
        <v>689.96250000000009</v>
      </c>
      <c r="H44" s="53">
        <f t="shared" si="32"/>
        <v>517.47187500000007</v>
      </c>
      <c r="I44" s="54">
        <f t="shared" si="33"/>
        <v>229.98750000000001</v>
      </c>
      <c r="J44" s="55">
        <f t="shared" si="34"/>
        <v>919.95</v>
      </c>
      <c r="K44" s="56">
        <f t="shared" si="35"/>
        <v>689.96250000000009</v>
      </c>
      <c r="L44" s="181"/>
    </row>
    <row r="45" spans="1:12" x14ac:dyDescent="0.25">
      <c r="A45" s="24" t="s">
        <v>71</v>
      </c>
      <c r="B45" s="23" t="s">
        <v>1760</v>
      </c>
      <c r="C45" s="46">
        <v>12.5</v>
      </c>
      <c r="D45" s="103">
        <v>12.5</v>
      </c>
      <c r="E45" s="103">
        <v>459.97500000000002</v>
      </c>
      <c r="F45" s="48">
        <f t="shared" si="30"/>
        <v>229.98750000000001</v>
      </c>
      <c r="G45" s="41">
        <f t="shared" si="31"/>
        <v>689.96250000000009</v>
      </c>
      <c r="H45" s="53">
        <f t="shared" si="32"/>
        <v>517.47187500000007</v>
      </c>
      <c r="I45" s="54">
        <f t="shared" si="33"/>
        <v>229.98750000000001</v>
      </c>
      <c r="J45" s="55">
        <f t="shared" si="34"/>
        <v>919.95</v>
      </c>
      <c r="K45" s="56">
        <f t="shared" si="35"/>
        <v>689.96250000000009</v>
      </c>
      <c r="L45" s="181"/>
    </row>
    <row r="46" spans="1:12" x14ac:dyDescent="0.25">
      <c r="A46" s="24" t="s">
        <v>72</v>
      </c>
      <c r="B46" s="23" t="s">
        <v>1760</v>
      </c>
      <c r="C46" s="46"/>
      <c r="D46" s="143"/>
      <c r="E46" s="103">
        <v>459.97500000000002</v>
      </c>
      <c r="F46" s="48">
        <f t="shared" si="30"/>
        <v>229.98750000000001</v>
      </c>
      <c r="G46" s="41">
        <f t="shared" si="31"/>
        <v>689.96250000000009</v>
      </c>
      <c r="H46" s="53">
        <f t="shared" si="32"/>
        <v>517.47187500000007</v>
      </c>
      <c r="I46" s="54">
        <f t="shared" si="33"/>
        <v>229.98750000000001</v>
      </c>
      <c r="J46" s="55">
        <f t="shared" si="34"/>
        <v>919.95</v>
      </c>
      <c r="K46" s="56">
        <f t="shared" si="35"/>
        <v>689.96250000000009</v>
      </c>
      <c r="L46" s="181"/>
    </row>
    <row r="47" spans="1:12" x14ac:dyDescent="0.25">
      <c r="A47" s="24"/>
      <c r="B47" s="23"/>
      <c r="C47" s="46"/>
      <c r="D47" s="103"/>
      <c r="E47" s="103"/>
      <c r="F47" s="42"/>
      <c r="G47" s="145"/>
      <c r="H47" s="42"/>
      <c r="I47" s="25"/>
      <c r="J47" s="59"/>
      <c r="K47" s="40"/>
      <c r="L47" s="181"/>
    </row>
    <row r="48" spans="1:12" x14ac:dyDescent="0.25">
      <c r="A48" s="24" t="s">
        <v>87</v>
      </c>
      <c r="B48" s="23" t="s">
        <v>1934</v>
      </c>
      <c r="C48" s="46">
        <v>6.25</v>
      </c>
      <c r="D48" s="103">
        <v>6.25</v>
      </c>
      <c r="E48" s="103">
        <v>445.35</v>
      </c>
      <c r="F48" s="48">
        <f t="shared" ref="F48:F54" si="36">E48*50%</f>
        <v>222.67500000000001</v>
      </c>
      <c r="G48" s="41">
        <f t="shared" ref="G48:G54" si="37">E48+F48</f>
        <v>668.02500000000009</v>
      </c>
      <c r="H48" s="53">
        <f t="shared" ref="H48:H54" si="38">G48-(G48*25%)</f>
        <v>501.01875000000007</v>
      </c>
      <c r="I48" s="54">
        <f t="shared" ref="I48:I54" si="39">E48*50%</f>
        <v>222.67500000000001</v>
      </c>
      <c r="J48" s="55">
        <f t="shared" ref="J48:J54" si="40">E48+(I48*2)</f>
        <v>890.7</v>
      </c>
      <c r="K48" s="56">
        <f t="shared" ref="K48:K54" si="41">J48-(J48*25%)</f>
        <v>668.02500000000009</v>
      </c>
      <c r="L48" s="181"/>
    </row>
    <row r="49" spans="1:12" x14ac:dyDescent="0.25">
      <c r="A49" s="24" t="s">
        <v>88</v>
      </c>
      <c r="B49" s="23" t="s">
        <v>833</v>
      </c>
      <c r="C49" s="46">
        <v>6.25</v>
      </c>
      <c r="D49" s="103">
        <v>6.25</v>
      </c>
      <c r="E49" s="103">
        <v>474.6</v>
      </c>
      <c r="F49" s="48">
        <f t="shared" si="36"/>
        <v>237.3</v>
      </c>
      <c r="G49" s="41">
        <f t="shared" si="37"/>
        <v>711.90000000000009</v>
      </c>
      <c r="H49" s="53">
        <f t="shared" si="38"/>
        <v>533.92500000000007</v>
      </c>
      <c r="I49" s="54">
        <f t="shared" si="39"/>
        <v>237.3</v>
      </c>
      <c r="J49" s="55">
        <f t="shared" si="40"/>
        <v>949.2</v>
      </c>
      <c r="K49" s="56">
        <f t="shared" si="41"/>
        <v>711.90000000000009</v>
      </c>
      <c r="L49" s="181"/>
    </row>
    <row r="50" spans="1:12" x14ac:dyDescent="0.25">
      <c r="A50" s="24" t="s">
        <v>90</v>
      </c>
      <c r="B50" s="23" t="s">
        <v>1488</v>
      </c>
      <c r="C50" s="44">
        <v>6.25</v>
      </c>
      <c r="D50" s="103">
        <v>6.25</v>
      </c>
      <c r="E50" s="103">
        <v>445.35</v>
      </c>
      <c r="F50" s="48">
        <f t="shared" si="36"/>
        <v>222.67500000000001</v>
      </c>
      <c r="G50" s="41">
        <f t="shared" si="37"/>
        <v>668.02500000000009</v>
      </c>
      <c r="H50" s="53">
        <f t="shared" si="38"/>
        <v>501.01875000000007</v>
      </c>
      <c r="I50" s="54">
        <f t="shared" si="39"/>
        <v>222.67500000000001</v>
      </c>
      <c r="J50" s="55">
        <f t="shared" si="40"/>
        <v>890.7</v>
      </c>
      <c r="K50" s="56">
        <f t="shared" si="41"/>
        <v>668.02500000000009</v>
      </c>
      <c r="L50" s="181"/>
    </row>
    <row r="51" spans="1:12" x14ac:dyDescent="0.25">
      <c r="A51" s="24" t="s">
        <v>91</v>
      </c>
      <c r="B51" s="23" t="s">
        <v>1692</v>
      </c>
      <c r="C51" s="44">
        <v>6.25</v>
      </c>
      <c r="D51" s="103">
        <v>6.25</v>
      </c>
      <c r="E51" s="103">
        <v>474.6</v>
      </c>
      <c r="F51" s="48">
        <f t="shared" si="36"/>
        <v>237.3</v>
      </c>
      <c r="G51" s="41">
        <f t="shared" si="37"/>
        <v>711.90000000000009</v>
      </c>
      <c r="H51" s="53">
        <f t="shared" si="38"/>
        <v>533.92500000000007</v>
      </c>
      <c r="I51" s="54">
        <f t="shared" si="39"/>
        <v>237.3</v>
      </c>
      <c r="J51" s="55">
        <f t="shared" si="40"/>
        <v>949.2</v>
      </c>
      <c r="K51" s="56">
        <f t="shared" si="41"/>
        <v>711.90000000000009</v>
      </c>
      <c r="L51" s="181"/>
    </row>
    <row r="52" spans="1:12" x14ac:dyDescent="0.25">
      <c r="A52" s="24" t="s">
        <v>101</v>
      </c>
      <c r="B52" s="23" t="s">
        <v>1488</v>
      </c>
      <c r="C52" s="44">
        <v>4.84</v>
      </c>
      <c r="D52" s="103">
        <v>4.84</v>
      </c>
      <c r="E52" s="103">
        <v>367.5</v>
      </c>
      <c r="F52" s="48">
        <f t="shared" si="36"/>
        <v>183.75</v>
      </c>
      <c r="G52" s="41">
        <f t="shared" si="37"/>
        <v>551.25</v>
      </c>
      <c r="H52" s="53">
        <f t="shared" si="38"/>
        <v>413.4375</v>
      </c>
      <c r="I52" s="54">
        <f t="shared" si="39"/>
        <v>183.75</v>
      </c>
      <c r="J52" s="55">
        <f t="shared" si="40"/>
        <v>735</v>
      </c>
      <c r="K52" s="56">
        <f t="shared" si="41"/>
        <v>551.25</v>
      </c>
      <c r="L52" s="181"/>
    </row>
    <row r="53" spans="1:12" x14ac:dyDescent="0.25">
      <c r="A53" s="24" t="s">
        <v>102</v>
      </c>
      <c r="B53" s="23" t="s">
        <v>1739</v>
      </c>
      <c r="C53" s="44">
        <v>9.68</v>
      </c>
      <c r="D53" s="103">
        <v>9.68</v>
      </c>
      <c r="E53" s="103">
        <v>367.5</v>
      </c>
      <c r="F53" s="48">
        <f t="shared" si="36"/>
        <v>183.75</v>
      </c>
      <c r="G53" s="41">
        <f t="shared" si="37"/>
        <v>551.25</v>
      </c>
      <c r="H53" s="53">
        <f t="shared" si="38"/>
        <v>413.4375</v>
      </c>
      <c r="I53" s="54">
        <f t="shared" si="39"/>
        <v>183.75</v>
      </c>
      <c r="J53" s="55">
        <f t="shared" si="40"/>
        <v>735</v>
      </c>
      <c r="K53" s="56">
        <f t="shared" si="41"/>
        <v>551.25</v>
      </c>
      <c r="L53" s="181"/>
    </row>
    <row r="54" spans="1:12" x14ac:dyDescent="0.25">
      <c r="A54" s="24" t="s">
        <v>104</v>
      </c>
      <c r="B54" s="23" t="s">
        <v>1739</v>
      </c>
      <c r="C54" s="44"/>
      <c r="D54" s="143"/>
      <c r="E54" s="103">
        <v>367.5</v>
      </c>
      <c r="F54" s="48">
        <f t="shared" si="36"/>
        <v>183.75</v>
      </c>
      <c r="G54" s="41">
        <f t="shared" si="37"/>
        <v>551.25</v>
      </c>
      <c r="H54" s="53">
        <f t="shared" si="38"/>
        <v>413.4375</v>
      </c>
      <c r="I54" s="54">
        <f t="shared" si="39"/>
        <v>183.75</v>
      </c>
      <c r="J54" s="55">
        <f t="shared" si="40"/>
        <v>735</v>
      </c>
      <c r="K54" s="56">
        <f t="shared" si="41"/>
        <v>551.25</v>
      </c>
      <c r="L54" s="181"/>
    </row>
    <row r="55" spans="1:12" x14ac:dyDescent="0.25">
      <c r="A55" s="24"/>
      <c r="B55" s="23"/>
      <c r="C55" s="44"/>
      <c r="D55" s="103"/>
      <c r="E55" s="103"/>
      <c r="F55" s="42"/>
      <c r="G55" s="145"/>
      <c r="H55" s="42"/>
      <c r="I55" s="25"/>
      <c r="J55" s="59"/>
      <c r="K55" s="40"/>
      <c r="L55" s="181"/>
    </row>
    <row r="56" spans="1:12" x14ac:dyDescent="0.25">
      <c r="A56" s="24" t="s">
        <v>114</v>
      </c>
      <c r="B56" s="23" t="s">
        <v>1925</v>
      </c>
      <c r="C56" s="46">
        <v>6</v>
      </c>
      <c r="D56" s="103">
        <v>6</v>
      </c>
      <c r="E56" s="103">
        <v>445.57</v>
      </c>
      <c r="F56" s="48">
        <f t="shared" si="12"/>
        <v>222.785</v>
      </c>
      <c r="G56" s="41">
        <f t="shared" ref="G56:G59" si="42">E56+F56</f>
        <v>668.35500000000002</v>
      </c>
      <c r="H56" s="53">
        <f t="shared" ref="H56:H59" si="43">G56-(G56*25%)</f>
        <v>501.26625000000001</v>
      </c>
      <c r="I56" s="54">
        <f t="shared" ref="I56:I59" si="44">E56*50%</f>
        <v>222.785</v>
      </c>
      <c r="J56" s="55">
        <f t="shared" ref="J56:J59" si="45">E56+(I56*2)</f>
        <v>891.14</v>
      </c>
      <c r="K56" s="56">
        <f t="shared" ref="K56:K59" si="46">J56-(J56*25%)</f>
        <v>668.35500000000002</v>
      </c>
      <c r="L56" s="181"/>
    </row>
    <row r="57" spans="1:12" x14ac:dyDescent="0.25">
      <c r="A57" s="24" t="s">
        <v>116</v>
      </c>
      <c r="B57" s="23" t="s">
        <v>2300</v>
      </c>
      <c r="C57" s="46">
        <v>6</v>
      </c>
      <c r="D57" s="103">
        <v>6</v>
      </c>
      <c r="E57" s="103">
        <v>445.6</v>
      </c>
      <c r="F57" s="48">
        <f t="shared" si="12"/>
        <v>222.8</v>
      </c>
      <c r="G57" s="41">
        <f t="shared" si="42"/>
        <v>668.40000000000009</v>
      </c>
      <c r="H57" s="53">
        <f t="shared" si="43"/>
        <v>501.30000000000007</v>
      </c>
      <c r="I57" s="54">
        <f t="shared" si="44"/>
        <v>222.8</v>
      </c>
      <c r="J57" s="55">
        <f t="shared" si="45"/>
        <v>891.2</v>
      </c>
      <c r="K57" s="56">
        <f t="shared" si="46"/>
        <v>668.40000000000009</v>
      </c>
      <c r="L57" s="181"/>
    </row>
    <row r="58" spans="1:12" x14ac:dyDescent="0.25">
      <c r="A58" s="24" t="s">
        <v>117</v>
      </c>
      <c r="B58" s="23" t="s">
        <v>859</v>
      </c>
      <c r="C58" s="46">
        <v>6</v>
      </c>
      <c r="D58" s="103">
        <v>6</v>
      </c>
      <c r="E58" s="103">
        <v>455.6</v>
      </c>
      <c r="F58" s="48">
        <f t="shared" si="12"/>
        <v>227.8</v>
      </c>
      <c r="G58" s="41">
        <f t="shared" si="42"/>
        <v>683.40000000000009</v>
      </c>
      <c r="H58" s="53">
        <f t="shared" si="43"/>
        <v>512.55000000000007</v>
      </c>
      <c r="I58" s="54">
        <f t="shared" si="44"/>
        <v>227.8</v>
      </c>
      <c r="J58" s="55">
        <f t="shared" si="45"/>
        <v>911.2</v>
      </c>
      <c r="K58" s="56">
        <f t="shared" si="46"/>
        <v>683.40000000000009</v>
      </c>
      <c r="L58" s="181"/>
    </row>
    <row r="59" spans="1:12" x14ac:dyDescent="0.25">
      <c r="A59" s="24" t="s">
        <v>118</v>
      </c>
      <c r="B59" s="23" t="s">
        <v>860</v>
      </c>
      <c r="C59" s="46">
        <v>6</v>
      </c>
      <c r="D59" s="103">
        <v>6</v>
      </c>
      <c r="E59" s="103">
        <v>455.6</v>
      </c>
      <c r="F59" s="48">
        <f t="shared" si="12"/>
        <v>227.8</v>
      </c>
      <c r="G59" s="41">
        <f t="shared" si="42"/>
        <v>683.40000000000009</v>
      </c>
      <c r="H59" s="53">
        <f t="shared" si="43"/>
        <v>512.55000000000007</v>
      </c>
      <c r="I59" s="54">
        <f t="shared" si="44"/>
        <v>227.8</v>
      </c>
      <c r="J59" s="55">
        <f t="shared" si="45"/>
        <v>911.2</v>
      </c>
      <c r="K59" s="56">
        <f t="shared" si="46"/>
        <v>683.40000000000009</v>
      </c>
      <c r="L59" s="181"/>
    </row>
    <row r="60" spans="1:12" s="1" customFormat="1" x14ac:dyDescent="0.25">
      <c r="A60" s="355" t="s">
        <v>1327</v>
      </c>
      <c r="B60" s="356"/>
      <c r="C60" s="34"/>
      <c r="D60" s="94">
        <f>SUM(D3:D59)</f>
        <v>260.02</v>
      </c>
      <c r="E60" s="25"/>
      <c r="F60" s="25"/>
      <c r="G60" s="145"/>
      <c r="H60" s="25"/>
      <c r="I60" s="25"/>
      <c r="J60" s="94">
        <f t="shared" ref="J60:K60" si="47">SUM(J3:J59)</f>
        <v>39115.43</v>
      </c>
      <c r="K60" s="94">
        <f t="shared" si="47"/>
        <v>29336.57250000002</v>
      </c>
      <c r="L60" s="187"/>
    </row>
    <row r="61" spans="1:12" s="9" customFormat="1" x14ac:dyDescent="0.25">
      <c r="A61" s="78"/>
      <c r="B61" s="66"/>
      <c r="C61" s="151"/>
      <c r="D61" s="139"/>
      <c r="E61" s="66"/>
      <c r="F61" s="74"/>
      <c r="G61" s="152"/>
      <c r="H61" s="90"/>
      <c r="I61" s="142"/>
      <c r="J61" s="205"/>
      <c r="K61" s="67"/>
      <c r="L61" s="172"/>
    </row>
    <row r="62" spans="1:12" x14ac:dyDescent="0.25">
      <c r="B62" s="66"/>
      <c r="C62" s="151"/>
      <c r="D62" s="139"/>
      <c r="F62" s="74"/>
      <c r="G62" s="152"/>
    </row>
    <row r="63" spans="1:12" x14ac:dyDescent="0.25">
      <c r="B63" s="66"/>
      <c r="C63" s="151" t="s">
        <v>896</v>
      </c>
      <c r="D63" s="139"/>
      <c r="F63" s="74"/>
      <c r="G63" s="152"/>
    </row>
    <row r="64" spans="1:12" x14ac:dyDescent="0.25">
      <c r="B64" s="66"/>
      <c r="C64" s="151"/>
      <c r="D64" s="139"/>
      <c r="F64" s="74"/>
      <c r="G64" s="152"/>
    </row>
    <row r="65" spans="2:7" x14ac:dyDescent="0.25">
      <c r="B65" s="66"/>
      <c r="C65" s="151"/>
      <c r="D65" s="139"/>
      <c r="F65" s="74"/>
      <c r="G65" s="152"/>
    </row>
    <row r="66" spans="2:7" x14ac:dyDescent="0.25">
      <c r="B66" s="66"/>
      <c r="C66" s="151"/>
      <c r="D66" s="139"/>
      <c r="F66" s="74"/>
      <c r="G66" s="152"/>
    </row>
    <row r="67" spans="2:7" x14ac:dyDescent="0.25">
      <c r="B67" s="66"/>
      <c r="C67" s="151"/>
      <c r="D67" s="139"/>
      <c r="F67" s="74"/>
      <c r="G67" s="152"/>
    </row>
    <row r="68" spans="2:7" x14ac:dyDescent="0.25">
      <c r="B68" s="66"/>
      <c r="C68" s="151"/>
      <c r="D68" s="139"/>
      <c r="F68" s="74"/>
      <c r="G68" s="152"/>
    </row>
    <row r="69" spans="2:7" x14ac:dyDescent="0.25">
      <c r="B69" s="66"/>
      <c r="C69" s="151"/>
      <c r="D69" s="139"/>
      <c r="F69" s="74"/>
      <c r="G69" s="152"/>
    </row>
    <row r="70" spans="2:7" x14ac:dyDescent="0.25">
      <c r="B70" s="66"/>
      <c r="C70" s="151"/>
      <c r="D70" s="139"/>
      <c r="F70" s="74"/>
      <c r="G70" s="152"/>
    </row>
    <row r="71" spans="2:7" x14ac:dyDescent="0.25">
      <c r="B71" s="66"/>
      <c r="C71" s="151"/>
      <c r="D71" s="139"/>
      <c r="F71" s="74"/>
      <c r="G71" s="152"/>
    </row>
    <row r="72" spans="2:7" x14ac:dyDescent="0.25">
      <c r="B72" s="66"/>
      <c r="C72" s="151"/>
      <c r="D72" s="139"/>
      <c r="F72" s="74"/>
      <c r="G72" s="152"/>
    </row>
    <row r="73" spans="2:7" x14ac:dyDescent="0.25">
      <c r="B73" s="66"/>
      <c r="C73" s="151"/>
      <c r="D73" s="139"/>
      <c r="F73" s="74"/>
      <c r="G73" s="152"/>
    </row>
    <row r="74" spans="2:7" x14ac:dyDescent="0.25">
      <c r="B74" s="66"/>
      <c r="C74" s="151"/>
      <c r="D74" s="139"/>
      <c r="F74" s="74"/>
      <c r="G74" s="152"/>
    </row>
    <row r="75" spans="2:7" x14ac:dyDescent="0.25">
      <c r="B75" s="66"/>
      <c r="C75" s="151"/>
      <c r="D75" s="139"/>
      <c r="F75" s="74"/>
      <c r="G75" s="152"/>
    </row>
    <row r="76" spans="2:7" x14ac:dyDescent="0.25">
      <c r="B76" s="66"/>
      <c r="C76" s="151"/>
      <c r="D76" s="139"/>
      <c r="F76" s="74"/>
      <c r="G76" s="152"/>
    </row>
    <row r="77" spans="2:7" x14ac:dyDescent="0.25">
      <c r="B77" s="66"/>
      <c r="C77" s="151"/>
      <c r="D77" s="139"/>
      <c r="F77" s="74"/>
      <c r="G77" s="152"/>
    </row>
    <row r="78" spans="2:7" x14ac:dyDescent="0.25">
      <c r="B78" s="66"/>
      <c r="C78" s="151"/>
      <c r="D78" s="139"/>
      <c r="F78" s="74"/>
      <c r="G78" s="152"/>
    </row>
    <row r="79" spans="2:7" x14ac:dyDescent="0.25">
      <c r="B79" s="66"/>
      <c r="C79" s="151"/>
      <c r="D79" s="139"/>
      <c r="F79" s="74"/>
      <c r="G79" s="152"/>
    </row>
    <row r="80" spans="2:7" x14ac:dyDescent="0.25">
      <c r="B80" s="66"/>
      <c r="C80" s="151"/>
      <c r="D80" s="139"/>
      <c r="F80" s="74"/>
      <c r="G80" s="152"/>
    </row>
    <row r="81" spans="2:7" x14ac:dyDescent="0.25">
      <c r="B81" s="66"/>
      <c r="C81" s="151"/>
      <c r="D81" s="139"/>
      <c r="F81" s="74"/>
      <c r="G81" s="152"/>
    </row>
    <row r="82" spans="2:7" x14ac:dyDescent="0.25">
      <c r="B82" s="66"/>
      <c r="C82" s="151"/>
      <c r="D82" s="139"/>
      <c r="F82" s="74"/>
      <c r="G82" s="152"/>
    </row>
    <row r="83" spans="2:7" x14ac:dyDescent="0.25">
      <c r="B83" s="66"/>
      <c r="C83" s="151"/>
      <c r="D83" s="139"/>
      <c r="F83" s="74"/>
      <c r="G83" s="152"/>
    </row>
    <row r="84" spans="2:7" x14ac:dyDescent="0.25">
      <c r="B84" s="66"/>
      <c r="C84" s="151"/>
      <c r="D84" s="139"/>
      <c r="F84" s="74"/>
      <c r="G84" s="152"/>
    </row>
    <row r="85" spans="2:7" x14ac:dyDescent="0.25">
      <c r="B85" s="66"/>
      <c r="C85" s="151"/>
      <c r="D85" s="139"/>
      <c r="F85" s="74"/>
      <c r="G85" s="152"/>
    </row>
    <row r="86" spans="2:7" x14ac:dyDescent="0.25">
      <c r="B86" s="66"/>
      <c r="C86" s="151"/>
      <c r="D86" s="139"/>
      <c r="F86" s="74"/>
      <c r="G86" s="152"/>
    </row>
    <row r="87" spans="2:7" x14ac:dyDescent="0.25">
      <c r="B87" s="66"/>
      <c r="C87" s="151"/>
      <c r="D87" s="139"/>
      <c r="F87" s="74"/>
      <c r="G87" s="152"/>
    </row>
    <row r="88" spans="2:7" x14ac:dyDescent="0.25">
      <c r="B88" s="66"/>
      <c r="C88" s="151"/>
      <c r="D88" s="139"/>
      <c r="F88" s="74"/>
      <c r="G88" s="152"/>
    </row>
    <row r="89" spans="2:7" x14ac:dyDescent="0.25">
      <c r="B89" s="66"/>
      <c r="C89" s="151"/>
      <c r="D89" s="139"/>
      <c r="F89" s="74"/>
      <c r="G89" s="152"/>
    </row>
    <row r="90" spans="2:7" x14ac:dyDescent="0.25">
      <c r="B90" s="66"/>
      <c r="C90" s="151"/>
      <c r="D90" s="139"/>
      <c r="F90" s="74"/>
      <c r="G90" s="152"/>
    </row>
    <row r="91" spans="2:7" x14ac:dyDescent="0.25">
      <c r="B91" s="66"/>
      <c r="C91" s="151"/>
      <c r="D91" s="139"/>
      <c r="F91" s="74"/>
      <c r="G91" s="152"/>
    </row>
    <row r="92" spans="2:7" x14ac:dyDescent="0.25">
      <c r="B92" s="66"/>
      <c r="C92" s="151"/>
      <c r="D92" s="139"/>
      <c r="F92" s="74"/>
      <c r="G92" s="152"/>
    </row>
    <row r="93" spans="2:7" x14ac:dyDescent="0.25">
      <c r="B93" s="66"/>
      <c r="C93" s="151"/>
      <c r="D93" s="139"/>
      <c r="F93" s="74"/>
      <c r="G93" s="152"/>
    </row>
    <row r="94" spans="2:7" x14ac:dyDescent="0.25">
      <c r="B94" s="66"/>
      <c r="C94" s="151"/>
      <c r="D94" s="139"/>
      <c r="F94" s="74"/>
      <c r="G94" s="152"/>
    </row>
    <row r="95" spans="2:7" x14ac:dyDescent="0.25">
      <c r="B95" s="66"/>
      <c r="C95" s="151"/>
      <c r="D95" s="139"/>
      <c r="F95" s="74"/>
      <c r="G95" s="152"/>
    </row>
    <row r="96" spans="2:7" x14ac:dyDescent="0.25">
      <c r="B96" s="66"/>
      <c r="F96" s="74"/>
      <c r="G96" s="152"/>
    </row>
    <row r="97" spans="2:7" x14ac:dyDescent="0.25">
      <c r="B97" s="66"/>
      <c r="C97" s="151"/>
      <c r="D97" s="139"/>
      <c r="F97" s="74"/>
      <c r="G97" s="152"/>
    </row>
    <row r="98" spans="2:7" x14ac:dyDescent="0.25">
      <c r="B98" s="66"/>
    </row>
    <row r="99" spans="2:7" x14ac:dyDescent="0.25">
      <c r="B99" s="66"/>
    </row>
    <row r="100" spans="2:7" x14ac:dyDescent="0.25">
      <c r="B100" s="66"/>
    </row>
    <row r="101" spans="2:7" x14ac:dyDescent="0.25">
      <c r="B101" s="66"/>
    </row>
    <row r="102" spans="2:7" x14ac:dyDescent="0.25">
      <c r="B102" s="66"/>
    </row>
    <row r="103" spans="2:7" x14ac:dyDescent="0.25">
      <c r="B103" s="66"/>
    </row>
    <row r="104" spans="2:7" x14ac:dyDescent="0.25">
      <c r="B104" s="66"/>
    </row>
    <row r="105" spans="2:7" x14ac:dyDescent="0.25">
      <c r="B105" s="66"/>
    </row>
    <row r="106" spans="2:7" x14ac:dyDescent="0.25">
      <c r="B106" s="66"/>
    </row>
    <row r="107" spans="2:7" x14ac:dyDescent="0.25">
      <c r="B107" s="66"/>
    </row>
    <row r="108" spans="2:7" x14ac:dyDescent="0.25">
      <c r="B108" s="66"/>
    </row>
    <row r="109" spans="2:7" x14ac:dyDescent="0.25">
      <c r="B109" s="66"/>
    </row>
    <row r="110" spans="2:7" x14ac:dyDescent="0.25">
      <c r="B110" s="66"/>
    </row>
    <row r="111" spans="2:7" x14ac:dyDescent="0.25">
      <c r="B111" s="66"/>
    </row>
    <row r="112" spans="2:7" x14ac:dyDescent="0.25">
      <c r="B112" s="66"/>
    </row>
    <row r="113" spans="2:2" x14ac:dyDescent="0.25">
      <c r="B113" s="66"/>
    </row>
    <row r="114" spans="2:2" x14ac:dyDescent="0.25">
      <c r="B114" s="66"/>
    </row>
    <row r="115" spans="2:2" x14ac:dyDescent="0.25">
      <c r="B115" s="66"/>
    </row>
    <row r="116" spans="2:2" x14ac:dyDescent="0.25">
      <c r="B116" s="66"/>
    </row>
    <row r="117" spans="2:2" x14ac:dyDescent="0.25">
      <c r="B117" s="66"/>
    </row>
    <row r="118" spans="2:2" x14ac:dyDescent="0.25">
      <c r="B118" s="66"/>
    </row>
    <row r="119" spans="2:2" x14ac:dyDescent="0.25">
      <c r="B119" s="66"/>
    </row>
    <row r="120" spans="2:2" x14ac:dyDescent="0.25">
      <c r="B120" s="66"/>
    </row>
    <row r="121" spans="2:2" x14ac:dyDescent="0.25">
      <c r="B121" s="66"/>
    </row>
    <row r="122" spans="2:2" x14ac:dyDescent="0.25">
      <c r="B122" s="66"/>
    </row>
  </sheetData>
  <mergeCells count="1">
    <mergeCell ref="A60:B60"/>
  </mergeCells>
  <pageMargins left="0.19685039370078741" right="0.19685039370078741" top="0.51181102362204722" bottom="0.51181102362204722" header="0.31496062992125984" footer="0.31496062992125984"/>
  <pageSetup paperSize="5" orientation="landscape" horizontalDpi="0" verticalDpi="0" r:id="rId1"/>
  <headerFooter>
    <oddFooter>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topLeftCell="A112" workbookViewId="0">
      <selection activeCell="J126" sqref="J126"/>
    </sheetView>
  </sheetViews>
  <sheetFormatPr defaultRowHeight="15" x14ac:dyDescent="0.25"/>
  <cols>
    <col min="1" max="1" width="8.7109375" customWidth="1"/>
    <col min="2" max="2" width="29.7109375" customWidth="1"/>
    <col min="3" max="3" width="11.140625" customWidth="1"/>
    <col min="4" max="10" width="11.85546875" customWidth="1"/>
    <col min="11" max="13" width="13.42578125" customWidth="1"/>
  </cols>
  <sheetData>
    <row r="1" spans="1:12" ht="15.75" x14ac:dyDescent="0.25">
      <c r="A1" s="31"/>
      <c r="B1" s="21" t="s">
        <v>886</v>
      </c>
      <c r="C1" s="92"/>
      <c r="D1" s="202"/>
      <c r="E1" s="31"/>
      <c r="F1" s="31"/>
      <c r="G1" s="31"/>
      <c r="H1" s="154"/>
      <c r="I1" s="96"/>
      <c r="J1" s="210"/>
      <c r="K1" s="97"/>
      <c r="L1" s="167"/>
    </row>
    <row r="2" spans="1:12" s="153" customFormat="1" ht="45" x14ac:dyDescent="0.25">
      <c r="A2" s="13" t="s">
        <v>1705</v>
      </c>
      <c r="B2" s="73" t="s">
        <v>1847</v>
      </c>
      <c r="C2" s="13" t="s">
        <v>1874</v>
      </c>
      <c r="D2" s="207" t="s">
        <v>1875</v>
      </c>
      <c r="E2" s="17" t="s">
        <v>1876</v>
      </c>
      <c r="F2" s="70" t="s">
        <v>1877</v>
      </c>
      <c r="G2" s="71" t="s">
        <v>1878</v>
      </c>
      <c r="H2" s="15" t="s">
        <v>1895</v>
      </c>
      <c r="I2" s="72" t="s">
        <v>1880</v>
      </c>
      <c r="J2" s="196" t="s">
        <v>1881</v>
      </c>
      <c r="K2" s="16" t="s">
        <v>1612</v>
      </c>
      <c r="L2" s="13" t="s">
        <v>1964</v>
      </c>
    </row>
    <row r="3" spans="1:12" ht="15.75" x14ac:dyDescent="0.25">
      <c r="A3" s="24" t="s">
        <v>0</v>
      </c>
      <c r="B3" s="23" t="s">
        <v>864</v>
      </c>
      <c r="C3" s="63"/>
      <c r="D3" s="116">
        <v>8.4</v>
      </c>
      <c r="E3" s="103">
        <v>637.85</v>
      </c>
      <c r="F3" s="48">
        <f t="shared" ref="F3:F6" si="0">E3*50%</f>
        <v>318.92500000000001</v>
      </c>
      <c r="G3" s="41">
        <f t="shared" ref="G3:G6" si="1">E3+F3</f>
        <v>956.77500000000009</v>
      </c>
      <c r="H3" s="53">
        <f t="shared" ref="H3:H6" si="2">G3-(G3*25%)</f>
        <v>717.58125000000007</v>
      </c>
      <c r="I3" s="54">
        <f t="shared" ref="I3:I6" si="3">E3*50%</f>
        <v>318.92500000000001</v>
      </c>
      <c r="J3" s="55">
        <f t="shared" ref="J3:J6" si="4">E3+(I3*2)</f>
        <v>1275.7</v>
      </c>
      <c r="K3" s="56">
        <f t="shared" ref="K3:K6" si="5">J3-(J3*25%)</f>
        <v>956.77500000000009</v>
      </c>
      <c r="L3" s="181"/>
    </row>
    <row r="4" spans="1:12" ht="15.75" x14ac:dyDescent="0.25">
      <c r="A4" s="24" t="s">
        <v>2</v>
      </c>
      <c r="B4" s="23" t="s">
        <v>2221</v>
      </c>
      <c r="C4" s="63"/>
      <c r="D4" s="116">
        <v>7.56</v>
      </c>
      <c r="E4" s="103">
        <v>574.04999999999995</v>
      </c>
      <c r="F4" s="48">
        <f t="shared" si="0"/>
        <v>287.02499999999998</v>
      </c>
      <c r="G4" s="41">
        <f t="shared" si="1"/>
        <v>861.07499999999993</v>
      </c>
      <c r="H4" s="53">
        <f t="shared" si="2"/>
        <v>645.80624999999998</v>
      </c>
      <c r="I4" s="54">
        <f t="shared" si="3"/>
        <v>287.02499999999998</v>
      </c>
      <c r="J4" s="55">
        <f t="shared" si="4"/>
        <v>1148.0999999999999</v>
      </c>
      <c r="K4" s="56">
        <f t="shared" si="5"/>
        <v>861.07499999999993</v>
      </c>
      <c r="L4" s="181"/>
    </row>
    <row r="5" spans="1:12" ht="15.75" x14ac:dyDescent="0.25">
      <c r="A5" s="24" t="s">
        <v>3</v>
      </c>
      <c r="B5" s="23" t="s">
        <v>864</v>
      </c>
      <c r="C5" s="63"/>
      <c r="D5" s="116">
        <v>7.84</v>
      </c>
      <c r="E5" s="103">
        <v>595.39</v>
      </c>
      <c r="F5" s="48">
        <f t="shared" si="0"/>
        <v>297.69499999999999</v>
      </c>
      <c r="G5" s="41">
        <f t="shared" si="1"/>
        <v>893.08500000000004</v>
      </c>
      <c r="H5" s="53">
        <f t="shared" si="2"/>
        <v>669.81375000000003</v>
      </c>
      <c r="I5" s="54">
        <f t="shared" si="3"/>
        <v>297.69499999999999</v>
      </c>
      <c r="J5" s="55">
        <f t="shared" si="4"/>
        <v>1190.78</v>
      </c>
      <c r="K5" s="56">
        <f t="shared" si="5"/>
        <v>893.08500000000004</v>
      </c>
      <c r="L5" s="181"/>
    </row>
    <row r="6" spans="1:12" ht="15.75" x14ac:dyDescent="0.25">
      <c r="A6" s="24" t="s">
        <v>5</v>
      </c>
      <c r="B6" s="23" t="s">
        <v>1519</v>
      </c>
      <c r="C6" s="63"/>
      <c r="D6" s="116">
        <v>8.4</v>
      </c>
      <c r="E6" s="103">
        <v>637.85</v>
      </c>
      <c r="F6" s="48">
        <f t="shared" si="0"/>
        <v>318.92500000000001</v>
      </c>
      <c r="G6" s="41">
        <f t="shared" si="1"/>
        <v>956.77500000000009</v>
      </c>
      <c r="H6" s="53">
        <f t="shared" si="2"/>
        <v>717.58125000000007</v>
      </c>
      <c r="I6" s="54">
        <f t="shared" si="3"/>
        <v>318.92500000000001</v>
      </c>
      <c r="J6" s="55">
        <f t="shared" si="4"/>
        <v>1275.7</v>
      </c>
      <c r="K6" s="56">
        <f t="shared" si="5"/>
        <v>956.77500000000009</v>
      </c>
      <c r="L6" s="181"/>
    </row>
    <row r="7" spans="1:12" ht="15.75" x14ac:dyDescent="0.25">
      <c r="A7" s="24"/>
      <c r="B7" s="23"/>
      <c r="C7" s="63"/>
      <c r="D7" s="116"/>
      <c r="E7" s="103"/>
      <c r="F7" s="103"/>
      <c r="G7" s="42"/>
      <c r="H7" s="155"/>
      <c r="I7" s="3"/>
      <c r="J7" s="203"/>
      <c r="K7" s="110"/>
      <c r="L7" s="181"/>
    </row>
    <row r="8" spans="1:12" ht="15.75" x14ac:dyDescent="0.25">
      <c r="A8" s="24" t="s">
        <v>9</v>
      </c>
      <c r="B8" s="23" t="s">
        <v>1835</v>
      </c>
      <c r="C8" s="156">
        <v>11.88</v>
      </c>
      <c r="D8" s="116">
        <v>6.25</v>
      </c>
      <c r="E8" s="103">
        <v>474.6</v>
      </c>
      <c r="F8" s="48">
        <f t="shared" ref="F8:F15" si="6">E8*50%</f>
        <v>237.3</v>
      </c>
      <c r="G8" s="41">
        <f t="shared" ref="G8:G15" si="7">E8+F8</f>
        <v>711.90000000000009</v>
      </c>
      <c r="H8" s="53">
        <f t="shared" ref="H8:H15" si="8">G8-(G8*25%)</f>
        <v>533.92500000000007</v>
      </c>
      <c r="I8" s="54">
        <f t="shared" ref="I8:I15" si="9">E8*50%</f>
        <v>237.3</v>
      </c>
      <c r="J8" s="55">
        <f t="shared" ref="J8:J15" si="10">E8+(I8*2)</f>
        <v>949.2</v>
      </c>
      <c r="K8" s="56">
        <f t="shared" ref="K8:K15" si="11">J8-(J8*25%)</f>
        <v>711.90000000000009</v>
      </c>
      <c r="L8" s="181"/>
    </row>
    <row r="9" spans="1:12" ht="15.75" x14ac:dyDescent="0.25">
      <c r="A9" s="24" t="s">
        <v>10</v>
      </c>
      <c r="B9" s="23" t="s">
        <v>1967</v>
      </c>
      <c r="C9" s="63"/>
      <c r="D9" s="116">
        <v>6.25</v>
      </c>
      <c r="E9" s="103">
        <v>474.6</v>
      </c>
      <c r="F9" s="48">
        <f t="shared" si="6"/>
        <v>237.3</v>
      </c>
      <c r="G9" s="41">
        <f t="shared" si="7"/>
        <v>711.90000000000009</v>
      </c>
      <c r="H9" s="53">
        <f t="shared" si="8"/>
        <v>533.92500000000007</v>
      </c>
      <c r="I9" s="54">
        <f t="shared" si="9"/>
        <v>237.3</v>
      </c>
      <c r="J9" s="55">
        <f t="shared" si="10"/>
        <v>949.2</v>
      </c>
      <c r="K9" s="56">
        <f t="shared" si="11"/>
        <v>711.90000000000009</v>
      </c>
      <c r="L9" s="181"/>
    </row>
    <row r="10" spans="1:12" ht="15.75" x14ac:dyDescent="0.25">
      <c r="A10" s="24" t="s">
        <v>11</v>
      </c>
      <c r="B10" s="23" t="s">
        <v>865</v>
      </c>
      <c r="C10" s="63"/>
      <c r="D10" s="116">
        <v>6.25</v>
      </c>
      <c r="E10" s="103">
        <v>474.6</v>
      </c>
      <c r="F10" s="48">
        <f t="shared" si="6"/>
        <v>237.3</v>
      </c>
      <c r="G10" s="41">
        <f t="shared" si="7"/>
        <v>711.90000000000009</v>
      </c>
      <c r="H10" s="53">
        <f t="shared" si="8"/>
        <v>533.92500000000007</v>
      </c>
      <c r="I10" s="54">
        <f t="shared" si="9"/>
        <v>237.3</v>
      </c>
      <c r="J10" s="55">
        <f t="shared" si="10"/>
        <v>949.2</v>
      </c>
      <c r="K10" s="56">
        <f t="shared" si="11"/>
        <v>711.90000000000009</v>
      </c>
      <c r="L10" s="181"/>
    </row>
    <row r="11" spans="1:12" ht="15.75" x14ac:dyDescent="0.25">
      <c r="A11" s="24" t="s">
        <v>12</v>
      </c>
      <c r="B11" s="23" t="s">
        <v>865</v>
      </c>
      <c r="C11" s="63"/>
      <c r="D11" s="116">
        <v>6.25</v>
      </c>
      <c r="E11" s="103">
        <v>474.6</v>
      </c>
      <c r="F11" s="48">
        <f t="shared" si="6"/>
        <v>237.3</v>
      </c>
      <c r="G11" s="41">
        <f t="shared" si="7"/>
        <v>711.90000000000009</v>
      </c>
      <c r="H11" s="53">
        <f t="shared" si="8"/>
        <v>533.92500000000007</v>
      </c>
      <c r="I11" s="54">
        <f t="shared" si="9"/>
        <v>237.3</v>
      </c>
      <c r="J11" s="55">
        <f t="shared" si="10"/>
        <v>949.2</v>
      </c>
      <c r="K11" s="56">
        <f t="shared" si="11"/>
        <v>711.90000000000009</v>
      </c>
      <c r="L11" s="181"/>
    </row>
    <row r="12" spans="1:12" ht="15.75" x14ac:dyDescent="0.25">
      <c r="A12" s="24" t="s">
        <v>13</v>
      </c>
      <c r="B12" s="23" t="s">
        <v>2185</v>
      </c>
      <c r="C12" s="63"/>
      <c r="D12" s="116">
        <v>6.25</v>
      </c>
      <c r="E12" s="103">
        <v>474.6</v>
      </c>
      <c r="F12" s="48">
        <f t="shared" si="6"/>
        <v>237.3</v>
      </c>
      <c r="G12" s="41">
        <f t="shared" si="7"/>
        <v>711.90000000000009</v>
      </c>
      <c r="H12" s="53">
        <f t="shared" si="8"/>
        <v>533.92500000000007</v>
      </c>
      <c r="I12" s="54">
        <f t="shared" si="9"/>
        <v>237.3</v>
      </c>
      <c r="J12" s="55">
        <f t="shared" si="10"/>
        <v>949.2</v>
      </c>
      <c r="K12" s="56">
        <f t="shared" si="11"/>
        <v>711.90000000000009</v>
      </c>
      <c r="L12" s="181"/>
    </row>
    <row r="13" spans="1:12" ht="15.75" x14ac:dyDescent="0.25">
      <c r="A13" s="24" t="s">
        <v>14</v>
      </c>
      <c r="B13" s="23" t="s">
        <v>1967</v>
      </c>
      <c r="C13" s="63"/>
      <c r="D13" s="116">
        <v>6.25</v>
      </c>
      <c r="E13" s="103">
        <v>474.6</v>
      </c>
      <c r="F13" s="48">
        <f t="shared" si="6"/>
        <v>237.3</v>
      </c>
      <c r="G13" s="41">
        <f t="shared" si="7"/>
        <v>711.90000000000009</v>
      </c>
      <c r="H13" s="53">
        <f t="shared" si="8"/>
        <v>533.92500000000007</v>
      </c>
      <c r="I13" s="54">
        <f t="shared" si="9"/>
        <v>237.3</v>
      </c>
      <c r="J13" s="55">
        <f t="shared" si="10"/>
        <v>949.2</v>
      </c>
      <c r="K13" s="56">
        <f t="shared" si="11"/>
        <v>711.90000000000009</v>
      </c>
      <c r="L13" s="181"/>
    </row>
    <row r="14" spans="1:12" s="261" customFormat="1" ht="15.75" x14ac:dyDescent="0.25">
      <c r="A14" s="49" t="s">
        <v>15</v>
      </c>
      <c r="B14" s="50" t="s">
        <v>1688</v>
      </c>
      <c r="C14" s="234"/>
      <c r="D14" s="116">
        <v>12.5</v>
      </c>
      <c r="E14" s="116">
        <v>474.6</v>
      </c>
      <c r="F14" s="58">
        <f t="shared" si="6"/>
        <v>237.3</v>
      </c>
      <c r="G14" s="41">
        <f t="shared" si="7"/>
        <v>711.90000000000009</v>
      </c>
      <c r="H14" s="53">
        <f t="shared" si="8"/>
        <v>533.92500000000007</v>
      </c>
      <c r="I14" s="54">
        <f t="shared" si="9"/>
        <v>237.3</v>
      </c>
      <c r="J14" s="55">
        <f t="shared" si="10"/>
        <v>949.2</v>
      </c>
      <c r="K14" s="56">
        <f t="shared" si="11"/>
        <v>711.90000000000009</v>
      </c>
      <c r="L14" s="209"/>
    </row>
    <row r="15" spans="1:12" ht="15.75" x14ac:dyDescent="0.25">
      <c r="A15" s="24" t="s">
        <v>16</v>
      </c>
      <c r="B15" s="23" t="s">
        <v>1650</v>
      </c>
      <c r="C15" s="63"/>
      <c r="D15" s="208"/>
      <c r="E15" s="103">
        <v>459.97</v>
      </c>
      <c r="F15" s="48">
        <f t="shared" si="6"/>
        <v>229.98500000000001</v>
      </c>
      <c r="G15" s="41">
        <f t="shared" si="7"/>
        <v>689.95500000000004</v>
      </c>
      <c r="H15" s="53">
        <f t="shared" si="8"/>
        <v>517.46625000000006</v>
      </c>
      <c r="I15" s="54">
        <f t="shared" si="9"/>
        <v>229.98500000000001</v>
      </c>
      <c r="J15" s="55">
        <f t="shared" si="10"/>
        <v>919.94</v>
      </c>
      <c r="K15" s="56">
        <f t="shared" si="11"/>
        <v>689.95500000000004</v>
      </c>
      <c r="L15" s="181"/>
    </row>
    <row r="16" spans="1:12" ht="15.75" x14ac:dyDescent="0.25">
      <c r="A16" s="24"/>
      <c r="B16" s="23"/>
      <c r="C16" s="63"/>
      <c r="D16" s="116"/>
      <c r="E16" s="136"/>
      <c r="F16" s="103"/>
      <c r="G16" s="42"/>
      <c r="H16" s="155"/>
      <c r="I16" s="3"/>
      <c r="J16" s="203"/>
      <c r="K16" s="110"/>
      <c r="L16" s="181"/>
    </row>
    <row r="17" spans="1:12" ht="15.75" x14ac:dyDescent="0.25">
      <c r="A17" s="24" t="s">
        <v>21</v>
      </c>
      <c r="B17" s="23" t="s">
        <v>2043</v>
      </c>
      <c r="C17" s="63"/>
      <c r="D17" s="116">
        <v>6.25</v>
      </c>
      <c r="E17" s="103">
        <v>474.6</v>
      </c>
      <c r="F17" s="48">
        <f t="shared" ref="F17:F24" si="12">E17*50%</f>
        <v>237.3</v>
      </c>
      <c r="G17" s="41">
        <f t="shared" ref="G17:G24" si="13">E17+F17</f>
        <v>711.90000000000009</v>
      </c>
      <c r="H17" s="53">
        <f t="shared" ref="H17:H24" si="14">G17-(G17*25%)</f>
        <v>533.92500000000007</v>
      </c>
      <c r="I17" s="54">
        <f t="shared" ref="I17:I24" si="15">E17*50%</f>
        <v>237.3</v>
      </c>
      <c r="J17" s="55">
        <f t="shared" ref="J17:J24" si="16">E17+(I17*2)</f>
        <v>949.2</v>
      </c>
      <c r="K17" s="56">
        <f t="shared" ref="K17:K24" si="17">J17-(J17*25%)</f>
        <v>711.90000000000009</v>
      </c>
      <c r="L17" s="181"/>
    </row>
    <row r="18" spans="1:12" ht="15.75" x14ac:dyDescent="0.25">
      <c r="A18" s="24" t="s">
        <v>22</v>
      </c>
      <c r="B18" s="23" t="s">
        <v>847</v>
      </c>
      <c r="C18" s="106"/>
      <c r="D18" s="116">
        <v>6.25</v>
      </c>
      <c r="E18" s="103">
        <v>432.51499999999999</v>
      </c>
      <c r="F18" s="48">
        <f t="shared" si="12"/>
        <v>216.25749999999999</v>
      </c>
      <c r="G18" s="41">
        <f t="shared" si="13"/>
        <v>648.77250000000004</v>
      </c>
      <c r="H18" s="53">
        <f t="shared" si="14"/>
        <v>486.57937500000003</v>
      </c>
      <c r="I18" s="54">
        <f t="shared" si="15"/>
        <v>216.25749999999999</v>
      </c>
      <c r="J18" s="55">
        <f t="shared" si="16"/>
        <v>865.03</v>
      </c>
      <c r="K18" s="56">
        <f t="shared" si="17"/>
        <v>648.77250000000004</v>
      </c>
      <c r="L18" s="181"/>
    </row>
    <row r="19" spans="1:12" ht="15.75" x14ac:dyDescent="0.25">
      <c r="A19" s="24" t="s">
        <v>23</v>
      </c>
      <c r="B19" s="23" t="s">
        <v>847</v>
      </c>
      <c r="C19" s="38"/>
      <c r="D19" s="116">
        <v>5.89</v>
      </c>
      <c r="E19" s="103">
        <v>432.52</v>
      </c>
      <c r="F19" s="48">
        <f t="shared" si="12"/>
        <v>216.26</v>
      </c>
      <c r="G19" s="41">
        <f t="shared" si="13"/>
        <v>648.78</v>
      </c>
      <c r="H19" s="53">
        <f t="shared" si="14"/>
        <v>486.58499999999998</v>
      </c>
      <c r="I19" s="54">
        <f t="shared" si="15"/>
        <v>216.26</v>
      </c>
      <c r="J19" s="55">
        <f t="shared" si="16"/>
        <v>865.04</v>
      </c>
      <c r="K19" s="56">
        <f t="shared" si="17"/>
        <v>648.78</v>
      </c>
      <c r="L19" s="181"/>
    </row>
    <row r="20" spans="1:12" ht="15.75" x14ac:dyDescent="0.25">
      <c r="A20" s="24" t="s">
        <v>24</v>
      </c>
      <c r="B20" s="23" t="s">
        <v>1441</v>
      </c>
      <c r="C20" s="106"/>
      <c r="D20" s="116">
        <v>6.25</v>
      </c>
      <c r="E20" s="103">
        <v>474.6</v>
      </c>
      <c r="F20" s="48">
        <f t="shared" si="12"/>
        <v>237.3</v>
      </c>
      <c r="G20" s="41">
        <f t="shared" si="13"/>
        <v>711.90000000000009</v>
      </c>
      <c r="H20" s="53">
        <f t="shared" si="14"/>
        <v>533.92500000000007</v>
      </c>
      <c r="I20" s="54">
        <f t="shared" si="15"/>
        <v>237.3</v>
      </c>
      <c r="J20" s="55">
        <f t="shared" si="16"/>
        <v>949.2</v>
      </c>
      <c r="K20" s="56">
        <f t="shared" si="17"/>
        <v>711.90000000000009</v>
      </c>
      <c r="L20" s="181"/>
    </row>
    <row r="21" spans="1:12" ht="15.75" x14ac:dyDescent="0.25">
      <c r="A21" s="24" t="s">
        <v>25</v>
      </c>
      <c r="B21" s="23" t="s">
        <v>1380</v>
      </c>
      <c r="C21" s="63"/>
      <c r="D21" s="116">
        <v>12.5</v>
      </c>
      <c r="E21" s="103">
        <v>459.97500000000002</v>
      </c>
      <c r="F21" s="48">
        <f t="shared" si="12"/>
        <v>229.98750000000001</v>
      </c>
      <c r="G21" s="41">
        <f t="shared" si="13"/>
        <v>689.96250000000009</v>
      </c>
      <c r="H21" s="53">
        <f t="shared" si="14"/>
        <v>517.47187500000007</v>
      </c>
      <c r="I21" s="54">
        <f t="shared" si="15"/>
        <v>229.98750000000001</v>
      </c>
      <c r="J21" s="55">
        <f t="shared" si="16"/>
        <v>919.95</v>
      </c>
      <c r="K21" s="56">
        <f t="shared" si="17"/>
        <v>689.96250000000009</v>
      </c>
      <c r="L21" s="181"/>
    </row>
    <row r="22" spans="1:12" ht="15.75" x14ac:dyDescent="0.25">
      <c r="A22" s="24" t="s">
        <v>26</v>
      </c>
      <c r="B22" s="23" t="s">
        <v>1380</v>
      </c>
      <c r="C22" s="63"/>
      <c r="D22" s="208"/>
      <c r="E22" s="103">
        <v>459.97500000000002</v>
      </c>
      <c r="F22" s="48">
        <f t="shared" si="12"/>
        <v>229.98750000000001</v>
      </c>
      <c r="G22" s="41">
        <f t="shared" si="13"/>
        <v>689.96250000000009</v>
      </c>
      <c r="H22" s="53">
        <f t="shared" si="14"/>
        <v>517.47187500000007</v>
      </c>
      <c r="I22" s="54">
        <f t="shared" si="15"/>
        <v>229.98750000000001</v>
      </c>
      <c r="J22" s="55">
        <f t="shared" si="16"/>
        <v>919.95</v>
      </c>
      <c r="K22" s="56">
        <f t="shared" si="17"/>
        <v>689.96250000000009</v>
      </c>
      <c r="L22" s="181"/>
    </row>
    <row r="23" spans="1:12" ht="15.75" x14ac:dyDescent="0.25">
      <c r="A23" s="24" t="s">
        <v>27</v>
      </c>
      <c r="B23" s="23" t="s">
        <v>866</v>
      </c>
      <c r="C23" s="38"/>
      <c r="D23" s="116">
        <v>6.25</v>
      </c>
      <c r="E23" s="103">
        <v>445.35</v>
      </c>
      <c r="F23" s="48">
        <f t="shared" si="12"/>
        <v>222.67500000000001</v>
      </c>
      <c r="G23" s="41">
        <f t="shared" si="13"/>
        <v>668.02500000000009</v>
      </c>
      <c r="H23" s="53">
        <f t="shared" si="14"/>
        <v>501.01875000000007</v>
      </c>
      <c r="I23" s="54">
        <f t="shared" si="15"/>
        <v>222.67500000000001</v>
      </c>
      <c r="J23" s="55">
        <f t="shared" si="16"/>
        <v>890.7</v>
      </c>
      <c r="K23" s="56">
        <f t="shared" si="17"/>
        <v>668.02500000000009</v>
      </c>
      <c r="L23" s="181"/>
    </row>
    <row r="24" spans="1:12" ht="15.75" x14ac:dyDescent="0.25">
      <c r="A24" s="24" t="s">
        <v>29</v>
      </c>
      <c r="B24" s="23" t="s">
        <v>2044</v>
      </c>
      <c r="C24" s="63"/>
      <c r="D24" s="116">
        <v>6.25</v>
      </c>
      <c r="E24" s="103">
        <v>474.6</v>
      </c>
      <c r="F24" s="48">
        <f t="shared" si="12"/>
        <v>237.3</v>
      </c>
      <c r="G24" s="41">
        <f t="shared" si="13"/>
        <v>711.90000000000009</v>
      </c>
      <c r="H24" s="53">
        <f t="shared" si="14"/>
        <v>533.92500000000007</v>
      </c>
      <c r="I24" s="54">
        <f t="shared" si="15"/>
        <v>237.3</v>
      </c>
      <c r="J24" s="55">
        <f t="shared" si="16"/>
        <v>949.2</v>
      </c>
      <c r="K24" s="56">
        <f t="shared" si="17"/>
        <v>711.90000000000009</v>
      </c>
      <c r="L24" s="181"/>
    </row>
    <row r="25" spans="1:12" ht="15.75" x14ac:dyDescent="0.25">
      <c r="A25" s="24"/>
      <c r="B25" s="23"/>
      <c r="C25" s="63"/>
      <c r="D25" s="116"/>
      <c r="E25" s="103"/>
      <c r="F25" s="103"/>
      <c r="G25" s="42"/>
      <c r="H25" s="155"/>
      <c r="I25" s="3"/>
      <c r="J25" s="203"/>
      <c r="K25" s="110"/>
      <c r="L25" s="181"/>
    </row>
    <row r="26" spans="1:12" ht="15.75" x14ac:dyDescent="0.25">
      <c r="A26" s="24" t="s">
        <v>37</v>
      </c>
      <c r="B26" s="23" t="s">
        <v>867</v>
      </c>
      <c r="C26" s="63">
        <v>12.65</v>
      </c>
      <c r="D26" s="116">
        <v>6.32</v>
      </c>
      <c r="E26" s="103">
        <v>466.82499999999999</v>
      </c>
      <c r="F26" s="48">
        <f t="shared" ref="F26:F31" si="18">E26*50%</f>
        <v>233.41249999999999</v>
      </c>
      <c r="G26" s="41">
        <f t="shared" ref="G26:G31" si="19">E26+F26</f>
        <v>700.23749999999995</v>
      </c>
      <c r="H26" s="53">
        <f t="shared" ref="H26:H31" si="20">G26-(G26*25%)</f>
        <v>525.17812499999991</v>
      </c>
      <c r="I26" s="54">
        <f t="shared" ref="I26:I31" si="21">E26*50%</f>
        <v>233.41249999999999</v>
      </c>
      <c r="J26" s="55">
        <f t="shared" ref="J26:J31" si="22">E26+(I26*2)</f>
        <v>933.65</v>
      </c>
      <c r="K26" s="56">
        <f t="shared" ref="K26:K31" si="23">J26-(J26*25%)</f>
        <v>700.23749999999995</v>
      </c>
      <c r="L26" s="181"/>
    </row>
    <row r="27" spans="1:12" ht="15.75" x14ac:dyDescent="0.25">
      <c r="A27" s="24" t="s">
        <v>39</v>
      </c>
      <c r="B27" s="23" t="s">
        <v>1829</v>
      </c>
      <c r="C27" s="106"/>
      <c r="D27" s="116">
        <v>6.32</v>
      </c>
      <c r="E27" s="103">
        <v>466.82499999999999</v>
      </c>
      <c r="F27" s="48">
        <f t="shared" si="18"/>
        <v>233.41249999999999</v>
      </c>
      <c r="G27" s="41">
        <f t="shared" si="19"/>
        <v>700.23749999999995</v>
      </c>
      <c r="H27" s="53">
        <f t="shared" si="20"/>
        <v>525.17812499999991</v>
      </c>
      <c r="I27" s="54">
        <f t="shared" si="21"/>
        <v>233.41249999999999</v>
      </c>
      <c r="J27" s="55">
        <f t="shared" si="22"/>
        <v>933.65</v>
      </c>
      <c r="K27" s="56">
        <f t="shared" si="23"/>
        <v>700.23749999999995</v>
      </c>
      <c r="L27" s="181"/>
    </row>
    <row r="28" spans="1:12" ht="15.75" x14ac:dyDescent="0.25">
      <c r="A28" s="24" t="s">
        <v>40</v>
      </c>
      <c r="B28" s="23" t="s">
        <v>2235</v>
      </c>
      <c r="C28" s="63">
        <v>6.25</v>
      </c>
      <c r="D28" s="116">
        <v>6.25</v>
      </c>
      <c r="E28" s="103">
        <v>474.6</v>
      </c>
      <c r="F28" s="48">
        <f t="shared" si="18"/>
        <v>237.3</v>
      </c>
      <c r="G28" s="41">
        <f t="shared" si="19"/>
        <v>711.90000000000009</v>
      </c>
      <c r="H28" s="53">
        <f t="shared" si="20"/>
        <v>533.92500000000007</v>
      </c>
      <c r="I28" s="54">
        <f t="shared" si="21"/>
        <v>237.3</v>
      </c>
      <c r="J28" s="55">
        <f t="shared" si="22"/>
        <v>949.2</v>
      </c>
      <c r="K28" s="56">
        <f t="shared" si="23"/>
        <v>711.90000000000009</v>
      </c>
      <c r="L28" s="181"/>
    </row>
    <row r="29" spans="1:12" ht="15.75" x14ac:dyDescent="0.25">
      <c r="A29" s="24" t="s">
        <v>42</v>
      </c>
      <c r="B29" s="23" t="s">
        <v>1408</v>
      </c>
      <c r="C29" s="63">
        <v>6.25</v>
      </c>
      <c r="D29" s="116">
        <v>6.25</v>
      </c>
      <c r="E29" s="103">
        <v>445.35</v>
      </c>
      <c r="F29" s="48">
        <f t="shared" si="18"/>
        <v>222.67500000000001</v>
      </c>
      <c r="G29" s="41">
        <f t="shared" si="19"/>
        <v>668.02500000000009</v>
      </c>
      <c r="H29" s="53">
        <f t="shared" si="20"/>
        <v>501.01875000000007</v>
      </c>
      <c r="I29" s="54">
        <f t="shared" si="21"/>
        <v>222.67500000000001</v>
      </c>
      <c r="J29" s="55">
        <f t="shared" si="22"/>
        <v>890.7</v>
      </c>
      <c r="K29" s="56">
        <f t="shared" si="23"/>
        <v>668.02500000000009</v>
      </c>
      <c r="L29" s="181"/>
    </row>
    <row r="30" spans="1:12" ht="15.75" x14ac:dyDescent="0.25">
      <c r="A30" s="24" t="s">
        <v>43</v>
      </c>
      <c r="B30" s="23" t="s">
        <v>1780</v>
      </c>
      <c r="C30" s="63">
        <v>6.76</v>
      </c>
      <c r="D30" s="116">
        <v>6.76</v>
      </c>
      <c r="E30" s="103">
        <v>513.29999999999995</v>
      </c>
      <c r="F30" s="48">
        <f t="shared" si="18"/>
        <v>256.64999999999998</v>
      </c>
      <c r="G30" s="41">
        <f t="shared" si="19"/>
        <v>769.94999999999993</v>
      </c>
      <c r="H30" s="53">
        <f t="shared" si="20"/>
        <v>577.46249999999998</v>
      </c>
      <c r="I30" s="54">
        <f t="shared" si="21"/>
        <v>256.64999999999998</v>
      </c>
      <c r="J30" s="55">
        <f t="shared" si="22"/>
        <v>1026.5999999999999</v>
      </c>
      <c r="K30" s="56">
        <f t="shared" si="23"/>
        <v>769.94999999999993</v>
      </c>
      <c r="L30" s="181"/>
    </row>
    <row r="31" spans="1:12" ht="15.75" x14ac:dyDescent="0.25">
      <c r="A31" s="24" t="s">
        <v>44</v>
      </c>
      <c r="B31" s="23" t="s">
        <v>1780</v>
      </c>
      <c r="C31" s="63">
        <v>6.25</v>
      </c>
      <c r="D31" s="116">
        <v>6.25</v>
      </c>
      <c r="E31" s="103">
        <v>445.35</v>
      </c>
      <c r="F31" s="48">
        <f t="shared" si="18"/>
        <v>222.67500000000001</v>
      </c>
      <c r="G31" s="41">
        <f t="shared" si="19"/>
        <v>668.02500000000009</v>
      </c>
      <c r="H31" s="53">
        <f t="shared" si="20"/>
        <v>501.01875000000007</v>
      </c>
      <c r="I31" s="54">
        <f t="shared" si="21"/>
        <v>222.67500000000001</v>
      </c>
      <c r="J31" s="55">
        <f t="shared" si="22"/>
        <v>890.7</v>
      </c>
      <c r="K31" s="56">
        <f t="shared" si="23"/>
        <v>668.02500000000009</v>
      </c>
      <c r="L31" s="181"/>
    </row>
    <row r="32" spans="1:12" ht="15.75" x14ac:dyDescent="0.25">
      <c r="A32" s="24"/>
      <c r="B32" s="23"/>
      <c r="C32" s="63"/>
      <c r="D32" s="116"/>
      <c r="E32" s="103"/>
      <c r="F32" s="103"/>
      <c r="G32" s="42"/>
      <c r="H32" s="155"/>
      <c r="I32" s="3"/>
      <c r="J32" s="203"/>
      <c r="K32" s="110"/>
      <c r="L32" s="181"/>
    </row>
    <row r="33" spans="1:12" ht="15.75" x14ac:dyDescent="0.25">
      <c r="A33" s="24" t="s">
        <v>49</v>
      </c>
      <c r="B33" s="23" t="s">
        <v>868</v>
      </c>
      <c r="C33" s="63"/>
      <c r="D33" s="116">
        <v>6.25</v>
      </c>
      <c r="E33" s="103">
        <v>445.35</v>
      </c>
      <c r="F33" s="48">
        <f t="shared" ref="F33:F38" si="24">E33*50%</f>
        <v>222.67500000000001</v>
      </c>
      <c r="G33" s="41">
        <f t="shared" ref="G33:G38" si="25">E33+F33</f>
        <v>668.02500000000009</v>
      </c>
      <c r="H33" s="53">
        <f t="shared" ref="H33:H38" si="26">G33-(G33*25%)</f>
        <v>501.01875000000007</v>
      </c>
      <c r="I33" s="54">
        <f t="shared" ref="I33:I38" si="27">E33*50%</f>
        <v>222.67500000000001</v>
      </c>
      <c r="J33" s="55">
        <f t="shared" ref="J33:J38" si="28">E33+(I33*2)</f>
        <v>890.7</v>
      </c>
      <c r="K33" s="56">
        <f t="shared" ref="K33:K38" si="29">J33-(J33*25%)</f>
        <v>668.02500000000009</v>
      </c>
      <c r="L33" s="181"/>
    </row>
    <row r="34" spans="1:12" ht="15.75" x14ac:dyDescent="0.25">
      <c r="A34" s="24" t="s">
        <v>50</v>
      </c>
      <c r="B34" s="23" t="s">
        <v>1808</v>
      </c>
      <c r="C34" s="63">
        <v>7.8</v>
      </c>
      <c r="D34" s="116">
        <v>6.25</v>
      </c>
      <c r="E34" s="103">
        <v>474.6</v>
      </c>
      <c r="F34" s="48">
        <f t="shared" si="24"/>
        <v>237.3</v>
      </c>
      <c r="G34" s="41">
        <f t="shared" si="25"/>
        <v>711.90000000000009</v>
      </c>
      <c r="H34" s="53">
        <f t="shared" si="26"/>
        <v>533.92500000000007</v>
      </c>
      <c r="I34" s="54">
        <f t="shared" si="27"/>
        <v>237.3</v>
      </c>
      <c r="J34" s="55">
        <f t="shared" si="28"/>
        <v>949.2</v>
      </c>
      <c r="K34" s="56">
        <f t="shared" si="29"/>
        <v>711.90000000000009</v>
      </c>
      <c r="L34" s="181"/>
    </row>
    <row r="35" spans="1:12" ht="15.75" x14ac:dyDescent="0.25">
      <c r="A35" s="24" t="s">
        <v>51</v>
      </c>
      <c r="B35" s="23" t="s">
        <v>1935</v>
      </c>
      <c r="C35" s="106"/>
      <c r="D35" s="116">
        <v>6.25</v>
      </c>
      <c r="E35" s="103">
        <v>445.35</v>
      </c>
      <c r="F35" s="48">
        <f t="shared" si="24"/>
        <v>222.67500000000001</v>
      </c>
      <c r="G35" s="41">
        <f t="shared" si="25"/>
        <v>668.02500000000009</v>
      </c>
      <c r="H35" s="53">
        <f t="shared" si="26"/>
        <v>501.01875000000007</v>
      </c>
      <c r="I35" s="54">
        <f t="shared" si="27"/>
        <v>222.67500000000001</v>
      </c>
      <c r="J35" s="55">
        <f t="shared" si="28"/>
        <v>890.7</v>
      </c>
      <c r="K35" s="56">
        <f t="shared" si="29"/>
        <v>668.02500000000009</v>
      </c>
      <c r="L35" s="181"/>
    </row>
    <row r="36" spans="1:12" ht="15.75" x14ac:dyDescent="0.25">
      <c r="A36" s="24" t="s">
        <v>53</v>
      </c>
      <c r="B36" s="23" t="s">
        <v>1824</v>
      </c>
      <c r="C36" s="106">
        <v>6.25</v>
      </c>
      <c r="D36" s="116">
        <v>6.25</v>
      </c>
      <c r="E36" s="103">
        <v>445.35</v>
      </c>
      <c r="F36" s="48">
        <f t="shared" si="24"/>
        <v>222.67500000000001</v>
      </c>
      <c r="G36" s="41">
        <f t="shared" si="25"/>
        <v>668.02500000000009</v>
      </c>
      <c r="H36" s="53">
        <f t="shared" si="26"/>
        <v>501.01875000000007</v>
      </c>
      <c r="I36" s="54">
        <f t="shared" si="27"/>
        <v>222.67500000000001</v>
      </c>
      <c r="J36" s="55">
        <f t="shared" si="28"/>
        <v>890.7</v>
      </c>
      <c r="K36" s="56">
        <f t="shared" si="29"/>
        <v>668.02500000000009</v>
      </c>
      <c r="L36" s="181"/>
    </row>
    <row r="37" spans="1:12" ht="15.75" x14ac:dyDescent="0.25">
      <c r="A37" s="24" t="s">
        <v>54</v>
      </c>
      <c r="B37" s="23" t="s">
        <v>869</v>
      </c>
      <c r="C37" s="63"/>
      <c r="D37" s="116">
        <v>6.25</v>
      </c>
      <c r="E37" s="103">
        <v>445.35</v>
      </c>
      <c r="F37" s="48">
        <f t="shared" si="24"/>
        <v>222.67500000000001</v>
      </c>
      <c r="G37" s="41">
        <f t="shared" si="25"/>
        <v>668.02500000000009</v>
      </c>
      <c r="H37" s="53">
        <f t="shared" si="26"/>
        <v>501.01875000000007</v>
      </c>
      <c r="I37" s="54">
        <f t="shared" si="27"/>
        <v>222.67500000000001</v>
      </c>
      <c r="J37" s="55">
        <f t="shared" si="28"/>
        <v>890.7</v>
      </c>
      <c r="K37" s="56">
        <f t="shared" si="29"/>
        <v>668.02500000000009</v>
      </c>
      <c r="L37" s="181"/>
    </row>
    <row r="38" spans="1:12" ht="15.75" x14ac:dyDescent="0.25">
      <c r="A38" s="24" t="s">
        <v>56</v>
      </c>
      <c r="B38" s="23" t="s">
        <v>1365</v>
      </c>
      <c r="C38" s="63">
        <v>10.39</v>
      </c>
      <c r="D38" s="116">
        <v>6.25</v>
      </c>
      <c r="E38" s="103">
        <v>445.35</v>
      </c>
      <c r="F38" s="48">
        <f t="shared" si="24"/>
        <v>222.67500000000001</v>
      </c>
      <c r="G38" s="41">
        <f t="shared" si="25"/>
        <v>668.02500000000009</v>
      </c>
      <c r="H38" s="53">
        <f t="shared" si="26"/>
        <v>501.01875000000007</v>
      </c>
      <c r="I38" s="54">
        <f t="shared" si="27"/>
        <v>222.67500000000001</v>
      </c>
      <c r="J38" s="55">
        <f t="shared" si="28"/>
        <v>890.7</v>
      </c>
      <c r="K38" s="56">
        <f t="shared" si="29"/>
        <v>668.02500000000009</v>
      </c>
      <c r="L38" s="181"/>
    </row>
    <row r="39" spans="1:12" ht="15.75" x14ac:dyDescent="0.25">
      <c r="A39" s="24"/>
      <c r="B39" s="23"/>
      <c r="C39" s="63"/>
      <c r="D39" s="116"/>
      <c r="E39" s="103"/>
      <c r="F39" s="103"/>
      <c r="G39" s="42"/>
      <c r="H39" s="155"/>
      <c r="I39" s="3"/>
      <c r="J39" s="203"/>
      <c r="K39" s="110"/>
      <c r="L39" s="181"/>
    </row>
    <row r="40" spans="1:12" ht="15.75" x14ac:dyDescent="0.25">
      <c r="A40" s="24" t="s">
        <v>69</v>
      </c>
      <c r="B40" s="23" t="s">
        <v>1687</v>
      </c>
      <c r="C40" s="63">
        <v>6.16</v>
      </c>
      <c r="D40" s="116">
        <v>6.25</v>
      </c>
      <c r="E40" s="103">
        <v>474.6</v>
      </c>
      <c r="F40" s="48">
        <f t="shared" ref="F40:F45" si="30">E40*50%</f>
        <v>237.3</v>
      </c>
      <c r="G40" s="41">
        <f t="shared" ref="G40:G45" si="31">E40+F40</f>
        <v>711.90000000000009</v>
      </c>
      <c r="H40" s="53">
        <f t="shared" ref="H40:H45" si="32">G40-(G40*25%)</f>
        <v>533.92500000000007</v>
      </c>
      <c r="I40" s="54">
        <f t="shared" ref="I40:I45" si="33">E40*50%</f>
        <v>237.3</v>
      </c>
      <c r="J40" s="55">
        <f t="shared" ref="J40:J45" si="34">E40+(I40*2)</f>
        <v>949.2</v>
      </c>
      <c r="K40" s="56">
        <f t="shared" ref="K40:K45" si="35">J40-(J40*25%)</f>
        <v>711.90000000000009</v>
      </c>
      <c r="L40" s="181"/>
    </row>
    <row r="41" spans="1:12" ht="15.75" x14ac:dyDescent="0.25">
      <c r="A41" s="24" t="s">
        <v>70</v>
      </c>
      <c r="B41" s="23" t="s">
        <v>1811</v>
      </c>
      <c r="C41" s="63">
        <v>6.56</v>
      </c>
      <c r="D41" s="116">
        <v>6.25</v>
      </c>
      <c r="E41" s="103">
        <v>474.6</v>
      </c>
      <c r="F41" s="48">
        <f t="shared" si="30"/>
        <v>237.3</v>
      </c>
      <c r="G41" s="41">
        <f t="shared" si="31"/>
        <v>711.90000000000009</v>
      </c>
      <c r="H41" s="53">
        <f t="shared" si="32"/>
        <v>533.92500000000007</v>
      </c>
      <c r="I41" s="54">
        <f t="shared" si="33"/>
        <v>237.3</v>
      </c>
      <c r="J41" s="55">
        <f t="shared" si="34"/>
        <v>949.2</v>
      </c>
      <c r="K41" s="56">
        <f t="shared" si="35"/>
        <v>711.90000000000009</v>
      </c>
      <c r="L41" s="181"/>
    </row>
    <row r="42" spans="1:12" ht="15.75" x14ac:dyDescent="0.25">
      <c r="A42" s="24" t="s">
        <v>71</v>
      </c>
      <c r="B42" s="23" t="s">
        <v>1554</v>
      </c>
      <c r="C42" s="63"/>
      <c r="D42" s="116">
        <v>6.25</v>
      </c>
      <c r="E42" s="103">
        <v>445.35</v>
      </c>
      <c r="F42" s="48">
        <f t="shared" si="30"/>
        <v>222.67500000000001</v>
      </c>
      <c r="G42" s="41">
        <f t="shared" si="31"/>
        <v>668.02500000000009</v>
      </c>
      <c r="H42" s="53">
        <f t="shared" si="32"/>
        <v>501.01875000000007</v>
      </c>
      <c r="I42" s="54">
        <f t="shared" si="33"/>
        <v>222.67500000000001</v>
      </c>
      <c r="J42" s="55">
        <f t="shared" si="34"/>
        <v>890.7</v>
      </c>
      <c r="K42" s="56">
        <f t="shared" si="35"/>
        <v>668.02500000000009</v>
      </c>
      <c r="L42" s="181"/>
    </row>
    <row r="43" spans="1:12" ht="15.75" x14ac:dyDescent="0.25">
      <c r="A43" s="24" t="s">
        <v>72</v>
      </c>
      <c r="B43" s="23" t="s">
        <v>1555</v>
      </c>
      <c r="C43" s="106"/>
      <c r="D43" s="116">
        <v>6.25</v>
      </c>
      <c r="E43" s="103">
        <v>474.6</v>
      </c>
      <c r="F43" s="48">
        <f t="shared" si="30"/>
        <v>237.3</v>
      </c>
      <c r="G43" s="41">
        <f t="shared" si="31"/>
        <v>711.90000000000009</v>
      </c>
      <c r="H43" s="53">
        <f t="shared" si="32"/>
        <v>533.92500000000007</v>
      </c>
      <c r="I43" s="54">
        <f t="shared" si="33"/>
        <v>237.3</v>
      </c>
      <c r="J43" s="55">
        <f t="shared" si="34"/>
        <v>949.2</v>
      </c>
      <c r="K43" s="56">
        <f t="shared" si="35"/>
        <v>711.90000000000009</v>
      </c>
      <c r="L43" s="181"/>
    </row>
    <row r="44" spans="1:12" ht="15.75" x14ac:dyDescent="0.25">
      <c r="A44" s="24" t="s">
        <v>73</v>
      </c>
      <c r="B44" s="23" t="s">
        <v>2108</v>
      </c>
      <c r="C44" s="106"/>
      <c r="D44" s="116">
        <v>6.25</v>
      </c>
      <c r="E44" s="103">
        <v>445.35</v>
      </c>
      <c r="F44" s="48">
        <f t="shared" si="30"/>
        <v>222.67500000000001</v>
      </c>
      <c r="G44" s="41">
        <f t="shared" si="31"/>
        <v>668.02500000000009</v>
      </c>
      <c r="H44" s="53">
        <f t="shared" si="32"/>
        <v>501.01875000000007</v>
      </c>
      <c r="I44" s="54">
        <f t="shared" si="33"/>
        <v>222.67500000000001</v>
      </c>
      <c r="J44" s="55">
        <f t="shared" si="34"/>
        <v>890.7</v>
      </c>
      <c r="K44" s="56">
        <f t="shared" si="35"/>
        <v>668.02500000000009</v>
      </c>
      <c r="L44" s="181"/>
    </row>
    <row r="45" spans="1:12" ht="15.75" x14ac:dyDescent="0.25">
      <c r="A45" s="24" t="s">
        <v>74</v>
      </c>
      <c r="B45" s="23" t="s">
        <v>2108</v>
      </c>
      <c r="C45" s="63">
        <v>6.56</v>
      </c>
      <c r="D45" s="116">
        <v>6.25</v>
      </c>
      <c r="E45" s="103">
        <v>474.6</v>
      </c>
      <c r="F45" s="48">
        <f t="shared" si="30"/>
        <v>237.3</v>
      </c>
      <c r="G45" s="41">
        <f t="shared" si="31"/>
        <v>711.90000000000009</v>
      </c>
      <c r="H45" s="53">
        <f t="shared" si="32"/>
        <v>533.92500000000007</v>
      </c>
      <c r="I45" s="54">
        <f t="shared" si="33"/>
        <v>237.3</v>
      </c>
      <c r="J45" s="55">
        <f t="shared" si="34"/>
        <v>949.2</v>
      </c>
      <c r="K45" s="56">
        <f t="shared" si="35"/>
        <v>711.90000000000009</v>
      </c>
      <c r="L45" s="181"/>
    </row>
    <row r="46" spans="1:12" ht="15.75" x14ac:dyDescent="0.25">
      <c r="A46" s="24"/>
      <c r="B46" s="23"/>
      <c r="C46" s="63"/>
      <c r="D46" s="116"/>
      <c r="E46" s="103"/>
      <c r="F46" s="103"/>
      <c r="G46" s="42"/>
      <c r="H46" s="155"/>
      <c r="I46" s="3"/>
      <c r="J46" s="203"/>
      <c r="K46" s="110"/>
      <c r="L46" s="181"/>
    </row>
    <row r="47" spans="1:12" ht="15.75" x14ac:dyDescent="0.25">
      <c r="A47" s="24" t="s">
        <v>87</v>
      </c>
      <c r="B47" s="23" t="s">
        <v>1689</v>
      </c>
      <c r="C47" s="156">
        <v>12.94</v>
      </c>
      <c r="D47" s="116">
        <v>6.25</v>
      </c>
      <c r="E47" s="103">
        <v>474.6</v>
      </c>
      <c r="F47" s="48">
        <f t="shared" ref="F47:F49" si="36">E47*50%</f>
        <v>237.3</v>
      </c>
      <c r="G47" s="41">
        <f t="shared" ref="G47:G49" si="37">E47+F47</f>
        <v>711.90000000000009</v>
      </c>
      <c r="H47" s="53">
        <f t="shared" ref="H47:H49" si="38">G47-(G47*25%)</f>
        <v>533.92500000000007</v>
      </c>
      <c r="I47" s="54">
        <f t="shared" ref="I47:I49" si="39">E47*50%</f>
        <v>237.3</v>
      </c>
      <c r="J47" s="55">
        <f t="shared" ref="J47:J49" si="40">E47+(I47*2)</f>
        <v>949.2</v>
      </c>
      <c r="K47" s="56">
        <f t="shared" ref="K47:K49" si="41">J47-(J47*25%)</f>
        <v>711.90000000000009</v>
      </c>
      <c r="L47" s="181"/>
    </row>
    <row r="48" spans="1:12" ht="15.75" x14ac:dyDescent="0.25">
      <c r="A48" s="24"/>
      <c r="B48" s="23"/>
      <c r="C48" s="63"/>
      <c r="D48" s="116"/>
      <c r="E48" s="103"/>
      <c r="F48" s="48">
        <f t="shared" si="36"/>
        <v>0</v>
      </c>
      <c r="G48" s="41">
        <f t="shared" si="37"/>
        <v>0</v>
      </c>
      <c r="H48" s="53">
        <f t="shared" si="38"/>
        <v>0</v>
      </c>
      <c r="I48" s="54">
        <f t="shared" si="39"/>
        <v>0</v>
      </c>
      <c r="J48" s="55">
        <f t="shared" si="40"/>
        <v>0</v>
      </c>
      <c r="K48" s="56">
        <f t="shared" si="41"/>
        <v>0</v>
      </c>
      <c r="L48" s="181"/>
    </row>
    <row r="49" spans="1:12" ht="15.75" x14ac:dyDescent="0.25">
      <c r="A49" s="24" t="s">
        <v>88</v>
      </c>
      <c r="B49" s="111" t="s">
        <v>1764</v>
      </c>
      <c r="C49" s="23"/>
      <c r="D49" s="116">
        <v>6.25</v>
      </c>
      <c r="E49" s="103">
        <v>474.6</v>
      </c>
      <c r="F49" s="48">
        <f t="shared" si="36"/>
        <v>237.3</v>
      </c>
      <c r="G49" s="41">
        <f t="shared" si="37"/>
        <v>711.90000000000009</v>
      </c>
      <c r="H49" s="53">
        <f t="shared" si="38"/>
        <v>533.92500000000007</v>
      </c>
      <c r="I49" s="54">
        <f t="shared" si="39"/>
        <v>237.3</v>
      </c>
      <c r="J49" s="55">
        <f t="shared" si="40"/>
        <v>949.2</v>
      </c>
      <c r="K49" s="56">
        <f t="shared" si="41"/>
        <v>711.90000000000009</v>
      </c>
      <c r="L49" s="181"/>
    </row>
    <row r="50" spans="1:12" ht="15.75" x14ac:dyDescent="0.25">
      <c r="A50" s="24"/>
      <c r="B50" s="23"/>
      <c r="C50" s="156"/>
      <c r="D50" s="116"/>
      <c r="E50" s="103"/>
      <c r="F50" s="103"/>
      <c r="G50" s="42"/>
      <c r="H50" s="155"/>
      <c r="I50" s="3"/>
      <c r="J50" s="203"/>
      <c r="K50" s="110"/>
      <c r="L50" s="181"/>
    </row>
    <row r="51" spans="1:12" ht="15.75" x14ac:dyDescent="0.25">
      <c r="A51" s="24" t="s">
        <v>101</v>
      </c>
      <c r="B51" s="23" t="s">
        <v>1523</v>
      </c>
      <c r="C51" s="63"/>
      <c r="D51" s="116">
        <v>6.25</v>
      </c>
      <c r="E51" s="103">
        <v>445.35</v>
      </c>
      <c r="F51" s="48">
        <f t="shared" ref="F51:F54" si="42">E51*50%</f>
        <v>222.67500000000001</v>
      </c>
      <c r="G51" s="41">
        <f t="shared" ref="G51:G54" si="43">E51+F51</f>
        <v>668.02500000000009</v>
      </c>
      <c r="H51" s="53">
        <f t="shared" ref="H51:H54" si="44">G51-(G51*25%)</f>
        <v>501.01875000000007</v>
      </c>
      <c r="I51" s="54">
        <f t="shared" ref="I51:I54" si="45">E51*50%</f>
        <v>222.67500000000001</v>
      </c>
      <c r="J51" s="55">
        <f t="shared" ref="J51:J54" si="46">E51+(I51*2)</f>
        <v>890.7</v>
      </c>
      <c r="K51" s="56">
        <f t="shared" ref="K51:K54" si="47">J51-(J51*25%)</f>
        <v>668.02500000000009</v>
      </c>
      <c r="L51" s="181"/>
    </row>
    <row r="52" spans="1:12" ht="15.75" x14ac:dyDescent="0.25">
      <c r="A52" s="24" t="s">
        <v>102</v>
      </c>
      <c r="B52" s="23" t="s">
        <v>1842</v>
      </c>
      <c r="C52" s="63">
        <v>11.33</v>
      </c>
      <c r="D52" s="116">
        <v>6.25</v>
      </c>
      <c r="E52" s="103">
        <v>445.35</v>
      </c>
      <c r="F52" s="48">
        <f t="shared" si="42"/>
        <v>222.67500000000001</v>
      </c>
      <c r="G52" s="41">
        <f t="shared" si="43"/>
        <v>668.02500000000009</v>
      </c>
      <c r="H52" s="53">
        <f t="shared" si="44"/>
        <v>501.01875000000007</v>
      </c>
      <c r="I52" s="54">
        <f t="shared" si="45"/>
        <v>222.67500000000001</v>
      </c>
      <c r="J52" s="55">
        <f t="shared" si="46"/>
        <v>890.7</v>
      </c>
      <c r="K52" s="56">
        <f t="shared" si="47"/>
        <v>668.02500000000009</v>
      </c>
      <c r="L52" s="181"/>
    </row>
    <row r="53" spans="1:12" ht="15.75" x14ac:dyDescent="0.25">
      <c r="A53" s="24" t="s">
        <v>104</v>
      </c>
      <c r="B53" s="23" t="s">
        <v>870</v>
      </c>
      <c r="C53" s="156">
        <v>31.6</v>
      </c>
      <c r="D53" s="116">
        <v>12.5</v>
      </c>
      <c r="E53" s="103">
        <v>445.35</v>
      </c>
      <c r="F53" s="48">
        <f t="shared" si="42"/>
        <v>222.67500000000001</v>
      </c>
      <c r="G53" s="41">
        <f t="shared" si="43"/>
        <v>668.02500000000009</v>
      </c>
      <c r="H53" s="53">
        <f t="shared" si="44"/>
        <v>501.01875000000007</v>
      </c>
      <c r="I53" s="54">
        <f t="shared" si="45"/>
        <v>222.67500000000001</v>
      </c>
      <c r="J53" s="55">
        <f t="shared" si="46"/>
        <v>890.7</v>
      </c>
      <c r="K53" s="56">
        <f t="shared" si="47"/>
        <v>668.02500000000009</v>
      </c>
      <c r="L53" s="181"/>
    </row>
    <row r="54" spans="1:12" ht="15.75" x14ac:dyDescent="0.25">
      <c r="A54" s="24" t="s">
        <v>105</v>
      </c>
      <c r="B54" s="23" t="s">
        <v>870</v>
      </c>
      <c r="C54" s="38"/>
      <c r="D54" s="208"/>
      <c r="E54" s="103">
        <v>445.35</v>
      </c>
      <c r="F54" s="48">
        <f t="shared" si="42"/>
        <v>222.67500000000001</v>
      </c>
      <c r="G54" s="41">
        <f t="shared" si="43"/>
        <v>668.02500000000009</v>
      </c>
      <c r="H54" s="53">
        <f t="shared" si="44"/>
        <v>501.01875000000007</v>
      </c>
      <c r="I54" s="54">
        <f t="shared" si="45"/>
        <v>222.67500000000001</v>
      </c>
      <c r="J54" s="55">
        <f t="shared" si="46"/>
        <v>890.7</v>
      </c>
      <c r="K54" s="56">
        <f t="shared" si="47"/>
        <v>668.02500000000009</v>
      </c>
      <c r="L54" s="181"/>
    </row>
    <row r="55" spans="1:12" ht="15.75" x14ac:dyDescent="0.25">
      <c r="A55" s="24"/>
      <c r="B55" s="23"/>
      <c r="C55" s="38"/>
      <c r="D55" s="116"/>
      <c r="E55" s="157"/>
      <c r="F55" s="103"/>
      <c r="G55" s="42"/>
      <c r="H55" s="155"/>
      <c r="I55" s="3"/>
      <c r="J55" s="203"/>
      <c r="K55" s="110"/>
      <c r="L55" s="181"/>
    </row>
    <row r="56" spans="1:12" ht="15.75" x14ac:dyDescent="0.25">
      <c r="A56" s="24" t="s">
        <v>114</v>
      </c>
      <c r="B56" s="23" t="s">
        <v>2215</v>
      </c>
      <c r="C56" s="63"/>
      <c r="D56" s="116">
        <v>6.25</v>
      </c>
      <c r="E56" s="103">
        <v>445.35</v>
      </c>
      <c r="F56" s="48">
        <f t="shared" ref="F56:F59" si="48">E56*50%</f>
        <v>222.67500000000001</v>
      </c>
      <c r="G56" s="41">
        <f t="shared" ref="G56:G59" si="49">E56+F56</f>
        <v>668.02500000000009</v>
      </c>
      <c r="H56" s="53">
        <f t="shared" ref="H56:H59" si="50">G56-(G56*25%)</f>
        <v>501.01875000000007</v>
      </c>
      <c r="I56" s="54">
        <f t="shared" ref="I56:I59" si="51">E56*50%</f>
        <v>222.67500000000001</v>
      </c>
      <c r="J56" s="55">
        <f t="shared" ref="J56:J59" si="52">E56+(I56*2)</f>
        <v>890.7</v>
      </c>
      <c r="K56" s="56">
        <f t="shared" ref="K56:K59" si="53">J56-(J56*25%)</f>
        <v>668.02500000000009</v>
      </c>
      <c r="L56" s="181"/>
    </row>
    <row r="57" spans="1:12" ht="15.75" x14ac:dyDescent="0.25">
      <c r="A57" s="24" t="s">
        <v>116</v>
      </c>
      <c r="B57" s="23" t="s">
        <v>871</v>
      </c>
      <c r="C57" s="63"/>
      <c r="D57" s="116">
        <v>6.25</v>
      </c>
      <c r="E57" s="103">
        <v>474.6</v>
      </c>
      <c r="F57" s="48">
        <f t="shared" si="48"/>
        <v>237.3</v>
      </c>
      <c r="G57" s="41">
        <f t="shared" si="49"/>
        <v>711.90000000000009</v>
      </c>
      <c r="H57" s="53">
        <f t="shared" si="50"/>
        <v>533.92500000000007</v>
      </c>
      <c r="I57" s="54">
        <f t="shared" si="51"/>
        <v>237.3</v>
      </c>
      <c r="J57" s="55">
        <f t="shared" si="52"/>
        <v>949.2</v>
      </c>
      <c r="K57" s="56">
        <f t="shared" si="53"/>
        <v>711.90000000000009</v>
      </c>
      <c r="L57" s="181"/>
    </row>
    <row r="58" spans="1:12" ht="15.75" x14ac:dyDescent="0.25">
      <c r="A58" s="24" t="s">
        <v>117</v>
      </c>
      <c r="B58" s="23" t="s">
        <v>1841</v>
      </c>
      <c r="C58" s="156">
        <v>10.6</v>
      </c>
      <c r="D58" s="116">
        <v>6.25</v>
      </c>
      <c r="E58" s="103">
        <v>445.35</v>
      </c>
      <c r="F58" s="48">
        <f t="shared" si="48"/>
        <v>222.67500000000001</v>
      </c>
      <c r="G58" s="41">
        <f t="shared" si="49"/>
        <v>668.02500000000009</v>
      </c>
      <c r="H58" s="53">
        <f t="shared" si="50"/>
        <v>501.01875000000007</v>
      </c>
      <c r="I58" s="54">
        <f t="shared" si="51"/>
        <v>222.67500000000001</v>
      </c>
      <c r="J58" s="55">
        <f t="shared" si="52"/>
        <v>890.7</v>
      </c>
      <c r="K58" s="56">
        <f t="shared" si="53"/>
        <v>668.02500000000009</v>
      </c>
      <c r="L58" s="181"/>
    </row>
    <row r="59" spans="1:12" ht="15.75" x14ac:dyDescent="0.25">
      <c r="A59" s="24" t="s">
        <v>118</v>
      </c>
      <c r="B59" s="23" t="s">
        <v>2215</v>
      </c>
      <c r="C59" s="63">
        <v>21.1</v>
      </c>
      <c r="D59" s="116">
        <v>6.25</v>
      </c>
      <c r="E59" s="103">
        <v>474.6</v>
      </c>
      <c r="F59" s="48">
        <f t="shared" si="48"/>
        <v>237.3</v>
      </c>
      <c r="G59" s="41">
        <f t="shared" si="49"/>
        <v>711.90000000000009</v>
      </c>
      <c r="H59" s="53">
        <f t="shared" si="50"/>
        <v>533.92500000000007</v>
      </c>
      <c r="I59" s="54">
        <f t="shared" si="51"/>
        <v>237.3</v>
      </c>
      <c r="J59" s="55">
        <f t="shared" si="52"/>
        <v>949.2</v>
      </c>
      <c r="K59" s="56">
        <f t="shared" si="53"/>
        <v>711.90000000000009</v>
      </c>
      <c r="L59" s="181"/>
    </row>
    <row r="60" spans="1:12" ht="15.75" x14ac:dyDescent="0.25">
      <c r="A60" s="24"/>
      <c r="B60" s="23"/>
      <c r="C60" s="63"/>
      <c r="D60" s="116"/>
      <c r="E60" s="103"/>
      <c r="F60" s="103"/>
      <c r="G60" s="42"/>
      <c r="H60" s="155"/>
      <c r="I60" s="3"/>
      <c r="J60" s="203"/>
      <c r="K60" s="110"/>
      <c r="L60" s="181"/>
    </row>
    <row r="61" spans="1:12" ht="15.75" x14ac:dyDescent="0.25">
      <c r="A61" s="24" t="s">
        <v>138</v>
      </c>
      <c r="B61" s="23" t="s">
        <v>1575</v>
      </c>
      <c r="C61" s="63">
        <v>11.74</v>
      </c>
      <c r="D61" s="116">
        <v>6.25</v>
      </c>
      <c r="E61" s="103">
        <v>474.6</v>
      </c>
      <c r="F61" s="48">
        <f t="shared" ref="F61:F62" si="54">E61*50%</f>
        <v>237.3</v>
      </c>
      <c r="G61" s="41">
        <f t="shared" ref="G61:G62" si="55">E61+F61</f>
        <v>711.90000000000009</v>
      </c>
      <c r="H61" s="53">
        <f t="shared" ref="H61:H62" si="56">G61-(G61*25%)</f>
        <v>533.92500000000007</v>
      </c>
      <c r="I61" s="54">
        <f t="shared" ref="I61:I62" si="57">E61*50%</f>
        <v>237.3</v>
      </c>
      <c r="J61" s="55">
        <f t="shared" ref="J61:J62" si="58">E61+(I61*2)</f>
        <v>949.2</v>
      </c>
      <c r="K61" s="56">
        <f t="shared" ref="K61:K62" si="59">J61-(J61*25%)</f>
        <v>711.90000000000009</v>
      </c>
      <c r="L61" s="181"/>
    </row>
    <row r="62" spans="1:12" ht="15.75" x14ac:dyDescent="0.25">
      <c r="A62" s="24" t="s">
        <v>139</v>
      </c>
      <c r="B62" s="23" t="s">
        <v>1669</v>
      </c>
      <c r="C62" s="63">
        <v>12.58</v>
      </c>
      <c r="D62" s="116">
        <v>6.25</v>
      </c>
      <c r="E62" s="103">
        <v>459.98</v>
      </c>
      <c r="F62" s="48">
        <f t="shared" si="54"/>
        <v>229.99</v>
      </c>
      <c r="G62" s="41">
        <f t="shared" si="55"/>
        <v>689.97</v>
      </c>
      <c r="H62" s="53">
        <f t="shared" si="56"/>
        <v>517.47749999999996</v>
      </c>
      <c r="I62" s="54">
        <f t="shared" si="57"/>
        <v>229.99</v>
      </c>
      <c r="J62" s="55">
        <f t="shared" si="58"/>
        <v>919.96</v>
      </c>
      <c r="K62" s="56">
        <f t="shared" si="59"/>
        <v>689.97</v>
      </c>
      <c r="L62" s="181"/>
    </row>
    <row r="63" spans="1:12" ht="15.75" x14ac:dyDescent="0.25">
      <c r="A63" s="24"/>
      <c r="B63" s="23"/>
      <c r="C63" s="63"/>
      <c r="D63" s="116"/>
      <c r="E63" s="103"/>
      <c r="F63" s="103"/>
      <c r="G63" s="42"/>
      <c r="H63" s="155"/>
      <c r="I63" s="3"/>
      <c r="J63" s="203"/>
      <c r="K63" s="110"/>
      <c r="L63" s="181"/>
    </row>
    <row r="64" spans="1:12" ht="15.75" x14ac:dyDescent="0.25">
      <c r="A64" s="24" t="s">
        <v>151</v>
      </c>
      <c r="B64" s="23" t="s">
        <v>872</v>
      </c>
      <c r="C64" s="63">
        <v>5.47</v>
      </c>
      <c r="D64" s="116">
        <v>6.25</v>
      </c>
      <c r="E64" s="103">
        <v>445.35</v>
      </c>
      <c r="F64" s="48">
        <f t="shared" ref="F64:F67" si="60">E64*50%</f>
        <v>222.67500000000001</v>
      </c>
      <c r="G64" s="41">
        <f t="shared" ref="G64:G67" si="61">E64+F64</f>
        <v>668.02500000000009</v>
      </c>
      <c r="H64" s="53">
        <f t="shared" ref="H64:H67" si="62">G64-(G64*25%)</f>
        <v>501.01875000000007</v>
      </c>
      <c r="I64" s="54">
        <f t="shared" ref="I64:I67" si="63">E64*50%</f>
        <v>222.67500000000001</v>
      </c>
      <c r="J64" s="55">
        <f t="shared" ref="J64:J67" si="64">E64+(I64*2)</f>
        <v>890.7</v>
      </c>
      <c r="K64" s="56">
        <f t="shared" ref="K64:K67" si="65">J64-(J64*25%)</f>
        <v>668.02500000000009</v>
      </c>
      <c r="L64" s="181"/>
    </row>
    <row r="65" spans="1:12" ht="15.75" x14ac:dyDescent="0.25">
      <c r="A65" s="24" t="s">
        <v>152</v>
      </c>
      <c r="B65" s="23" t="s">
        <v>873</v>
      </c>
      <c r="C65" s="156"/>
      <c r="D65" s="116">
        <v>12.5</v>
      </c>
      <c r="E65" s="103">
        <v>445.35</v>
      </c>
      <c r="F65" s="48">
        <f t="shared" si="60"/>
        <v>222.67500000000001</v>
      </c>
      <c r="G65" s="41">
        <f t="shared" si="61"/>
        <v>668.02500000000009</v>
      </c>
      <c r="H65" s="53">
        <f t="shared" si="62"/>
        <v>501.01875000000007</v>
      </c>
      <c r="I65" s="54">
        <f t="shared" si="63"/>
        <v>222.67500000000001</v>
      </c>
      <c r="J65" s="55">
        <f t="shared" si="64"/>
        <v>890.7</v>
      </c>
      <c r="K65" s="56">
        <f t="shared" si="65"/>
        <v>668.02500000000009</v>
      </c>
      <c r="L65" s="181"/>
    </row>
    <row r="66" spans="1:12" s="1" customFormat="1" ht="15.75" x14ac:dyDescent="0.25">
      <c r="A66" s="24" t="s">
        <v>153</v>
      </c>
      <c r="B66" s="23" t="s">
        <v>1668</v>
      </c>
      <c r="C66" s="63"/>
      <c r="D66" s="116">
        <v>6.25</v>
      </c>
      <c r="E66" s="103">
        <v>459.98</v>
      </c>
      <c r="F66" s="48">
        <f t="shared" si="60"/>
        <v>229.99</v>
      </c>
      <c r="G66" s="41">
        <f t="shared" si="61"/>
        <v>689.97</v>
      </c>
      <c r="H66" s="53">
        <f t="shared" si="62"/>
        <v>517.47749999999996</v>
      </c>
      <c r="I66" s="54">
        <f t="shared" si="63"/>
        <v>229.99</v>
      </c>
      <c r="J66" s="55">
        <f t="shared" si="64"/>
        <v>919.96</v>
      </c>
      <c r="K66" s="56">
        <f t="shared" si="65"/>
        <v>689.97</v>
      </c>
      <c r="L66" s="181"/>
    </row>
    <row r="67" spans="1:12" ht="15.75" x14ac:dyDescent="0.25">
      <c r="A67" s="24" t="s">
        <v>155</v>
      </c>
      <c r="B67" s="23" t="s">
        <v>873</v>
      </c>
      <c r="C67" s="63"/>
      <c r="D67" s="208"/>
      <c r="E67" s="103">
        <v>445.35</v>
      </c>
      <c r="F67" s="48">
        <f t="shared" si="60"/>
        <v>222.67500000000001</v>
      </c>
      <c r="G67" s="41">
        <f t="shared" si="61"/>
        <v>668.02500000000009</v>
      </c>
      <c r="H67" s="53">
        <f t="shared" si="62"/>
        <v>501.01875000000007</v>
      </c>
      <c r="I67" s="54">
        <f t="shared" si="63"/>
        <v>222.67500000000001</v>
      </c>
      <c r="J67" s="55">
        <f t="shared" si="64"/>
        <v>890.7</v>
      </c>
      <c r="K67" s="56">
        <f t="shared" si="65"/>
        <v>668.02500000000009</v>
      </c>
      <c r="L67" s="181"/>
    </row>
    <row r="68" spans="1:12" ht="15.75" x14ac:dyDescent="0.25">
      <c r="A68" s="24"/>
      <c r="B68" s="23"/>
      <c r="C68" s="63"/>
      <c r="D68" s="116"/>
      <c r="E68" s="103"/>
      <c r="F68" s="103"/>
      <c r="G68" s="42"/>
      <c r="H68" s="155"/>
      <c r="I68" s="3"/>
      <c r="J68" s="203"/>
      <c r="K68" s="110"/>
      <c r="L68" s="181"/>
    </row>
    <row r="69" spans="1:12" ht="15.75" x14ac:dyDescent="0.25">
      <c r="A69" s="24" t="s">
        <v>162</v>
      </c>
      <c r="B69" s="23" t="s">
        <v>1400</v>
      </c>
      <c r="C69" s="158">
        <v>12.5</v>
      </c>
      <c r="D69" s="116">
        <v>12.5</v>
      </c>
      <c r="E69" s="103">
        <v>459.97</v>
      </c>
      <c r="F69" s="48">
        <f t="shared" ref="F69:F72" si="66">E69*50%</f>
        <v>229.98500000000001</v>
      </c>
      <c r="G69" s="41">
        <f t="shared" ref="G69:G72" si="67">E69+F69</f>
        <v>689.95500000000004</v>
      </c>
      <c r="H69" s="53">
        <f t="shared" ref="H69:H72" si="68">G69-(G69*25%)</f>
        <v>517.46625000000006</v>
      </c>
      <c r="I69" s="54">
        <f t="shared" ref="I69:I72" si="69">E69*50%</f>
        <v>229.98500000000001</v>
      </c>
      <c r="J69" s="55">
        <f t="shared" ref="J69:J72" si="70">E69+(I69*2)</f>
        <v>919.94</v>
      </c>
      <c r="K69" s="56">
        <f t="shared" ref="K69:K72" si="71">J69-(J69*25%)</f>
        <v>689.95500000000004</v>
      </c>
      <c r="L69" s="181"/>
    </row>
    <row r="70" spans="1:12" ht="15.75" x14ac:dyDescent="0.25">
      <c r="A70" s="24" t="s">
        <v>163</v>
      </c>
      <c r="B70" s="23" t="s">
        <v>1872</v>
      </c>
      <c r="C70" s="63">
        <v>5.47</v>
      </c>
      <c r="D70" s="116">
        <v>6.25</v>
      </c>
      <c r="E70" s="103">
        <v>474.6</v>
      </c>
      <c r="F70" s="48">
        <f t="shared" si="66"/>
        <v>237.3</v>
      </c>
      <c r="G70" s="41">
        <f t="shared" si="67"/>
        <v>711.90000000000009</v>
      </c>
      <c r="H70" s="53">
        <f t="shared" si="68"/>
        <v>533.92500000000007</v>
      </c>
      <c r="I70" s="54">
        <f t="shared" si="69"/>
        <v>237.3</v>
      </c>
      <c r="J70" s="55">
        <f t="shared" si="70"/>
        <v>949.2</v>
      </c>
      <c r="K70" s="56">
        <f t="shared" si="71"/>
        <v>711.90000000000009</v>
      </c>
      <c r="L70" s="181"/>
    </row>
    <row r="71" spans="1:12" ht="15.75" x14ac:dyDescent="0.25">
      <c r="A71" s="24" t="s">
        <v>164</v>
      </c>
      <c r="B71" s="23" t="s">
        <v>1496</v>
      </c>
      <c r="C71" s="63"/>
      <c r="D71" s="209"/>
      <c r="E71" s="103">
        <v>459.97500000000002</v>
      </c>
      <c r="F71" s="48">
        <f t="shared" si="66"/>
        <v>229.98750000000001</v>
      </c>
      <c r="G71" s="41">
        <f t="shared" si="67"/>
        <v>689.96250000000009</v>
      </c>
      <c r="H71" s="53">
        <f t="shared" si="68"/>
        <v>517.47187500000007</v>
      </c>
      <c r="I71" s="54">
        <f t="shared" si="69"/>
        <v>229.98750000000001</v>
      </c>
      <c r="J71" s="55">
        <f t="shared" si="70"/>
        <v>919.95</v>
      </c>
      <c r="K71" s="56">
        <f t="shared" si="71"/>
        <v>689.96250000000009</v>
      </c>
      <c r="L71" s="181"/>
    </row>
    <row r="72" spans="1:12" ht="15.75" x14ac:dyDescent="0.25">
      <c r="A72" s="24" t="s">
        <v>165</v>
      </c>
      <c r="B72" s="23" t="s">
        <v>873</v>
      </c>
      <c r="C72" s="63">
        <v>6.25</v>
      </c>
      <c r="D72" s="116">
        <v>6.25</v>
      </c>
      <c r="E72" s="103">
        <v>445.35500000000002</v>
      </c>
      <c r="F72" s="48">
        <f t="shared" si="66"/>
        <v>222.67750000000001</v>
      </c>
      <c r="G72" s="41">
        <f t="shared" si="67"/>
        <v>668.03250000000003</v>
      </c>
      <c r="H72" s="53">
        <f t="shared" si="68"/>
        <v>501.02437500000002</v>
      </c>
      <c r="I72" s="54">
        <f t="shared" si="69"/>
        <v>222.67750000000001</v>
      </c>
      <c r="J72" s="55">
        <f t="shared" si="70"/>
        <v>890.71</v>
      </c>
      <c r="K72" s="56">
        <f t="shared" si="71"/>
        <v>668.03250000000003</v>
      </c>
      <c r="L72" s="181"/>
    </row>
    <row r="73" spans="1:12" ht="15.75" x14ac:dyDescent="0.25">
      <c r="A73" s="24"/>
      <c r="B73" s="23"/>
      <c r="C73" s="63"/>
      <c r="D73" s="116"/>
      <c r="E73" s="103"/>
      <c r="F73" s="103"/>
      <c r="G73" s="42"/>
      <c r="H73" s="155"/>
      <c r="I73" s="3"/>
      <c r="J73" s="203"/>
      <c r="K73" s="110"/>
      <c r="L73" s="181"/>
    </row>
    <row r="74" spans="1:12" ht="15.75" x14ac:dyDescent="0.25">
      <c r="A74" s="24" t="s">
        <v>169</v>
      </c>
      <c r="B74" s="23" t="s">
        <v>1788</v>
      </c>
      <c r="C74" s="106">
        <v>13.82</v>
      </c>
      <c r="D74" s="116">
        <v>6.25</v>
      </c>
      <c r="E74" s="103">
        <v>474.6</v>
      </c>
      <c r="F74" s="48">
        <f t="shared" ref="F74:F79" si="72">E74*50%</f>
        <v>237.3</v>
      </c>
      <c r="G74" s="41">
        <f t="shared" ref="G74:G79" si="73">E74+F74</f>
        <v>711.90000000000009</v>
      </c>
      <c r="H74" s="53">
        <f t="shared" ref="H74:H79" si="74">G74-(G74*25%)</f>
        <v>533.92500000000007</v>
      </c>
      <c r="I74" s="54">
        <f t="shared" ref="I74:I79" si="75">E74*50%</f>
        <v>237.3</v>
      </c>
      <c r="J74" s="55">
        <f t="shared" ref="J74:J79" si="76">E74+(I74*2)</f>
        <v>949.2</v>
      </c>
      <c r="K74" s="56">
        <f t="shared" ref="K74:K79" si="77">J74-(J74*25%)</f>
        <v>711.90000000000009</v>
      </c>
      <c r="L74" s="181"/>
    </row>
    <row r="75" spans="1:12" ht="15.75" x14ac:dyDescent="0.25">
      <c r="A75" s="24" t="s">
        <v>170</v>
      </c>
      <c r="B75" s="23" t="s">
        <v>1749</v>
      </c>
      <c r="C75" s="63"/>
      <c r="D75" s="116">
        <v>6.25</v>
      </c>
      <c r="E75" s="103">
        <v>445.35</v>
      </c>
      <c r="F75" s="48">
        <f t="shared" si="72"/>
        <v>222.67500000000001</v>
      </c>
      <c r="G75" s="41">
        <f t="shared" si="73"/>
        <v>668.02500000000009</v>
      </c>
      <c r="H75" s="53">
        <f t="shared" si="74"/>
        <v>501.01875000000007</v>
      </c>
      <c r="I75" s="54">
        <f t="shared" si="75"/>
        <v>222.67500000000001</v>
      </c>
      <c r="J75" s="55">
        <f t="shared" si="76"/>
        <v>890.7</v>
      </c>
      <c r="K75" s="56">
        <f t="shared" si="77"/>
        <v>668.02500000000009</v>
      </c>
      <c r="L75" s="181"/>
    </row>
    <row r="76" spans="1:12" ht="15.75" x14ac:dyDescent="0.25">
      <c r="A76" s="24" t="s">
        <v>171</v>
      </c>
      <c r="B76" s="23" t="s">
        <v>874</v>
      </c>
      <c r="C76" s="63"/>
      <c r="D76" s="116">
        <v>6.25</v>
      </c>
      <c r="E76" s="103">
        <v>445.35</v>
      </c>
      <c r="F76" s="48">
        <f t="shared" si="72"/>
        <v>222.67500000000001</v>
      </c>
      <c r="G76" s="41">
        <f t="shared" si="73"/>
        <v>668.02500000000009</v>
      </c>
      <c r="H76" s="53">
        <f t="shared" si="74"/>
        <v>501.01875000000007</v>
      </c>
      <c r="I76" s="54">
        <f t="shared" si="75"/>
        <v>222.67500000000001</v>
      </c>
      <c r="J76" s="55">
        <f t="shared" si="76"/>
        <v>890.7</v>
      </c>
      <c r="K76" s="56">
        <f t="shared" si="77"/>
        <v>668.02500000000009</v>
      </c>
      <c r="L76" s="181"/>
    </row>
    <row r="77" spans="1:12" ht="15.75" x14ac:dyDescent="0.25">
      <c r="A77" s="24" t="s">
        <v>172</v>
      </c>
      <c r="B77" s="23" t="s">
        <v>1366</v>
      </c>
      <c r="C77" s="63">
        <v>10.97</v>
      </c>
      <c r="D77" s="116">
        <v>6.25</v>
      </c>
      <c r="E77" s="103">
        <v>474.6</v>
      </c>
      <c r="F77" s="48">
        <f t="shared" si="72"/>
        <v>237.3</v>
      </c>
      <c r="G77" s="41">
        <f t="shared" si="73"/>
        <v>711.90000000000009</v>
      </c>
      <c r="H77" s="53">
        <f t="shared" si="74"/>
        <v>533.92500000000007</v>
      </c>
      <c r="I77" s="54">
        <f t="shared" si="75"/>
        <v>237.3</v>
      </c>
      <c r="J77" s="55">
        <f t="shared" si="76"/>
        <v>949.2</v>
      </c>
      <c r="K77" s="56">
        <f t="shared" si="77"/>
        <v>711.90000000000009</v>
      </c>
      <c r="L77" s="181"/>
    </row>
    <row r="78" spans="1:12" ht="15.75" x14ac:dyDescent="0.25">
      <c r="A78" s="24" t="s">
        <v>862</v>
      </c>
      <c r="B78" s="23" t="s">
        <v>2190</v>
      </c>
      <c r="C78" s="63"/>
      <c r="D78" s="116">
        <v>6.25</v>
      </c>
      <c r="E78" s="103">
        <v>445.35</v>
      </c>
      <c r="F78" s="48">
        <f t="shared" si="72"/>
        <v>222.67500000000001</v>
      </c>
      <c r="G78" s="41">
        <f t="shared" si="73"/>
        <v>668.02500000000009</v>
      </c>
      <c r="H78" s="53">
        <f t="shared" si="74"/>
        <v>501.01875000000007</v>
      </c>
      <c r="I78" s="54">
        <f t="shared" si="75"/>
        <v>222.67500000000001</v>
      </c>
      <c r="J78" s="55">
        <f t="shared" si="76"/>
        <v>890.7</v>
      </c>
      <c r="K78" s="56">
        <f t="shared" si="77"/>
        <v>668.02500000000009</v>
      </c>
      <c r="L78" s="181"/>
    </row>
    <row r="79" spans="1:12" ht="15.75" x14ac:dyDescent="0.25">
      <c r="A79" s="24" t="s">
        <v>863</v>
      </c>
      <c r="B79" s="23" t="s">
        <v>1871</v>
      </c>
      <c r="C79" s="63">
        <v>9.6</v>
      </c>
      <c r="D79" s="116">
        <v>6.25</v>
      </c>
      <c r="E79" s="103">
        <v>445.35</v>
      </c>
      <c r="F79" s="48">
        <f t="shared" si="72"/>
        <v>222.67500000000001</v>
      </c>
      <c r="G79" s="41">
        <f t="shared" si="73"/>
        <v>668.02500000000009</v>
      </c>
      <c r="H79" s="53">
        <f t="shared" si="74"/>
        <v>501.01875000000007</v>
      </c>
      <c r="I79" s="54">
        <f t="shared" si="75"/>
        <v>222.67500000000001</v>
      </c>
      <c r="J79" s="55">
        <f t="shared" si="76"/>
        <v>890.7</v>
      </c>
      <c r="K79" s="56">
        <f t="shared" si="77"/>
        <v>668.02500000000009</v>
      </c>
      <c r="L79" s="181"/>
    </row>
    <row r="80" spans="1:12" ht="15.75" x14ac:dyDescent="0.25">
      <c r="A80" s="24"/>
      <c r="B80" s="23"/>
      <c r="C80" s="63"/>
      <c r="D80" s="116"/>
      <c r="E80" s="103"/>
      <c r="F80" s="103"/>
      <c r="G80" s="42"/>
      <c r="H80" s="155"/>
      <c r="I80" s="3"/>
      <c r="J80" s="203"/>
      <c r="K80" s="110"/>
      <c r="L80" s="181"/>
    </row>
    <row r="81" spans="1:12" ht="15.75" x14ac:dyDescent="0.25">
      <c r="A81" s="24" t="s">
        <v>173</v>
      </c>
      <c r="B81" s="23" t="s">
        <v>875</v>
      </c>
      <c r="C81" s="63">
        <v>16.72</v>
      </c>
      <c r="D81" s="116">
        <v>12.09</v>
      </c>
      <c r="E81" s="103">
        <v>459.97500000000002</v>
      </c>
      <c r="F81" s="48">
        <f t="shared" ref="F81:F125" si="78">E81*50%</f>
        <v>229.98750000000001</v>
      </c>
      <c r="G81" s="41">
        <f t="shared" ref="G81:G125" si="79">E81+F81</f>
        <v>689.96250000000009</v>
      </c>
      <c r="H81" s="53">
        <f t="shared" ref="H81:H125" si="80">G81-(G81*25%)</f>
        <v>517.47187500000007</v>
      </c>
      <c r="I81" s="54">
        <f t="shared" ref="I81:I125" si="81">E81*50%</f>
        <v>229.98750000000001</v>
      </c>
      <c r="J81" s="55">
        <f t="shared" ref="J81:J125" si="82">E81+(I81*2)</f>
        <v>919.95</v>
      </c>
      <c r="K81" s="56">
        <f t="shared" ref="K81:K125" si="83">J81-(J81*25%)</f>
        <v>689.96250000000009</v>
      </c>
      <c r="L81" s="181"/>
    </row>
    <row r="82" spans="1:12" ht="15.75" x14ac:dyDescent="0.25">
      <c r="A82" s="24" t="s">
        <v>174</v>
      </c>
      <c r="B82" s="23" t="s">
        <v>875</v>
      </c>
      <c r="C82" s="63"/>
      <c r="D82" s="208"/>
      <c r="E82" s="103">
        <v>459.97500000000002</v>
      </c>
      <c r="F82" s="48">
        <f t="shared" si="78"/>
        <v>229.98750000000001</v>
      </c>
      <c r="G82" s="41">
        <f t="shared" si="79"/>
        <v>689.96250000000009</v>
      </c>
      <c r="H82" s="53">
        <f t="shared" si="80"/>
        <v>517.47187500000007</v>
      </c>
      <c r="I82" s="54">
        <f t="shared" si="81"/>
        <v>229.98750000000001</v>
      </c>
      <c r="J82" s="55">
        <f t="shared" si="82"/>
        <v>919.95</v>
      </c>
      <c r="K82" s="56">
        <f t="shared" si="83"/>
        <v>689.96250000000009</v>
      </c>
      <c r="L82" s="181"/>
    </row>
    <row r="83" spans="1:12" ht="15.75" x14ac:dyDescent="0.25">
      <c r="A83" s="24" t="s">
        <v>176</v>
      </c>
      <c r="B83" s="23" t="s">
        <v>1457</v>
      </c>
      <c r="C83" s="156">
        <v>8.17</v>
      </c>
      <c r="D83" s="116">
        <v>12.5</v>
      </c>
      <c r="E83" s="103">
        <v>459.97500000000002</v>
      </c>
      <c r="F83" s="48">
        <f t="shared" si="78"/>
        <v>229.98750000000001</v>
      </c>
      <c r="G83" s="41">
        <f t="shared" si="79"/>
        <v>689.96250000000009</v>
      </c>
      <c r="H83" s="53">
        <f t="shared" si="80"/>
        <v>517.47187500000007</v>
      </c>
      <c r="I83" s="54">
        <f t="shared" si="81"/>
        <v>229.98750000000001</v>
      </c>
      <c r="J83" s="55">
        <f t="shared" si="82"/>
        <v>919.95</v>
      </c>
      <c r="K83" s="56">
        <f t="shared" si="83"/>
        <v>689.96250000000009</v>
      </c>
      <c r="L83" s="181"/>
    </row>
    <row r="84" spans="1:12" ht="15.75" x14ac:dyDescent="0.25">
      <c r="A84" s="24" t="s">
        <v>177</v>
      </c>
      <c r="B84" s="23" t="s">
        <v>1457</v>
      </c>
      <c r="C84" s="63"/>
      <c r="D84" s="208"/>
      <c r="E84" s="103">
        <v>459.97500000000002</v>
      </c>
      <c r="F84" s="48">
        <f t="shared" si="78"/>
        <v>229.98750000000001</v>
      </c>
      <c r="G84" s="41">
        <f t="shared" si="79"/>
        <v>689.96250000000009</v>
      </c>
      <c r="H84" s="53">
        <f t="shared" si="80"/>
        <v>517.47187500000007</v>
      </c>
      <c r="I84" s="54">
        <f t="shared" si="81"/>
        <v>229.98750000000001</v>
      </c>
      <c r="J84" s="55">
        <f t="shared" si="82"/>
        <v>919.95</v>
      </c>
      <c r="K84" s="56">
        <f t="shared" si="83"/>
        <v>689.96250000000009</v>
      </c>
      <c r="L84" s="181"/>
    </row>
    <row r="85" spans="1:12" ht="15.75" x14ac:dyDescent="0.25">
      <c r="A85" s="24"/>
      <c r="B85" s="23"/>
      <c r="C85" s="63"/>
      <c r="D85" s="116"/>
      <c r="E85" s="103"/>
      <c r="F85" s="48"/>
      <c r="G85" s="41"/>
      <c r="H85" s="53"/>
      <c r="I85" s="54"/>
      <c r="J85" s="55"/>
      <c r="K85" s="56"/>
      <c r="L85" s="181"/>
    </row>
    <row r="86" spans="1:12" ht="15.75" x14ac:dyDescent="0.25">
      <c r="A86" s="24" t="s">
        <v>180</v>
      </c>
      <c r="B86" s="23" t="s">
        <v>876</v>
      </c>
      <c r="C86" s="63">
        <v>14.61</v>
      </c>
      <c r="D86" s="116">
        <v>6.25</v>
      </c>
      <c r="E86" s="103">
        <v>474.6</v>
      </c>
      <c r="F86" s="48">
        <f t="shared" si="78"/>
        <v>237.3</v>
      </c>
      <c r="G86" s="41">
        <f t="shared" si="79"/>
        <v>711.90000000000009</v>
      </c>
      <c r="H86" s="53">
        <f t="shared" si="80"/>
        <v>533.92500000000007</v>
      </c>
      <c r="I86" s="54">
        <f t="shared" si="81"/>
        <v>237.3</v>
      </c>
      <c r="J86" s="55">
        <f t="shared" si="82"/>
        <v>949.2</v>
      </c>
      <c r="K86" s="56">
        <f t="shared" si="83"/>
        <v>711.90000000000009</v>
      </c>
      <c r="L86" s="181"/>
    </row>
    <row r="87" spans="1:12" ht="15.75" x14ac:dyDescent="0.25">
      <c r="A87" s="24" t="s">
        <v>181</v>
      </c>
      <c r="B87" s="23" t="s">
        <v>2183</v>
      </c>
      <c r="C87" s="63"/>
      <c r="D87" s="116">
        <v>6.25</v>
      </c>
      <c r="E87" s="103">
        <v>445.35</v>
      </c>
      <c r="F87" s="48">
        <f t="shared" si="78"/>
        <v>222.67500000000001</v>
      </c>
      <c r="G87" s="41">
        <f t="shared" si="79"/>
        <v>668.02500000000009</v>
      </c>
      <c r="H87" s="53">
        <f t="shared" si="80"/>
        <v>501.01875000000007</v>
      </c>
      <c r="I87" s="54">
        <f t="shared" si="81"/>
        <v>222.67500000000001</v>
      </c>
      <c r="J87" s="55">
        <f t="shared" si="82"/>
        <v>890.7</v>
      </c>
      <c r="K87" s="56">
        <f t="shared" si="83"/>
        <v>668.02500000000009</v>
      </c>
      <c r="L87" s="181"/>
    </row>
    <row r="88" spans="1:12" ht="15.75" x14ac:dyDescent="0.25">
      <c r="A88" s="24" t="s">
        <v>182</v>
      </c>
      <c r="B88" s="23" t="s">
        <v>877</v>
      </c>
      <c r="C88" s="106">
        <v>12</v>
      </c>
      <c r="D88" s="116">
        <v>6.25</v>
      </c>
      <c r="E88" s="103">
        <v>474.6</v>
      </c>
      <c r="F88" s="48">
        <f t="shared" si="78"/>
        <v>237.3</v>
      </c>
      <c r="G88" s="41">
        <f t="shared" si="79"/>
        <v>711.90000000000009</v>
      </c>
      <c r="H88" s="53">
        <f t="shared" si="80"/>
        <v>533.92500000000007</v>
      </c>
      <c r="I88" s="54">
        <f t="shared" si="81"/>
        <v>237.3</v>
      </c>
      <c r="J88" s="55">
        <f t="shared" si="82"/>
        <v>949.2</v>
      </c>
      <c r="K88" s="56">
        <f t="shared" si="83"/>
        <v>711.90000000000009</v>
      </c>
      <c r="L88" s="181"/>
    </row>
    <row r="89" spans="1:12" ht="15.75" x14ac:dyDescent="0.25">
      <c r="A89" s="24" t="s">
        <v>183</v>
      </c>
      <c r="B89" s="23" t="s">
        <v>2204</v>
      </c>
      <c r="C89" s="63"/>
      <c r="D89" s="116">
        <v>6.25</v>
      </c>
      <c r="E89" s="103">
        <v>445.35</v>
      </c>
      <c r="F89" s="48">
        <f t="shared" si="78"/>
        <v>222.67500000000001</v>
      </c>
      <c r="G89" s="41">
        <f t="shared" si="79"/>
        <v>668.02500000000009</v>
      </c>
      <c r="H89" s="53">
        <f t="shared" si="80"/>
        <v>501.01875000000007</v>
      </c>
      <c r="I89" s="54">
        <f t="shared" si="81"/>
        <v>222.67500000000001</v>
      </c>
      <c r="J89" s="55">
        <f t="shared" si="82"/>
        <v>890.7</v>
      </c>
      <c r="K89" s="56">
        <f t="shared" si="83"/>
        <v>668.02500000000009</v>
      </c>
      <c r="L89" s="181"/>
    </row>
    <row r="90" spans="1:12" ht="15.75" x14ac:dyDescent="0.25">
      <c r="A90" s="24"/>
      <c r="B90" s="23"/>
      <c r="C90" s="63"/>
      <c r="D90" s="116"/>
      <c r="E90" s="103"/>
      <c r="F90" s="48"/>
      <c r="G90" s="41"/>
      <c r="H90" s="53"/>
      <c r="I90" s="54"/>
      <c r="J90" s="55"/>
      <c r="K90" s="56"/>
      <c r="L90" s="181"/>
    </row>
    <row r="91" spans="1:12" ht="15.75" x14ac:dyDescent="0.25">
      <c r="A91" s="24" t="s">
        <v>190</v>
      </c>
      <c r="B91" s="23" t="s">
        <v>1936</v>
      </c>
      <c r="C91" s="63">
        <v>6.25</v>
      </c>
      <c r="D91" s="116">
        <v>6.25</v>
      </c>
      <c r="E91" s="103">
        <v>445.35</v>
      </c>
      <c r="F91" s="48">
        <f t="shared" si="78"/>
        <v>222.67500000000001</v>
      </c>
      <c r="G91" s="41">
        <f t="shared" si="79"/>
        <v>668.02500000000009</v>
      </c>
      <c r="H91" s="53">
        <f t="shared" si="80"/>
        <v>501.01875000000007</v>
      </c>
      <c r="I91" s="54">
        <f t="shared" si="81"/>
        <v>222.67500000000001</v>
      </c>
      <c r="J91" s="55">
        <f t="shared" si="82"/>
        <v>890.7</v>
      </c>
      <c r="K91" s="56">
        <f t="shared" si="83"/>
        <v>668.02500000000009</v>
      </c>
      <c r="L91" s="181"/>
    </row>
    <row r="92" spans="1:12" ht="15.75" x14ac:dyDescent="0.25">
      <c r="A92" s="24" t="s">
        <v>191</v>
      </c>
      <c r="B92" s="23" t="s">
        <v>1716</v>
      </c>
      <c r="C92" s="63">
        <v>17.82</v>
      </c>
      <c r="D92" s="116">
        <v>6.25</v>
      </c>
      <c r="E92" s="103">
        <v>445.35</v>
      </c>
      <c r="F92" s="48">
        <f t="shared" si="78"/>
        <v>222.67500000000001</v>
      </c>
      <c r="G92" s="41">
        <f t="shared" si="79"/>
        <v>668.02500000000009</v>
      </c>
      <c r="H92" s="53">
        <f t="shared" si="80"/>
        <v>501.01875000000007</v>
      </c>
      <c r="I92" s="54">
        <f t="shared" si="81"/>
        <v>222.67500000000001</v>
      </c>
      <c r="J92" s="55">
        <f t="shared" si="82"/>
        <v>890.7</v>
      </c>
      <c r="K92" s="56">
        <f t="shared" si="83"/>
        <v>668.02500000000009</v>
      </c>
      <c r="L92" s="181"/>
    </row>
    <row r="93" spans="1:12" ht="15.75" x14ac:dyDescent="0.25">
      <c r="A93" s="24" t="s">
        <v>192</v>
      </c>
      <c r="B93" s="23" t="s">
        <v>1673</v>
      </c>
      <c r="C93" s="106"/>
      <c r="D93" s="116">
        <v>6.25</v>
      </c>
      <c r="E93" s="103">
        <v>445.35</v>
      </c>
      <c r="F93" s="48">
        <f t="shared" si="78"/>
        <v>222.67500000000001</v>
      </c>
      <c r="G93" s="41">
        <f t="shared" si="79"/>
        <v>668.02500000000009</v>
      </c>
      <c r="H93" s="53">
        <f t="shared" si="80"/>
        <v>501.01875000000007</v>
      </c>
      <c r="I93" s="54">
        <f t="shared" si="81"/>
        <v>222.67500000000001</v>
      </c>
      <c r="J93" s="55">
        <f t="shared" si="82"/>
        <v>890.7</v>
      </c>
      <c r="K93" s="56">
        <f t="shared" si="83"/>
        <v>668.02500000000009</v>
      </c>
      <c r="L93" s="181"/>
    </row>
    <row r="94" spans="1:12" ht="15.75" x14ac:dyDescent="0.25">
      <c r="A94" s="24" t="s">
        <v>193</v>
      </c>
      <c r="B94" s="23" t="s">
        <v>878</v>
      </c>
      <c r="C94" s="63"/>
      <c r="D94" s="116">
        <v>6.25</v>
      </c>
      <c r="E94" s="103">
        <v>445.35</v>
      </c>
      <c r="F94" s="48">
        <f t="shared" si="78"/>
        <v>222.67500000000001</v>
      </c>
      <c r="G94" s="41">
        <f t="shared" si="79"/>
        <v>668.02500000000009</v>
      </c>
      <c r="H94" s="53">
        <f t="shared" si="80"/>
        <v>501.01875000000007</v>
      </c>
      <c r="I94" s="54">
        <f t="shared" si="81"/>
        <v>222.67500000000001</v>
      </c>
      <c r="J94" s="55">
        <f t="shared" si="82"/>
        <v>890.7</v>
      </c>
      <c r="K94" s="56">
        <f t="shared" si="83"/>
        <v>668.02500000000009</v>
      </c>
      <c r="L94" s="181"/>
    </row>
    <row r="95" spans="1:12" ht="15.75" x14ac:dyDescent="0.25">
      <c r="A95" s="24"/>
      <c r="B95" s="23"/>
      <c r="C95" s="63"/>
      <c r="D95" s="116"/>
      <c r="E95" s="103"/>
      <c r="F95" s="48"/>
      <c r="G95" s="41"/>
      <c r="H95" s="53"/>
      <c r="I95" s="54"/>
      <c r="J95" s="55"/>
      <c r="K95" s="56"/>
      <c r="L95" s="181"/>
    </row>
    <row r="96" spans="1:12" ht="15.75" x14ac:dyDescent="0.25">
      <c r="A96" s="24" t="s">
        <v>198</v>
      </c>
      <c r="B96" s="23" t="s">
        <v>1937</v>
      </c>
      <c r="C96" s="63">
        <v>9.69</v>
      </c>
      <c r="D96" s="116">
        <v>6.25</v>
      </c>
      <c r="E96" s="103">
        <v>474.6</v>
      </c>
      <c r="F96" s="48">
        <f t="shared" si="78"/>
        <v>237.3</v>
      </c>
      <c r="G96" s="41">
        <f t="shared" si="79"/>
        <v>711.90000000000009</v>
      </c>
      <c r="H96" s="53">
        <f t="shared" si="80"/>
        <v>533.92500000000007</v>
      </c>
      <c r="I96" s="54">
        <f t="shared" si="81"/>
        <v>237.3</v>
      </c>
      <c r="J96" s="55">
        <f t="shared" si="82"/>
        <v>949.2</v>
      </c>
      <c r="K96" s="56">
        <f t="shared" si="83"/>
        <v>711.90000000000009</v>
      </c>
      <c r="L96" s="181"/>
    </row>
    <row r="97" spans="1:12" ht="15.75" x14ac:dyDescent="0.25">
      <c r="A97" s="24" t="s">
        <v>199</v>
      </c>
      <c r="B97" s="23" t="s">
        <v>1963</v>
      </c>
      <c r="C97" s="63">
        <v>28.91</v>
      </c>
      <c r="D97" s="116">
        <v>12.5</v>
      </c>
      <c r="E97" s="103">
        <v>459.97500000000002</v>
      </c>
      <c r="F97" s="48">
        <f t="shared" si="78"/>
        <v>229.98750000000001</v>
      </c>
      <c r="G97" s="41">
        <f t="shared" si="79"/>
        <v>689.96250000000009</v>
      </c>
      <c r="H97" s="53">
        <f t="shared" si="80"/>
        <v>517.47187500000007</v>
      </c>
      <c r="I97" s="54">
        <f t="shared" si="81"/>
        <v>229.98750000000001</v>
      </c>
      <c r="J97" s="55">
        <f t="shared" si="82"/>
        <v>919.95</v>
      </c>
      <c r="K97" s="56">
        <f t="shared" si="83"/>
        <v>689.96250000000009</v>
      </c>
      <c r="L97" s="181"/>
    </row>
    <row r="98" spans="1:12" ht="15.75" x14ac:dyDescent="0.25">
      <c r="A98" s="24" t="s">
        <v>200</v>
      </c>
      <c r="B98" s="23" t="s">
        <v>879</v>
      </c>
      <c r="C98" s="63">
        <v>13.2</v>
      </c>
      <c r="D98" s="116">
        <v>6.25</v>
      </c>
      <c r="E98" s="103">
        <v>445.35</v>
      </c>
      <c r="F98" s="48">
        <f t="shared" si="78"/>
        <v>222.67500000000001</v>
      </c>
      <c r="G98" s="41">
        <f t="shared" si="79"/>
        <v>668.02500000000009</v>
      </c>
      <c r="H98" s="53">
        <f t="shared" si="80"/>
        <v>501.01875000000007</v>
      </c>
      <c r="I98" s="54">
        <f t="shared" si="81"/>
        <v>222.67500000000001</v>
      </c>
      <c r="J98" s="55">
        <f t="shared" si="82"/>
        <v>890.7</v>
      </c>
      <c r="K98" s="56">
        <f t="shared" si="83"/>
        <v>668.02500000000009</v>
      </c>
      <c r="L98" s="181"/>
    </row>
    <row r="99" spans="1:12" ht="15.75" x14ac:dyDescent="0.25">
      <c r="A99" s="24" t="s">
        <v>202</v>
      </c>
      <c r="B99" s="23" t="s">
        <v>1963</v>
      </c>
      <c r="C99" s="63"/>
      <c r="D99" s="208"/>
      <c r="E99" s="103">
        <v>459.97500000000002</v>
      </c>
      <c r="F99" s="48">
        <f t="shared" si="78"/>
        <v>229.98750000000001</v>
      </c>
      <c r="G99" s="41">
        <f t="shared" si="79"/>
        <v>689.96250000000009</v>
      </c>
      <c r="H99" s="53">
        <f t="shared" si="80"/>
        <v>517.47187500000007</v>
      </c>
      <c r="I99" s="54">
        <f t="shared" si="81"/>
        <v>229.98750000000001</v>
      </c>
      <c r="J99" s="55">
        <f t="shared" si="82"/>
        <v>919.95</v>
      </c>
      <c r="K99" s="56">
        <f t="shared" si="83"/>
        <v>689.96250000000009</v>
      </c>
      <c r="L99" s="181"/>
    </row>
    <row r="100" spans="1:12" ht="15.75" x14ac:dyDescent="0.25">
      <c r="A100" s="24"/>
      <c r="B100" s="23"/>
      <c r="C100" s="156"/>
      <c r="D100" s="51"/>
      <c r="E100" s="23"/>
      <c r="F100" s="48"/>
      <c r="G100" s="41"/>
      <c r="H100" s="53"/>
      <c r="I100" s="54"/>
      <c r="J100" s="55"/>
      <c r="K100" s="56"/>
      <c r="L100" s="181"/>
    </row>
    <row r="101" spans="1:12" ht="15.75" x14ac:dyDescent="0.25">
      <c r="A101" s="24" t="s">
        <v>209</v>
      </c>
      <c r="B101" s="23" t="s">
        <v>880</v>
      </c>
      <c r="C101" s="63">
        <v>21.35</v>
      </c>
      <c r="D101" s="116">
        <v>12.5</v>
      </c>
      <c r="E101" s="103">
        <v>459.97500000000002</v>
      </c>
      <c r="F101" s="48">
        <f t="shared" si="78"/>
        <v>229.98750000000001</v>
      </c>
      <c r="G101" s="41">
        <f t="shared" si="79"/>
        <v>689.96250000000009</v>
      </c>
      <c r="H101" s="53">
        <f t="shared" si="80"/>
        <v>517.47187500000007</v>
      </c>
      <c r="I101" s="54">
        <f t="shared" si="81"/>
        <v>229.98750000000001</v>
      </c>
      <c r="J101" s="55">
        <f t="shared" si="82"/>
        <v>919.95</v>
      </c>
      <c r="K101" s="56">
        <f t="shared" si="83"/>
        <v>689.96250000000009</v>
      </c>
      <c r="L101" s="181"/>
    </row>
    <row r="102" spans="1:12" ht="15.75" x14ac:dyDescent="0.25">
      <c r="A102" s="24" t="s">
        <v>211</v>
      </c>
      <c r="B102" s="23" t="s">
        <v>2128</v>
      </c>
      <c r="C102" s="63">
        <v>26.58</v>
      </c>
      <c r="D102" s="116">
        <v>6.25</v>
      </c>
      <c r="E102" s="103">
        <v>445.35</v>
      </c>
      <c r="F102" s="48">
        <f t="shared" si="78"/>
        <v>222.67500000000001</v>
      </c>
      <c r="G102" s="41">
        <f t="shared" si="79"/>
        <v>668.02500000000009</v>
      </c>
      <c r="H102" s="53">
        <f t="shared" si="80"/>
        <v>501.01875000000007</v>
      </c>
      <c r="I102" s="54">
        <f t="shared" si="81"/>
        <v>222.67500000000001</v>
      </c>
      <c r="J102" s="55">
        <f t="shared" si="82"/>
        <v>890.7</v>
      </c>
      <c r="K102" s="56">
        <f t="shared" si="83"/>
        <v>668.02500000000009</v>
      </c>
      <c r="L102" s="181"/>
    </row>
    <row r="103" spans="1:12" ht="15.75" x14ac:dyDescent="0.25">
      <c r="A103" s="24" t="s">
        <v>212</v>
      </c>
      <c r="B103" s="23" t="s">
        <v>1649</v>
      </c>
      <c r="C103" s="63"/>
      <c r="D103" s="208"/>
      <c r="E103" s="103">
        <v>459.97500000000002</v>
      </c>
      <c r="F103" s="48">
        <f t="shared" si="78"/>
        <v>229.98750000000001</v>
      </c>
      <c r="G103" s="41">
        <f t="shared" si="79"/>
        <v>689.96250000000009</v>
      </c>
      <c r="H103" s="53">
        <f t="shared" si="80"/>
        <v>517.47187500000007</v>
      </c>
      <c r="I103" s="54">
        <f t="shared" si="81"/>
        <v>229.98750000000001</v>
      </c>
      <c r="J103" s="55">
        <f t="shared" si="82"/>
        <v>919.95</v>
      </c>
      <c r="K103" s="56">
        <f t="shared" si="83"/>
        <v>689.96250000000009</v>
      </c>
      <c r="L103" s="181"/>
    </row>
    <row r="104" spans="1:12" ht="15.75" x14ac:dyDescent="0.25">
      <c r="A104" s="24" t="s">
        <v>213</v>
      </c>
      <c r="B104" s="23" t="s">
        <v>881</v>
      </c>
      <c r="C104" s="63">
        <v>10.54</v>
      </c>
      <c r="D104" s="116">
        <v>6.25</v>
      </c>
      <c r="E104" s="103">
        <v>474.6</v>
      </c>
      <c r="F104" s="48">
        <f t="shared" si="78"/>
        <v>237.3</v>
      </c>
      <c r="G104" s="41">
        <f t="shared" si="79"/>
        <v>711.90000000000009</v>
      </c>
      <c r="H104" s="53">
        <f t="shared" si="80"/>
        <v>533.92500000000007</v>
      </c>
      <c r="I104" s="54">
        <f t="shared" si="81"/>
        <v>237.3</v>
      </c>
      <c r="J104" s="55">
        <f t="shared" si="82"/>
        <v>949.2</v>
      </c>
      <c r="K104" s="56">
        <f t="shared" si="83"/>
        <v>711.90000000000009</v>
      </c>
      <c r="L104" s="181"/>
    </row>
    <row r="105" spans="1:12" ht="15.75" x14ac:dyDescent="0.25">
      <c r="A105" s="24"/>
      <c r="B105" s="23"/>
      <c r="C105" s="63"/>
      <c r="D105" s="116"/>
      <c r="E105" s="103"/>
      <c r="F105" s="48"/>
      <c r="G105" s="41"/>
      <c r="H105" s="53"/>
      <c r="I105" s="54"/>
      <c r="J105" s="55"/>
      <c r="K105" s="56"/>
      <c r="L105" s="181"/>
    </row>
    <row r="106" spans="1:12" ht="15.75" x14ac:dyDescent="0.25">
      <c r="A106" s="24"/>
      <c r="B106" s="23"/>
      <c r="C106" s="63"/>
      <c r="D106" s="116"/>
      <c r="E106" s="103"/>
      <c r="F106" s="48"/>
      <c r="G106" s="41"/>
      <c r="H106" s="53"/>
      <c r="I106" s="54"/>
      <c r="J106" s="55"/>
      <c r="K106" s="56"/>
      <c r="L106" s="181"/>
    </row>
    <row r="107" spans="1:12" ht="15.75" x14ac:dyDescent="0.25">
      <c r="A107" s="24" t="s">
        <v>250</v>
      </c>
      <c r="B107" s="23" t="s">
        <v>2187</v>
      </c>
      <c r="C107" s="106">
        <v>7.32</v>
      </c>
      <c r="D107" s="116">
        <v>6.25</v>
      </c>
      <c r="E107" s="103">
        <v>445.35</v>
      </c>
      <c r="F107" s="48">
        <f t="shared" si="78"/>
        <v>222.67500000000001</v>
      </c>
      <c r="G107" s="41">
        <f t="shared" si="79"/>
        <v>668.02500000000009</v>
      </c>
      <c r="H107" s="53">
        <f t="shared" si="80"/>
        <v>501.01875000000007</v>
      </c>
      <c r="I107" s="54">
        <f t="shared" si="81"/>
        <v>222.67500000000001</v>
      </c>
      <c r="J107" s="55">
        <f t="shared" si="82"/>
        <v>890.7</v>
      </c>
      <c r="K107" s="56">
        <f t="shared" si="83"/>
        <v>668.02500000000009</v>
      </c>
      <c r="L107" s="181"/>
    </row>
    <row r="108" spans="1:12" ht="15.75" x14ac:dyDescent="0.25">
      <c r="A108" s="24" t="s">
        <v>251</v>
      </c>
      <c r="B108" s="23" t="s">
        <v>882</v>
      </c>
      <c r="C108" s="63">
        <v>7.32</v>
      </c>
      <c r="D108" s="116">
        <v>6.25</v>
      </c>
      <c r="E108" s="103">
        <v>445.35</v>
      </c>
      <c r="F108" s="48">
        <f t="shared" si="78"/>
        <v>222.67500000000001</v>
      </c>
      <c r="G108" s="41">
        <f t="shared" si="79"/>
        <v>668.02500000000009</v>
      </c>
      <c r="H108" s="53">
        <f t="shared" si="80"/>
        <v>501.01875000000007</v>
      </c>
      <c r="I108" s="54">
        <f t="shared" si="81"/>
        <v>222.67500000000001</v>
      </c>
      <c r="J108" s="55">
        <f t="shared" si="82"/>
        <v>890.7</v>
      </c>
      <c r="K108" s="56">
        <f t="shared" si="83"/>
        <v>668.02500000000009</v>
      </c>
      <c r="L108" s="181"/>
    </row>
    <row r="109" spans="1:12" ht="15.75" x14ac:dyDescent="0.25">
      <c r="A109" s="24" t="s">
        <v>252</v>
      </c>
      <c r="B109" s="23" t="s">
        <v>2187</v>
      </c>
      <c r="C109" s="63"/>
      <c r="D109" s="116">
        <v>6.25</v>
      </c>
      <c r="E109" s="103">
        <v>445.35</v>
      </c>
      <c r="F109" s="48">
        <f t="shared" si="78"/>
        <v>222.67500000000001</v>
      </c>
      <c r="G109" s="41">
        <f t="shared" si="79"/>
        <v>668.02500000000009</v>
      </c>
      <c r="H109" s="53">
        <f t="shared" si="80"/>
        <v>501.01875000000007</v>
      </c>
      <c r="I109" s="54">
        <f t="shared" si="81"/>
        <v>222.67500000000001</v>
      </c>
      <c r="J109" s="55">
        <f t="shared" si="82"/>
        <v>890.7</v>
      </c>
      <c r="K109" s="56">
        <f t="shared" si="83"/>
        <v>668.02500000000009</v>
      </c>
      <c r="L109" s="181"/>
    </row>
    <row r="110" spans="1:12" ht="15.75" x14ac:dyDescent="0.25">
      <c r="A110" s="24" t="s">
        <v>253</v>
      </c>
      <c r="B110" s="23" t="s">
        <v>882</v>
      </c>
      <c r="C110" s="63"/>
      <c r="D110" s="116">
        <v>6.25</v>
      </c>
      <c r="E110" s="103">
        <v>445.35</v>
      </c>
      <c r="F110" s="48">
        <f t="shared" si="78"/>
        <v>222.67500000000001</v>
      </c>
      <c r="G110" s="41">
        <f t="shared" si="79"/>
        <v>668.02500000000009</v>
      </c>
      <c r="H110" s="53">
        <f t="shared" si="80"/>
        <v>501.01875000000007</v>
      </c>
      <c r="I110" s="54">
        <f t="shared" si="81"/>
        <v>222.67500000000001</v>
      </c>
      <c r="J110" s="55">
        <f t="shared" si="82"/>
        <v>890.7</v>
      </c>
      <c r="K110" s="56">
        <f t="shared" si="83"/>
        <v>668.02500000000009</v>
      </c>
      <c r="L110" s="181"/>
    </row>
    <row r="111" spans="1:12" ht="15.75" x14ac:dyDescent="0.25">
      <c r="A111" s="24"/>
      <c r="B111" s="23"/>
      <c r="C111" s="63"/>
      <c r="D111" s="116"/>
      <c r="E111" s="103"/>
      <c r="F111" s="48">
        <f t="shared" si="78"/>
        <v>0</v>
      </c>
      <c r="G111" s="41">
        <f t="shared" si="79"/>
        <v>0</v>
      </c>
      <c r="H111" s="53">
        <f t="shared" si="80"/>
        <v>0</v>
      </c>
      <c r="I111" s="54">
        <f t="shared" si="81"/>
        <v>0</v>
      </c>
      <c r="J111" s="55">
        <f t="shared" si="82"/>
        <v>0</v>
      </c>
      <c r="K111" s="56">
        <f t="shared" si="83"/>
        <v>0</v>
      </c>
      <c r="L111" s="181"/>
    </row>
    <row r="112" spans="1:12" ht="15.75" x14ac:dyDescent="0.25">
      <c r="A112" s="24" t="s">
        <v>259</v>
      </c>
      <c r="B112" s="23" t="s">
        <v>2101</v>
      </c>
      <c r="C112" s="63">
        <v>10.83</v>
      </c>
      <c r="D112" s="116">
        <v>6.25</v>
      </c>
      <c r="E112" s="103">
        <v>445.35</v>
      </c>
      <c r="F112" s="48">
        <f t="shared" si="78"/>
        <v>222.67500000000001</v>
      </c>
      <c r="G112" s="41">
        <f t="shared" si="79"/>
        <v>668.02500000000009</v>
      </c>
      <c r="H112" s="53">
        <f t="shared" si="80"/>
        <v>501.01875000000007</v>
      </c>
      <c r="I112" s="54">
        <f t="shared" si="81"/>
        <v>222.67500000000001</v>
      </c>
      <c r="J112" s="55">
        <f t="shared" si="82"/>
        <v>890.7</v>
      </c>
      <c r="K112" s="56">
        <f t="shared" si="83"/>
        <v>668.02500000000009</v>
      </c>
      <c r="L112" s="181"/>
    </row>
    <row r="113" spans="1:12" ht="15.75" x14ac:dyDescent="0.25">
      <c r="A113" s="24" t="s">
        <v>261</v>
      </c>
      <c r="B113" s="23" t="s">
        <v>883</v>
      </c>
      <c r="C113" s="63">
        <v>7.13</v>
      </c>
      <c r="D113" s="116">
        <v>6.25</v>
      </c>
      <c r="E113" s="103">
        <v>445.35</v>
      </c>
      <c r="F113" s="48">
        <f t="shared" si="78"/>
        <v>222.67500000000001</v>
      </c>
      <c r="G113" s="41">
        <f t="shared" si="79"/>
        <v>668.02500000000009</v>
      </c>
      <c r="H113" s="53">
        <f t="shared" si="80"/>
        <v>501.01875000000007</v>
      </c>
      <c r="I113" s="54">
        <f t="shared" si="81"/>
        <v>222.67500000000001</v>
      </c>
      <c r="J113" s="55">
        <f t="shared" si="82"/>
        <v>890.7</v>
      </c>
      <c r="K113" s="56">
        <f t="shared" si="83"/>
        <v>668.02500000000009</v>
      </c>
      <c r="L113" s="181"/>
    </row>
    <row r="114" spans="1:12" ht="15.75" x14ac:dyDescent="0.25">
      <c r="A114" s="24" t="s">
        <v>263</v>
      </c>
      <c r="B114" s="23" t="s">
        <v>884</v>
      </c>
      <c r="C114" s="106">
        <v>6.25</v>
      </c>
      <c r="D114" s="116">
        <v>6.25</v>
      </c>
      <c r="E114" s="103">
        <v>445.35</v>
      </c>
      <c r="F114" s="48">
        <f t="shared" si="78"/>
        <v>222.67500000000001</v>
      </c>
      <c r="G114" s="41">
        <f t="shared" si="79"/>
        <v>668.02500000000009</v>
      </c>
      <c r="H114" s="53">
        <f t="shared" si="80"/>
        <v>501.01875000000007</v>
      </c>
      <c r="I114" s="54">
        <f t="shared" si="81"/>
        <v>222.67500000000001</v>
      </c>
      <c r="J114" s="55">
        <f t="shared" si="82"/>
        <v>890.7</v>
      </c>
      <c r="K114" s="56">
        <f t="shared" si="83"/>
        <v>668.02500000000009</v>
      </c>
      <c r="L114" s="181"/>
    </row>
    <row r="115" spans="1:12" ht="15.75" x14ac:dyDescent="0.25">
      <c r="A115" s="24" t="s">
        <v>264</v>
      </c>
      <c r="B115" s="23" t="s">
        <v>1324</v>
      </c>
      <c r="C115" s="63"/>
      <c r="D115" s="116">
        <v>6.25</v>
      </c>
      <c r="E115" s="103">
        <v>445.35</v>
      </c>
      <c r="F115" s="48">
        <f t="shared" si="78"/>
        <v>222.67500000000001</v>
      </c>
      <c r="G115" s="41">
        <f t="shared" si="79"/>
        <v>668.02500000000009</v>
      </c>
      <c r="H115" s="53">
        <f t="shared" si="80"/>
        <v>501.01875000000007</v>
      </c>
      <c r="I115" s="54">
        <f t="shared" si="81"/>
        <v>222.67500000000001</v>
      </c>
      <c r="J115" s="55">
        <f t="shared" si="82"/>
        <v>890.7</v>
      </c>
      <c r="K115" s="56">
        <f t="shared" si="83"/>
        <v>668.02500000000009</v>
      </c>
      <c r="L115" s="181"/>
    </row>
    <row r="116" spans="1:12" ht="15.75" x14ac:dyDescent="0.25">
      <c r="A116" s="24"/>
      <c r="B116" s="23"/>
      <c r="C116" s="63"/>
      <c r="D116" s="116"/>
      <c r="E116" s="103"/>
      <c r="F116" s="48"/>
      <c r="G116" s="41"/>
      <c r="H116" s="53"/>
      <c r="I116" s="54"/>
      <c r="J116" s="55"/>
      <c r="K116" s="56"/>
      <c r="L116" s="181"/>
    </row>
    <row r="117" spans="1:12" ht="15.75" x14ac:dyDescent="0.25">
      <c r="A117" s="24" t="s">
        <v>266</v>
      </c>
      <c r="B117" s="23" t="s">
        <v>1556</v>
      </c>
      <c r="C117" s="63"/>
      <c r="D117" s="116">
        <v>18.75</v>
      </c>
      <c r="E117" s="103">
        <v>445.35</v>
      </c>
      <c r="F117" s="48">
        <f t="shared" si="78"/>
        <v>222.67500000000001</v>
      </c>
      <c r="G117" s="41">
        <f t="shared" si="79"/>
        <v>668.02500000000009</v>
      </c>
      <c r="H117" s="53">
        <f t="shared" si="80"/>
        <v>501.01875000000007</v>
      </c>
      <c r="I117" s="54">
        <f t="shared" si="81"/>
        <v>222.67500000000001</v>
      </c>
      <c r="J117" s="55">
        <f t="shared" si="82"/>
        <v>890.7</v>
      </c>
      <c r="K117" s="56">
        <f t="shared" si="83"/>
        <v>668.02500000000009</v>
      </c>
      <c r="L117" s="181"/>
    </row>
    <row r="118" spans="1:12" ht="15.75" x14ac:dyDescent="0.25">
      <c r="A118" s="24" t="s">
        <v>268</v>
      </c>
      <c r="B118" s="23" t="s">
        <v>1648</v>
      </c>
      <c r="C118" s="63"/>
      <c r="D118" s="208"/>
      <c r="E118" s="103">
        <v>445.35</v>
      </c>
      <c r="F118" s="48">
        <f t="shared" si="78"/>
        <v>222.67500000000001</v>
      </c>
      <c r="G118" s="41">
        <f t="shared" si="79"/>
        <v>668.02500000000009</v>
      </c>
      <c r="H118" s="53">
        <f t="shared" si="80"/>
        <v>501.01875000000007</v>
      </c>
      <c r="I118" s="54">
        <f t="shared" si="81"/>
        <v>222.67500000000001</v>
      </c>
      <c r="J118" s="55">
        <f t="shared" si="82"/>
        <v>890.7</v>
      </c>
      <c r="K118" s="56">
        <f t="shared" si="83"/>
        <v>668.02500000000009</v>
      </c>
      <c r="L118" s="181"/>
    </row>
    <row r="119" spans="1:12" ht="15.75" x14ac:dyDescent="0.25">
      <c r="A119" s="24" t="s">
        <v>269</v>
      </c>
      <c r="B119" s="23" t="s">
        <v>885</v>
      </c>
      <c r="C119" s="63">
        <v>8.56</v>
      </c>
      <c r="D119" s="116">
        <v>6.25</v>
      </c>
      <c r="E119" s="103">
        <v>445.35</v>
      </c>
      <c r="F119" s="48">
        <f t="shared" si="78"/>
        <v>222.67500000000001</v>
      </c>
      <c r="G119" s="41">
        <f t="shared" si="79"/>
        <v>668.02500000000009</v>
      </c>
      <c r="H119" s="53">
        <f t="shared" si="80"/>
        <v>501.01875000000007</v>
      </c>
      <c r="I119" s="54">
        <f t="shared" si="81"/>
        <v>222.67500000000001</v>
      </c>
      <c r="J119" s="55">
        <f t="shared" si="82"/>
        <v>890.7</v>
      </c>
      <c r="K119" s="56">
        <f t="shared" si="83"/>
        <v>668.02500000000009</v>
      </c>
      <c r="L119" s="181"/>
    </row>
    <row r="120" spans="1:12" ht="15.75" x14ac:dyDescent="0.25">
      <c r="A120" s="24" t="s">
        <v>270</v>
      </c>
      <c r="B120" s="23" t="s">
        <v>1648</v>
      </c>
      <c r="C120" s="63"/>
      <c r="D120" s="208"/>
      <c r="E120" s="103">
        <v>445.35</v>
      </c>
      <c r="F120" s="48">
        <f t="shared" si="78"/>
        <v>222.67500000000001</v>
      </c>
      <c r="G120" s="41">
        <f t="shared" si="79"/>
        <v>668.02500000000009</v>
      </c>
      <c r="H120" s="53">
        <f t="shared" si="80"/>
        <v>501.01875000000007</v>
      </c>
      <c r="I120" s="54">
        <f t="shared" si="81"/>
        <v>222.67500000000001</v>
      </c>
      <c r="J120" s="55">
        <f t="shared" si="82"/>
        <v>890.7</v>
      </c>
      <c r="K120" s="56">
        <f t="shared" si="83"/>
        <v>668.02500000000009</v>
      </c>
      <c r="L120" s="181"/>
    </row>
    <row r="121" spans="1:12" ht="15.75" x14ac:dyDescent="0.25">
      <c r="A121" s="24"/>
      <c r="B121" s="23"/>
      <c r="C121" s="63"/>
      <c r="D121" s="116"/>
      <c r="E121" s="103"/>
      <c r="F121" s="48"/>
      <c r="G121" s="41"/>
      <c r="H121" s="53"/>
      <c r="I121" s="54"/>
      <c r="J121" s="55"/>
      <c r="K121" s="56"/>
      <c r="L121" s="181"/>
    </row>
    <row r="122" spans="1:12" ht="15.75" x14ac:dyDescent="0.25">
      <c r="A122" s="24" t="s">
        <v>281</v>
      </c>
      <c r="B122" s="23" t="s">
        <v>1442</v>
      </c>
      <c r="C122" s="63"/>
      <c r="D122" s="116">
        <v>12.5</v>
      </c>
      <c r="E122" s="103">
        <v>445.35</v>
      </c>
      <c r="F122" s="48">
        <f t="shared" si="78"/>
        <v>222.67500000000001</v>
      </c>
      <c r="G122" s="41">
        <f t="shared" si="79"/>
        <v>668.02500000000009</v>
      </c>
      <c r="H122" s="53">
        <f t="shared" si="80"/>
        <v>501.01875000000007</v>
      </c>
      <c r="I122" s="54">
        <f t="shared" si="81"/>
        <v>222.67500000000001</v>
      </c>
      <c r="J122" s="55">
        <f t="shared" si="82"/>
        <v>890.7</v>
      </c>
      <c r="K122" s="56">
        <f t="shared" si="83"/>
        <v>668.02500000000009</v>
      </c>
      <c r="L122" s="181"/>
    </row>
    <row r="123" spans="1:12" ht="15.75" x14ac:dyDescent="0.25">
      <c r="A123" s="24" t="s">
        <v>282</v>
      </c>
      <c r="B123" s="23" t="s">
        <v>1442</v>
      </c>
      <c r="C123" s="63"/>
      <c r="D123" s="208"/>
      <c r="E123" s="103">
        <v>445.35</v>
      </c>
      <c r="F123" s="48">
        <f t="shared" si="78"/>
        <v>222.67500000000001</v>
      </c>
      <c r="G123" s="41">
        <f t="shared" si="79"/>
        <v>668.02500000000009</v>
      </c>
      <c r="H123" s="53">
        <f t="shared" si="80"/>
        <v>501.01875000000007</v>
      </c>
      <c r="I123" s="54">
        <f t="shared" si="81"/>
        <v>222.67500000000001</v>
      </c>
      <c r="J123" s="55">
        <f t="shared" si="82"/>
        <v>890.7</v>
      </c>
      <c r="K123" s="56">
        <f t="shared" si="83"/>
        <v>668.02500000000009</v>
      </c>
      <c r="L123" s="181"/>
    </row>
    <row r="124" spans="1:12" ht="15.75" x14ac:dyDescent="0.25">
      <c r="A124" s="24" t="s">
        <v>284</v>
      </c>
      <c r="B124" s="23" t="s">
        <v>1647</v>
      </c>
      <c r="C124" s="63"/>
      <c r="D124" s="116">
        <v>12.5</v>
      </c>
      <c r="E124" s="103">
        <v>445.35</v>
      </c>
      <c r="F124" s="48">
        <f t="shared" si="78"/>
        <v>222.67500000000001</v>
      </c>
      <c r="G124" s="41">
        <f t="shared" si="79"/>
        <v>668.02500000000009</v>
      </c>
      <c r="H124" s="53">
        <f t="shared" si="80"/>
        <v>501.01875000000007</v>
      </c>
      <c r="I124" s="54">
        <f t="shared" si="81"/>
        <v>222.67500000000001</v>
      </c>
      <c r="J124" s="55">
        <f t="shared" si="82"/>
        <v>890.7</v>
      </c>
      <c r="K124" s="56">
        <f t="shared" si="83"/>
        <v>668.02500000000009</v>
      </c>
      <c r="L124" s="181"/>
    </row>
    <row r="125" spans="1:12" ht="15.75" x14ac:dyDescent="0.25">
      <c r="A125" s="24" t="s">
        <v>286</v>
      </c>
      <c r="B125" s="23" t="s">
        <v>1647</v>
      </c>
      <c r="C125" s="106"/>
      <c r="D125" s="208"/>
      <c r="E125" s="103">
        <v>445.35</v>
      </c>
      <c r="F125" s="48">
        <f t="shared" si="78"/>
        <v>222.67500000000001</v>
      </c>
      <c r="G125" s="41">
        <f t="shared" si="79"/>
        <v>668.02500000000009</v>
      </c>
      <c r="H125" s="53">
        <f t="shared" si="80"/>
        <v>501.01875000000007</v>
      </c>
      <c r="I125" s="54">
        <f t="shared" si="81"/>
        <v>222.67500000000001</v>
      </c>
      <c r="J125" s="55">
        <f t="shared" si="82"/>
        <v>890.7</v>
      </c>
      <c r="K125" s="56">
        <f t="shared" si="83"/>
        <v>668.02500000000009</v>
      </c>
      <c r="L125" s="181"/>
    </row>
    <row r="126" spans="1:12" s="11" customFormat="1" ht="15.75" x14ac:dyDescent="0.25">
      <c r="A126" s="355" t="s">
        <v>1327</v>
      </c>
      <c r="B126" s="356"/>
      <c r="C126" s="35"/>
      <c r="D126" s="197">
        <f>SUM(D3:D125)</f>
        <v>632.07999999999993</v>
      </c>
      <c r="E126" s="25"/>
      <c r="F126" s="25"/>
      <c r="G126" s="25"/>
      <c r="H126" s="155"/>
      <c r="I126" s="25"/>
      <c r="J126" s="197">
        <f t="shared" ref="J126:K126" si="84">SUM(J3:J125)</f>
        <v>92644.709999999846</v>
      </c>
      <c r="K126" s="197">
        <f t="shared" si="84"/>
        <v>69483.532500000059</v>
      </c>
      <c r="L126" s="185"/>
    </row>
  </sheetData>
  <mergeCells count="1">
    <mergeCell ref="A126:B126"/>
  </mergeCells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4"/>
  <sheetViews>
    <sheetView workbookViewId="0">
      <pane xSplit="2" ySplit="2" topLeftCell="C53" activePane="bottomRight" state="frozen"/>
      <selection pane="topRight" activeCell="C1" sqref="C1"/>
      <selection pane="bottomLeft" activeCell="A3" sqref="A3"/>
      <selection pane="bottomRight" activeCell="D142" sqref="D142"/>
    </sheetView>
  </sheetViews>
  <sheetFormatPr defaultRowHeight="15.75" x14ac:dyDescent="0.25"/>
  <cols>
    <col min="1" max="1" width="10.140625" style="31" customWidth="1"/>
    <col min="2" max="2" width="25.85546875" style="31" customWidth="1"/>
    <col min="3" max="3" width="11.5703125" style="31" customWidth="1"/>
    <col min="4" max="4" width="12" style="31" customWidth="1"/>
    <col min="5" max="5" width="12.5703125" style="31" customWidth="1"/>
    <col min="6" max="6" width="12.42578125" style="31" customWidth="1"/>
    <col min="7" max="7" width="11.7109375" style="96" customWidth="1"/>
    <col min="8" max="8" width="13.140625" style="96" customWidth="1"/>
    <col min="9" max="9" width="11.85546875" style="97" customWidth="1"/>
    <col min="10" max="10" width="12.140625" style="92" customWidth="1"/>
    <col min="11" max="11" width="13.42578125" style="92" customWidth="1"/>
    <col min="12" max="12" width="14.85546875" style="167" customWidth="1"/>
  </cols>
  <sheetData>
    <row r="1" spans="1:12" x14ac:dyDescent="0.25">
      <c r="B1" s="21" t="s">
        <v>1077</v>
      </c>
    </row>
    <row r="2" spans="1:12" s="101" customFormat="1" ht="45" x14ac:dyDescent="0.25">
      <c r="A2" s="13" t="s">
        <v>1705</v>
      </c>
      <c r="B2" s="73" t="s">
        <v>1847</v>
      </c>
      <c r="C2" s="13" t="s">
        <v>1874</v>
      </c>
      <c r="D2" s="13" t="s">
        <v>1875</v>
      </c>
      <c r="E2" s="17" t="s">
        <v>1876</v>
      </c>
      <c r="F2" s="70" t="s">
        <v>1877</v>
      </c>
      <c r="G2" s="71" t="s">
        <v>1878</v>
      </c>
      <c r="H2" s="15" t="s">
        <v>1895</v>
      </c>
      <c r="I2" s="72" t="s">
        <v>1880</v>
      </c>
      <c r="J2" s="16" t="s">
        <v>1881</v>
      </c>
      <c r="K2" s="16" t="s">
        <v>1612</v>
      </c>
      <c r="L2" s="13" t="s">
        <v>1964</v>
      </c>
    </row>
    <row r="3" spans="1:12" x14ac:dyDescent="0.25">
      <c r="A3" s="24" t="s">
        <v>0</v>
      </c>
      <c r="B3" s="23" t="s">
        <v>1606</v>
      </c>
      <c r="C3" s="43">
        <v>4.12</v>
      </c>
      <c r="D3" s="43">
        <v>4.12</v>
      </c>
      <c r="E3" s="103">
        <v>548.76</v>
      </c>
      <c r="F3" s="48">
        <f t="shared" ref="F3:F66" si="0">E3*50%</f>
        <v>274.38</v>
      </c>
      <c r="G3" s="41">
        <f t="shared" ref="G3:G66" si="1">E3+F3</f>
        <v>823.14</v>
      </c>
      <c r="H3" s="53">
        <f t="shared" ref="H3:H66" si="2">G3-(G3*25%)</f>
        <v>617.35500000000002</v>
      </c>
      <c r="I3" s="54">
        <f t="shared" ref="I3:I66" si="3">E3*50%</f>
        <v>274.38</v>
      </c>
      <c r="J3" s="55">
        <f t="shared" ref="J3:J66" si="4">E3+(I3*2)</f>
        <v>1097.52</v>
      </c>
      <c r="K3" s="56">
        <f t="shared" ref="K3:K66" si="5">J3-(J3*25%)</f>
        <v>823.14</v>
      </c>
      <c r="L3" s="181"/>
    </row>
    <row r="4" spans="1:12" x14ac:dyDescent="0.25">
      <c r="A4" s="24" t="s">
        <v>2</v>
      </c>
      <c r="B4" s="23" t="s">
        <v>1606</v>
      </c>
      <c r="C4" s="125"/>
      <c r="D4" s="125"/>
      <c r="E4" s="103">
        <v>548.76</v>
      </c>
      <c r="F4" s="48">
        <f t="shared" si="0"/>
        <v>274.38</v>
      </c>
      <c r="G4" s="41">
        <f t="shared" si="1"/>
        <v>823.14</v>
      </c>
      <c r="H4" s="53">
        <f t="shared" si="2"/>
        <v>617.35500000000002</v>
      </c>
      <c r="I4" s="54">
        <f t="shared" si="3"/>
        <v>274.38</v>
      </c>
      <c r="J4" s="55">
        <f t="shared" si="4"/>
        <v>1097.52</v>
      </c>
      <c r="K4" s="56">
        <f t="shared" si="5"/>
        <v>823.14</v>
      </c>
      <c r="L4" s="181"/>
    </row>
    <row r="5" spans="1:12" x14ac:dyDescent="0.25">
      <c r="A5" s="24"/>
      <c r="B5" s="23"/>
      <c r="C5" s="23"/>
      <c r="D5" s="23"/>
      <c r="E5" s="103"/>
      <c r="F5" s="48"/>
      <c r="G5" s="41"/>
      <c r="H5" s="53"/>
      <c r="I5" s="54"/>
      <c r="J5" s="55"/>
      <c r="K5" s="56"/>
      <c r="L5" s="181"/>
    </row>
    <row r="6" spans="1:12" x14ac:dyDescent="0.25">
      <c r="A6" s="24" t="s">
        <v>9</v>
      </c>
      <c r="B6" s="23" t="s">
        <v>1863</v>
      </c>
      <c r="C6" s="43">
        <v>2.06</v>
      </c>
      <c r="D6" s="43">
        <v>2.06</v>
      </c>
      <c r="E6" s="103">
        <v>548.76</v>
      </c>
      <c r="F6" s="48">
        <f t="shared" si="0"/>
        <v>274.38</v>
      </c>
      <c r="G6" s="41">
        <f t="shared" si="1"/>
        <v>823.14</v>
      </c>
      <c r="H6" s="53">
        <f t="shared" si="2"/>
        <v>617.35500000000002</v>
      </c>
      <c r="I6" s="54">
        <f t="shared" si="3"/>
        <v>274.38</v>
      </c>
      <c r="J6" s="55">
        <f t="shared" si="4"/>
        <v>1097.52</v>
      </c>
      <c r="K6" s="56">
        <f t="shared" si="5"/>
        <v>823.14</v>
      </c>
      <c r="L6" s="181"/>
    </row>
    <row r="7" spans="1:12" x14ac:dyDescent="0.25">
      <c r="A7" s="24" t="s">
        <v>10</v>
      </c>
      <c r="B7" s="23" t="s">
        <v>1047</v>
      </c>
      <c r="C7" s="43">
        <v>2.06</v>
      </c>
      <c r="D7" s="43">
        <v>2.06</v>
      </c>
      <c r="E7" s="103">
        <v>548.76</v>
      </c>
      <c r="F7" s="48">
        <f t="shared" si="0"/>
        <v>274.38</v>
      </c>
      <c r="G7" s="41">
        <f t="shared" si="1"/>
        <v>823.14</v>
      </c>
      <c r="H7" s="53">
        <f t="shared" si="2"/>
        <v>617.35500000000002</v>
      </c>
      <c r="I7" s="54">
        <f t="shared" si="3"/>
        <v>274.38</v>
      </c>
      <c r="J7" s="55">
        <f t="shared" si="4"/>
        <v>1097.52</v>
      </c>
      <c r="K7" s="56">
        <f t="shared" si="5"/>
        <v>823.14</v>
      </c>
      <c r="L7" s="181"/>
    </row>
    <row r="8" spans="1:12" x14ac:dyDescent="0.25">
      <c r="A8" s="24" t="s">
        <v>11</v>
      </c>
      <c r="B8" s="23" t="s">
        <v>1471</v>
      </c>
      <c r="C8" s="43">
        <v>2.06</v>
      </c>
      <c r="D8" s="43">
        <v>2.06</v>
      </c>
      <c r="E8" s="103">
        <v>548.76</v>
      </c>
      <c r="F8" s="48">
        <f t="shared" si="0"/>
        <v>274.38</v>
      </c>
      <c r="G8" s="41">
        <f t="shared" si="1"/>
        <v>823.14</v>
      </c>
      <c r="H8" s="53">
        <f t="shared" si="2"/>
        <v>617.35500000000002</v>
      </c>
      <c r="I8" s="54">
        <f t="shared" si="3"/>
        <v>274.38</v>
      </c>
      <c r="J8" s="55">
        <f t="shared" si="4"/>
        <v>1097.52</v>
      </c>
      <c r="K8" s="56">
        <f t="shared" si="5"/>
        <v>823.14</v>
      </c>
      <c r="L8" s="181"/>
    </row>
    <row r="9" spans="1:12" x14ac:dyDescent="0.25">
      <c r="A9" s="24" t="s">
        <v>12</v>
      </c>
      <c r="B9" s="23" t="s">
        <v>2287</v>
      </c>
      <c r="C9" s="43">
        <v>2.06</v>
      </c>
      <c r="D9" s="43">
        <v>2.06</v>
      </c>
      <c r="E9" s="103">
        <v>548.76</v>
      </c>
      <c r="F9" s="48">
        <f t="shared" si="0"/>
        <v>274.38</v>
      </c>
      <c r="G9" s="41">
        <f t="shared" si="1"/>
        <v>823.14</v>
      </c>
      <c r="H9" s="53">
        <f t="shared" si="2"/>
        <v>617.35500000000002</v>
      </c>
      <c r="I9" s="54">
        <f t="shared" si="3"/>
        <v>274.38</v>
      </c>
      <c r="J9" s="55">
        <f t="shared" si="4"/>
        <v>1097.52</v>
      </c>
      <c r="K9" s="56">
        <f t="shared" si="5"/>
        <v>823.14</v>
      </c>
      <c r="L9" s="181"/>
    </row>
    <row r="10" spans="1:12" x14ac:dyDescent="0.25">
      <c r="A10" s="24"/>
      <c r="B10" s="23"/>
      <c r="C10" s="23"/>
      <c r="D10" s="23"/>
      <c r="E10" s="103"/>
      <c r="F10" s="48"/>
      <c r="G10" s="41"/>
      <c r="H10" s="53"/>
      <c r="I10" s="54"/>
      <c r="J10" s="55"/>
      <c r="K10" s="56"/>
      <c r="L10" s="181"/>
    </row>
    <row r="11" spans="1:12" x14ac:dyDescent="0.25">
      <c r="A11" s="24" t="s">
        <v>21</v>
      </c>
      <c r="B11" s="23" t="s">
        <v>1048</v>
      </c>
      <c r="C11" s="43">
        <v>2.06</v>
      </c>
      <c r="D11" s="43">
        <v>2.06</v>
      </c>
      <c r="E11" s="103">
        <v>548.76</v>
      </c>
      <c r="F11" s="48">
        <f t="shared" si="0"/>
        <v>274.38</v>
      </c>
      <c r="G11" s="41">
        <f t="shared" si="1"/>
        <v>823.14</v>
      </c>
      <c r="H11" s="53">
        <f t="shared" si="2"/>
        <v>617.35500000000002</v>
      </c>
      <c r="I11" s="54">
        <f t="shared" si="3"/>
        <v>274.38</v>
      </c>
      <c r="J11" s="55">
        <f t="shared" si="4"/>
        <v>1097.52</v>
      </c>
      <c r="K11" s="56">
        <f t="shared" si="5"/>
        <v>823.14</v>
      </c>
      <c r="L11" s="181"/>
    </row>
    <row r="12" spans="1:12" x14ac:dyDescent="0.25">
      <c r="A12" s="24" t="s">
        <v>2013</v>
      </c>
      <c r="B12" s="23" t="s">
        <v>1602</v>
      </c>
      <c r="C12" s="43">
        <v>1.03</v>
      </c>
      <c r="D12" s="43">
        <v>1.03</v>
      </c>
      <c r="E12" s="103">
        <v>274.38</v>
      </c>
      <c r="F12" s="48">
        <f t="shared" si="0"/>
        <v>137.19</v>
      </c>
      <c r="G12" s="41">
        <f t="shared" si="1"/>
        <v>411.57</v>
      </c>
      <c r="H12" s="53">
        <f t="shared" si="2"/>
        <v>308.67750000000001</v>
      </c>
      <c r="I12" s="54">
        <f t="shared" si="3"/>
        <v>137.19</v>
      </c>
      <c r="J12" s="55">
        <f t="shared" si="4"/>
        <v>548.76</v>
      </c>
      <c r="K12" s="56">
        <f t="shared" si="5"/>
        <v>411.57</v>
      </c>
      <c r="L12" s="181"/>
    </row>
    <row r="13" spans="1:12" x14ac:dyDescent="0.25">
      <c r="A13" s="24" t="s">
        <v>2014</v>
      </c>
      <c r="B13" s="23" t="s">
        <v>1049</v>
      </c>
      <c r="C13" s="43">
        <v>1.03</v>
      </c>
      <c r="D13" s="43">
        <v>1.03</v>
      </c>
      <c r="E13" s="103">
        <v>274.38</v>
      </c>
      <c r="F13" s="48">
        <f t="shared" si="0"/>
        <v>137.19</v>
      </c>
      <c r="G13" s="41">
        <f t="shared" si="1"/>
        <v>411.57</v>
      </c>
      <c r="H13" s="53">
        <f t="shared" si="2"/>
        <v>308.67750000000001</v>
      </c>
      <c r="I13" s="54">
        <f t="shared" si="3"/>
        <v>137.19</v>
      </c>
      <c r="J13" s="55">
        <f t="shared" si="4"/>
        <v>548.76</v>
      </c>
      <c r="K13" s="56">
        <f t="shared" si="5"/>
        <v>411.57</v>
      </c>
      <c r="L13" s="181"/>
    </row>
    <row r="14" spans="1:12" x14ac:dyDescent="0.25">
      <c r="A14" s="24" t="s">
        <v>2015</v>
      </c>
      <c r="B14" s="23" t="s">
        <v>2100</v>
      </c>
      <c r="C14" s="43">
        <v>1.03</v>
      </c>
      <c r="D14" s="43">
        <v>1.03</v>
      </c>
      <c r="E14" s="103">
        <v>274.38</v>
      </c>
      <c r="F14" s="48">
        <f t="shared" si="0"/>
        <v>137.19</v>
      </c>
      <c r="G14" s="41">
        <f t="shared" si="1"/>
        <v>411.57</v>
      </c>
      <c r="H14" s="53">
        <f t="shared" si="2"/>
        <v>308.67750000000001</v>
      </c>
      <c r="I14" s="54">
        <f t="shared" si="3"/>
        <v>137.19</v>
      </c>
      <c r="J14" s="55">
        <f t="shared" si="4"/>
        <v>548.76</v>
      </c>
      <c r="K14" s="56">
        <f t="shared" si="5"/>
        <v>411.57</v>
      </c>
      <c r="L14" s="181"/>
    </row>
    <row r="15" spans="1:12" x14ac:dyDescent="0.25">
      <c r="A15" s="24" t="s">
        <v>2016</v>
      </c>
      <c r="B15" s="23" t="s">
        <v>1961</v>
      </c>
      <c r="C15" s="43">
        <v>1.03</v>
      </c>
      <c r="D15" s="43">
        <v>1.03</v>
      </c>
      <c r="E15" s="103">
        <v>274.38</v>
      </c>
      <c r="F15" s="48">
        <f t="shared" si="0"/>
        <v>137.19</v>
      </c>
      <c r="G15" s="41">
        <f t="shared" si="1"/>
        <v>411.57</v>
      </c>
      <c r="H15" s="53">
        <f t="shared" si="2"/>
        <v>308.67750000000001</v>
      </c>
      <c r="I15" s="54">
        <f t="shared" si="3"/>
        <v>137.19</v>
      </c>
      <c r="J15" s="55">
        <f t="shared" si="4"/>
        <v>548.76</v>
      </c>
      <c r="K15" s="56">
        <f t="shared" si="5"/>
        <v>411.57</v>
      </c>
      <c r="L15" s="181"/>
    </row>
    <row r="16" spans="1:12" x14ac:dyDescent="0.25">
      <c r="A16" s="24" t="s">
        <v>24</v>
      </c>
      <c r="B16" s="23" t="s">
        <v>1050</v>
      </c>
      <c r="C16" s="43">
        <v>2.06</v>
      </c>
      <c r="D16" s="43">
        <v>2.06</v>
      </c>
      <c r="E16" s="103">
        <v>548.76</v>
      </c>
      <c r="F16" s="48">
        <f t="shared" si="0"/>
        <v>274.38</v>
      </c>
      <c r="G16" s="41">
        <f t="shared" si="1"/>
        <v>823.14</v>
      </c>
      <c r="H16" s="53">
        <f t="shared" si="2"/>
        <v>617.35500000000002</v>
      </c>
      <c r="I16" s="54">
        <f t="shared" si="3"/>
        <v>274.38</v>
      </c>
      <c r="J16" s="55">
        <f t="shared" si="4"/>
        <v>1097.52</v>
      </c>
      <c r="K16" s="56">
        <f t="shared" si="5"/>
        <v>823.14</v>
      </c>
      <c r="L16" s="181"/>
    </row>
    <row r="17" spans="1:12" x14ac:dyDescent="0.25">
      <c r="A17" s="24"/>
      <c r="B17" s="23"/>
      <c r="C17" s="23"/>
      <c r="D17" s="23"/>
      <c r="E17" s="103"/>
      <c r="F17" s="48"/>
      <c r="G17" s="41"/>
      <c r="H17" s="53"/>
      <c r="I17" s="54"/>
      <c r="J17" s="55"/>
      <c r="K17" s="56"/>
      <c r="L17" s="181"/>
    </row>
    <row r="18" spans="1:12" x14ac:dyDescent="0.25">
      <c r="A18" s="24" t="s">
        <v>37</v>
      </c>
      <c r="B18" s="23" t="s">
        <v>1047</v>
      </c>
      <c r="C18" s="43">
        <v>2.06</v>
      </c>
      <c r="D18" s="43">
        <v>2.06</v>
      </c>
      <c r="E18" s="103">
        <v>548.76</v>
      </c>
      <c r="F18" s="48">
        <f t="shared" si="0"/>
        <v>274.38</v>
      </c>
      <c r="G18" s="41">
        <f t="shared" si="1"/>
        <v>823.14</v>
      </c>
      <c r="H18" s="53">
        <f t="shared" si="2"/>
        <v>617.35500000000002</v>
      </c>
      <c r="I18" s="54">
        <f t="shared" si="3"/>
        <v>274.38</v>
      </c>
      <c r="J18" s="55">
        <f t="shared" si="4"/>
        <v>1097.52</v>
      </c>
      <c r="K18" s="56">
        <f t="shared" si="5"/>
        <v>823.14</v>
      </c>
      <c r="L18" s="181"/>
    </row>
    <row r="19" spans="1:12" x14ac:dyDescent="0.25">
      <c r="A19" s="24" t="s">
        <v>39</v>
      </c>
      <c r="B19" s="23" t="s">
        <v>1691</v>
      </c>
      <c r="C19" s="105">
        <v>2.06</v>
      </c>
      <c r="D19" s="105">
        <v>2.06</v>
      </c>
      <c r="E19" s="103">
        <v>548.76</v>
      </c>
      <c r="F19" s="48">
        <f t="shared" si="0"/>
        <v>274.38</v>
      </c>
      <c r="G19" s="41">
        <f t="shared" si="1"/>
        <v>823.14</v>
      </c>
      <c r="H19" s="53">
        <f t="shared" si="2"/>
        <v>617.35500000000002</v>
      </c>
      <c r="I19" s="54">
        <f t="shared" si="3"/>
        <v>274.38</v>
      </c>
      <c r="J19" s="55">
        <f t="shared" si="4"/>
        <v>1097.52</v>
      </c>
      <c r="K19" s="56">
        <f t="shared" si="5"/>
        <v>823.14</v>
      </c>
      <c r="L19" s="181"/>
    </row>
    <row r="20" spans="1:12" x14ac:dyDescent="0.25">
      <c r="A20" s="24" t="s">
        <v>40</v>
      </c>
      <c r="B20" s="23" t="s">
        <v>2123</v>
      </c>
      <c r="C20" s="43">
        <v>2.06</v>
      </c>
      <c r="D20" s="43">
        <v>2.06</v>
      </c>
      <c r="E20" s="103">
        <v>548.76</v>
      </c>
      <c r="F20" s="48">
        <f t="shared" si="0"/>
        <v>274.38</v>
      </c>
      <c r="G20" s="41">
        <f t="shared" si="1"/>
        <v>823.14</v>
      </c>
      <c r="H20" s="53">
        <f t="shared" si="2"/>
        <v>617.35500000000002</v>
      </c>
      <c r="I20" s="54">
        <f t="shared" si="3"/>
        <v>274.38</v>
      </c>
      <c r="J20" s="55">
        <f t="shared" si="4"/>
        <v>1097.52</v>
      </c>
      <c r="K20" s="56">
        <f t="shared" si="5"/>
        <v>823.14</v>
      </c>
      <c r="L20" s="181"/>
    </row>
    <row r="21" spans="1:12" x14ac:dyDescent="0.25">
      <c r="A21" s="24" t="s">
        <v>42</v>
      </c>
      <c r="B21" s="23" t="s">
        <v>1619</v>
      </c>
      <c r="C21" s="43">
        <v>2.06</v>
      </c>
      <c r="D21" s="43">
        <v>2.06</v>
      </c>
      <c r="E21" s="103">
        <v>548.76</v>
      </c>
      <c r="F21" s="48">
        <f t="shared" si="0"/>
        <v>274.38</v>
      </c>
      <c r="G21" s="41">
        <f t="shared" si="1"/>
        <v>823.14</v>
      </c>
      <c r="H21" s="53">
        <f t="shared" si="2"/>
        <v>617.35500000000002</v>
      </c>
      <c r="I21" s="54">
        <f t="shared" si="3"/>
        <v>274.38</v>
      </c>
      <c r="J21" s="55">
        <f t="shared" si="4"/>
        <v>1097.52</v>
      </c>
      <c r="K21" s="56">
        <f t="shared" si="5"/>
        <v>823.14</v>
      </c>
      <c r="L21" s="181"/>
    </row>
    <row r="22" spans="1:12" x14ac:dyDescent="0.25">
      <c r="A22" s="24"/>
      <c r="B22" s="23"/>
      <c r="C22" s="23"/>
      <c r="D22" s="23"/>
      <c r="E22" s="103"/>
      <c r="F22" s="48"/>
      <c r="G22" s="41"/>
      <c r="H22" s="53"/>
      <c r="I22" s="54"/>
      <c r="J22" s="55"/>
      <c r="K22" s="56"/>
      <c r="L22" s="181"/>
    </row>
    <row r="23" spans="1:12" x14ac:dyDescent="0.25">
      <c r="A23" s="24" t="s">
        <v>49</v>
      </c>
      <c r="B23" s="23" t="s">
        <v>1052</v>
      </c>
      <c r="C23" s="43">
        <v>2.06</v>
      </c>
      <c r="D23" s="43">
        <v>2.06</v>
      </c>
      <c r="E23" s="103">
        <v>548.76</v>
      </c>
      <c r="F23" s="48">
        <f t="shared" si="0"/>
        <v>274.38</v>
      </c>
      <c r="G23" s="41">
        <f t="shared" si="1"/>
        <v>823.14</v>
      </c>
      <c r="H23" s="53">
        <f t="shared" si="2"/>
        <v>617.35500000000002</v>
      </c>
      <c r="I23" s="54">
        <f t="shared" si="3"/>
        <v>274.38</v>
      </c>
      <c r="J23" s="55">
        <f t="shared" si="4"/>
        <v>1097.52</v>
      </c>
      <c r="K23" s="56">
        <f t="shared" si="5"/>
        <v>823.14</v>
      </c>
      <c r="L23" s="181"/>
    </row>
    <row r="24" spans="1:12" x14ac:dyDescent="0.25">
      <c r="A24" s="24" t="s">
        <v>50</v>
      </c>
      <c r="B24" s="23" t="s">
        <v>1053</v>
      </c>
      <c r="C24" s="43">
        <v>2.06</v>
      </c>
      <c r="D24" s="43">
        <v>2.06</v>
      </c>
      <c r="E24" s="103">
        <v>548.76</v>
      </c>
      <c r="F24" s="48">
        <f t="shared" si="0"/>
        <v>274.38</v>
      </c>
      <c r="G24" s="41">
        <f t="shared" si="1"/>
        <v>823.14</v>
      </c>
      <c r="H24" s="53">
        <f t="shared" si="2"/>
        <v>617.35500000000002</v>
      </c>
      <c r="I24" s="54">
        <f t="shared" si="3"/>
        <v>274.38</v>
      </c>
      <c r="J24" s="55">
        <f t="shared" si="4"/>
        <v>1097.52</v>
      </c>
      <c r="K24" s="56">
        <f t="shared" si="5"/>
        <v>823.14</v>
      </c>
      <c r="L24" s="181"/>
    </row>
    <row r="25" spans="1:12" x14ac:dyDescent="0.25">
      <c r="A25" s="24" t="s">
        <v>51</v>
      </c>
      <c r="B25" s="23" t="s">
        <v>1588</v>
      </c>
      <c r="C25" s="43">
        <v>2.06</v>
      </c>
      <c r="D25" s="43">
        <v>2.06</v>
      </c>
      <c r="E25" s="103">
        <v>548.76</v>
      </c>
      <c r="F25" s="48">
        <f t="shared" si="0"/>
        <v>274.38</v>
      </c>
      <c r="G25" s="41">
        <f t="shared" si="1"/>
        <v>823.14</v>
      </c>
      <c r="H25" s="53">
        <f t="shared" si="2"/>
        <v>617.35500000000002</v>
      </c>
      <c r="I25" s="54">
        <f t="shared" si="3"/>
        <v>274.38</v>
      </c>
      <c r="J25" s="55">
        <f t="shared" si="4"/>
        <v>1097.52</v>
      </c>
      <c r="K25" s="56">
        <f t="shared" si="5"/>
        <v>823.14</v>
      </c>
      <c r="L25" s="181"/>
    </row>
    <row r="26" spans="1:12" x14ac:dyDescent="0.25">
      <c r="A26" s="24" t="s">
        <v>53</v>
      </c>
      <c r="B26" s="23" t="s">
        <v>1588</v>
      </c>
      <c r="C26" s="43">
        <v>2.06</v>
      </c>
      <c r="D26" s="43">
        <v>2.06</v>
      </c>
      <c r="E26" s="103">
        <v>548.76</v>
      </c>
      <c r="F26" s="48">
        <f t="shared" si="0"/>
        <v>274.38</v>
      </c>
      <c r="G26" s="41">
        <f t="shared" si="1"/>
        <v>823.14</v>
      </c>
      <c r="H26" s="53">
        <f t="shared" si="2"/>
        <v>617.35500000000002</v>
      </c>
      <c r="I26" s="54">
        <f t="shared" si="3"/>
        <v>274.38</v>
      </c>
      <c r="J26" s="55">
        <f t="shared" si="4"/>
        <v>1097.52</v>
      </c>
      <c r="K26" s="56">
        <f t="shared" si="5"/>
        <v>823.14</v>
      </c>
      <c r="L26" s="181"/>
    </row>
    <row r="27" spans="1:12" x14ac:dyDescent="0.25">
      <c r="A27" s="24"/>
      <c r="B27" s="23"/>
      <c r="C27" s="23"/>
      <c r="D27" s="23"/>
      <c r="E27" s="103"/>
      <c r="F27" s="48"/>
      <c r="G27" s="41"/>
      <c r="H27" s="53"/>
      <c r="I27" s="54"/>
      <c r="J27" s="55"/>
      <c r="K27" s="56"/>
      <c r="L27" s="181"/>
    </row>
    <row r="28" spans="1:12" x14ac:dyDescent="0.25">
      <c r="A28" s="24" t="s">
        <v>69</v>
      </c>
      <c r="B28" s="23" t="s">
        <v>1460</v>
      </c>
      <c r="C28" s="43">
        <v>2.06</v>
      </c>
      <c r="D28" s="43">
        <v>2.06</v>
      </c>
      <c r="E28" s="103">
        <v>548.76</v>
      </c>
      <c r="F28" s="48">
        <f t="shared" si="0"/>
        <v>274.38</v>
      </c>
      <c r="G28" s="41">
        <f t="shared" si="1"/>
        <v>823.14</v>
      </c>
      <c r="H28" s="53">
        <f t="shared" si="2"/>
        <v>617.35500000000002</v>
      </c>
      <c r="I28" s="54">
        <f t="shared" si="3"/>
        <v>274.38</v>
      </c>
      <c r="J28" s="55">
        <f t="shared" si="4"/>
        <v>1097.52</v>
      </c>
      <c r="K28" s="56">
        <f t="shared" si="5"/>
        <v>823.14</v>
      </c>
      <c r="L28" s="181"/>
    </row>
    <row r="29" spans="1:12" x14ac:dyDescent="0.25">
      <c r="A29" s="24" t="s">
        <v>70</v>
      </c>
      <c r="B29" s="23" t="s">
        <v>1054</v>
      </c>
      <c r="C29" s="43">
        <v>2.06</v>
      </c>
      <c r="D29" s="43">
        <v>2.06</v>
      </c>
      <c r="E29" s="103">
        <v>548.76</v>
      </c>
      <c r="F29" s="48">
        <f t="shared" si="0"/>
        <v>274.38</v>
      </c>
      <c r="G29" s="41">
        <f t="shared" si="1"/>
        <v>823.14</v>
      </c>
      <c r="H29" s="53">
        <f t="shared" si="2"/>
        <v>617.35500000000002</v>
      </c>
      <c r="I29" s="54">
        <f t="shared" si="3"/>
        <v>274.38</v>
      </c>
      <c r="J29" s="55">
        <f t="shared" si="4"/>
        <v>1097.52</v>
      </c>
      <c r="K29" s="56">
        <f t="shared" si="5"/>
        <v>823.14</v>
      </c>
      <c r="L29" s="181"/>
    </row>
    <row r="30" spans="1:12" x14ac:dyDescent="0.25">
      <c r="A30" s="24"/>
      <c r="B30" s="23"/>
      <c r="C30" s="23"/>
      <c r="D30" s="23"/>
      <c r="E30" s="103"/>
      <c r="F30" s="48"/>
      <c r="G30" s="41"/>
      <c r="H30" s="53"/>
      <c r="I30" s="54"/>
      <c r="J30" s="55"/>
      <c r="K30" s="56"/>
      <c r="L30" s="181"/>
    </row>
    <row r="31" spans="1:12" x14ac:dyDescent="0.25">
      <c r="A31" s="24" t="s">
        <v>87</v>
      </c>
      <c r="B31" s="23" t="s">
        <v>1460</v>
      </c>
      <c r="C31" s="43">
        <v>2.06</v>
      </c>
      <c r="D31" s="43">
        <v>2.06</v>
      </c>
      <c r="E31" s="103">
        <v>548.76</v>
      </c>
      <c r="F31" s="48">
        <f t="shared" si="0"/>
        <v>274.38</v>
      </c>
      <c r="G31" s="41">
        <f t="shared" si="1"/>
        <v>823.14</v>
      </c>
      <c r="H31" s="53">
        <f t="shared" si="2"/>
        <v>617.35500000000002</v>
      </c>
      <c r="I31" s="54">
        <f t="shared" si="3"/>
        <v>274.38</v>
      </c>
      <c r="J31" s="55">
        <f t="shared" si="4"/>
        <v>1097.52</v>
      </c>
      <c r="K31" s="56">
        <f t="shared" si="5"/>
        <v>823.14</v>
      </c>
      <c r="L31" s="181"/>
    </row>
    <row r="32" spans="1:12" x14ac:dyDescent="0.25">
      <c r="A32" s="24" t="s">
        <v>88</v>
      </c>
      <c r="B32" s="23" t="s">
        <v>1524</v>
      </c>
      <c r="C32" s="43">
        <v>2.06</v>
      </c>
      <c r="D32" s="43">
        <v>2.06</v>
      </c>
      <c r="E32" s="103">
        <v>548.76</v>
      </c>
      <c r="F32" s="48">
        <f t="shared" si="0"/>
        <v>274.38</v>
      </c>
      <c r="G32" s="41">
        <f t="shared" si="1"/>
        <v>823.14</v>
      </c>
      <c r="H32" s="53">
        <f t="shared" si="2"/>
        <v>617.35500000000002</v>
      </c>
      <c r="I32" s="54">
        <f t="shared" si="3"/>
        <v>274.38</v>
      </c>
      <c r="J32" s="55">
        <f t="shared" si="4"/>
        <v>1097.52</v>
      </c>
      <c r="K32" s="56">
        <f t="shared" si="5"/>
        <v>823.14</v>
      </c>
      <c r="L32" s="181"/>
    </row>
    <row r="33" spans="1:12" x14ac:dyDescent="0.25">
      <c r="A33" s="24" t="s">
        <v>90</v>
      </c>
      <c r="B33" s="23" t="s">
        <v>2041</v>
      </c>
      <c r="C33" s="43">
        <v>2.06</v>
      </c>
      <c r="D33" s="43">
        <v>2.06</v>
      </c>
      <c r="E33" s="103">
        <v>548.76</v>
      </c>
      <c r="F33" s="48">
        <f t="shared" si="0"/>
        <v>274.38</v>
      </c>
      <c r="G33" s="41">
        <f t="shared" si="1"/>
        <v>823.14</v>
      </c>
      <c r="H33" s="53">
        <f t="shared" si="2"/>
        <v>617.35500000000002</v>
      </c>
      <c r="I33" s="54">
        <f t="shared" si="3"/>
        <v>274.38</v>
      </c>
      <c r="J33" s="55">
        <f t="shared" si="4"/>
        <v>1097.52</v>
      </c>
      <c r="K33" s="56">
        <f t="shared" si="5"/>
        <v>823.14</v>
      </c>
      <c r="L33" s="181"/>
    </row>
    <row r="34" spans="1:12" x14ac:dyDescent="0.25">
      <c r="A34" s="24" t="s">
        <v>91</v>
      </c>
      <c r="B34" s="23" t="s">
        <v>1055</v>
      </c>
      <c r="C34" s="43">
        <v>2.06</v>
      </c>
      <c r="D34" s="43">
        <v>2.06</v>
      </c>
      <c r="E34" s="103">
        <v>548.76</v>
      </c>
      <c r="F34" s="48">
        <f t="shared" si="0"/>
        <v>274.38</v>
      </c>
      <c r="G34" s="41">
        <f t="shared" si="1"/>
        <v>823.14</v>
      </c>
      <c r="H34" s="53">
        <f t="shared" si="2"/>
        <v>617.35500000000002</v>
      </c>
      <c r="I34" s="54">
        <f t="shared" si="3"/>
        <v>274.38</v>
      </c>
      <c r="J34" s="55">
        <f t="shared" si="4"/>
        <v>1097.52</v>
      </c>
      <c r="K34" s="56">
        <f t="shared" si="5"/>
        <v>823.14</v>
      </c>
      <c r="L34" s="181"/>
    </row>
    <row r="35" spans="1:12" x14ac:dyDescent="0.25">
      <c r="A35" s="24"/>
      <c r="B35" s="23"/>
      <c r="C35" s="23"/>
      <c r="D35" s="23"/>
      <c r="E35" s="103"/>
      <c r="F35" s="48"/>
      <c r="G35" s="41"/>
      <c r="H35" s="53"/>
      <c r="I35" s="54"/>
      <c r="J35" s="55"/>
      <c r="K35" s="56"/>
      <c r="L35" s="181"/>
    </row>
    <row r="36" spans="1:12" x14ac:dyDescent="0.25">
      <c r="A36" s="24" t="s">
        <v>101</v>
      </c>
      <c r="B36" s="23" t="s">
        <v>1524</v>
      </c>
      <c r="C36" s="43">
        <v>2.06</v>
      </c>
      <c r="D36" s="43">
        <v>2.06</v>
      </c>
      <c r="E36" s="103">
        <v>548.76</v>
      </c>
      <c r="F36" s="48">
        <f t="shared" si="0"/>
        <v>274.38</v>
      </c>
      <c r="G36" s="41">
        <f t="shared" si="1"/>
        <v>823.14</v>
      </c>
      <c r="H36" s="53">
        <f t="shared" si="2"/>
        <v>617.35500000000002</v>
      </c>
      <c r="I36" s="54">
        <f t="shared" si="3"/>
        <v>274.38</v>
      </c>
      <c r="J36" s="55">
        <f t="shared" si="4"/>
        <v>1097.52</v>
      </c>
      <c r="K36" s="56">
        <f t="shared" si="5"/>
        <v>823.14</v>
      </c>
      <c r="L36" s="181"/>
    </row>
    <row r="37" spans="1:12" x14ac:dyDescent="0.25">
      <c r="A37" s="24" t="s">
        <v>102</v>
      </c>
      <c r="B37" s="23" t="s">
        <v>1753</v>
      </c>
      <c r="C37" s="43">
        <v>2.06</v>
      </c>
      <c r="D37" s="43">
        <v>2.06</v>
      </c>
      <c r="E37" s="103">
        <v>548.76</v>
      </c>
      <c r="F37" s="48">
        <f t="shared" si="0"/>
        <v>274.38</v>
      </c>
      <c r="G37" s="41">
        <f t="shared" si="1"/>
        <v>823.14</v>
      </c>
      <c r="H37" s="53">
        <f t="shared" si="2"/>
        <v>617.35500000000002</v>
      </c>
      <c r="I37" s="54">
        <f t="shared" si="3"/>
        <v>274.38</v>
      </c>
      <c r="J37" s="55">
        <f t="shared" si="4"/>
        <v>1097.52</v>
      </c>
      <c r="K37" s="56">
        <f t="shared" si="5"/>
        <v>823.14</v>
      </c>
      <c r="L37" s="181"/>
    </row>
    <row r="38" spans="1:12" x14ac:dyDescent="0.25">
      <c r="A38" s="24" t="s">
        <v>104</v>
      </c>
      <c r="B38" s="23" t="s">
        <v>2289</v>
      </c>
      <c r="C38" s="43">
        <v>2.06</v>
      </c>
      <c r="D38" s="43">
        <v>2.06</v>
      </c>
      <c r="E38" s="103">
        <v>548.76</v>
      </c>
      <c r="F38" s="48">
        <f t="shared" si="0"/>
        <v>274.38</v>
      </c>
      <c r="G38" s="41">
        <f t="shared" si="1"/>
        <v>823.14</v>
      </c>
      <c r="H38" s="53">
        <f t="shared" si="2"/>
        <v>617.35500000000002</v>
      </c>
      <c r="I38" s="54">
        <f t="shared" si="3"/>
        <v>274.38</v>
      </c>
      <c r="J38" s="55">
        <f t="shared" si="4"/>
        <v>1097.52</v>
      </c>
      <c r="K38" s="56">
        <f t="shared" si="5"/>
        <v>823.14</v>
      </c>
      <c r="L38" s="181"/>
    </row>
    <row r="39" spans="1:12" x14ac:dyDescent="0.25">
      <c r="A39" s="24" t="s">
        <v>105</v>
      </c>
      <c r="B39" s="23" t="s">
        <v>1056</v>
      </c>
      <c r="C39" s="43">
        <v>2.06</v>
      </c>
      <c r="D39" s="43">
        <v>2.06</v>
      </c>
      <c r="E39" s="103">
        <v>548.76</v>
      </c>
      <c r="F39" s="48">
        <f t="shared" si="0"/>
        <v>274.38</v>
      </c>
      <c r="G39" s="41">
        <f t="shared" si="1"/>
        <v>823.14</v>
      </c>
      <c r="H39" s="53">
        <f t="shared" si="2"/>
        <v>617.35500000000002</v>
      </c>
      <c r="I39" s="54">
        <f t="shared" si="3"/>
        <v>274.38</v>
      </c>
      <c r="J39" s="55">
        <f t="shared" si="4"/>
        <v>1097.52</v>
      </c>
      <c r="K39" s="56">
        <f t="shared" si="5"/>
        <v>823.14</v>
      </c>
      <c r="L39" s="181"/>
    </row>
    <row r="40" spans="1:12" x14ac:dyDescent="0.25">
      <c r="A40" s="24"/>
      <c r="B40" s="23"/>
      <c r="C40" s="23"/>
      <c r="D40" s="23"/>
      <c r="E40" s="103"/>
      <c r="F40" s="48"/>
      <c r="G40" s="41"/>
      <c r="H40" s="53"/>
      <c r="I40" s="54"/>
      <c r="J40" s="55"/>
      <c r="K40" s="56"/>
      <c r="L40" s="181"/>
    </row>
    <row r="41" spans="1:12" x14ac:dyDescent="0.25">
      <c r="A41" s="24" t="s">
        <v>114</v>
      </c>
      <c r="B41" s="23" t="s">
        <v>1057</v>
      </c>
      <c r="C41" s="43">
        <v>2.06</v>
      </c>
      <c r="D41" s="43">
        <v>2.06</v>
      </c>
      <c r="E41" s="103">
        <v>548.76</v>
      </c>
      <c r="F41" s="48">
        <f t="shared" si="0"/>
        <v>274.38</v>
      </c>
      <c r="G41" s="41">
        <f t="shared" si="1"/>
        <v>823.14</v>
      </c>
      <c r="H41" s="53">
        <f t="shared" si="2"/>
        <v>617.35500000000002</v>
      </c>
      <c r="I41" s="54">
        <f t="shared" si="3"/>
        <v>274.38</v>
      </c>
      <c r="J41" s="55">
        <f t="shared" si="4"/>
        <v>1097.52</v>
      </c>
      <c r="K41" s="56">
        <f t="shared" si="5"/>
        <v>823.14</v>
      </c>
      <c r="L41" s="181"/>
    </row>
    <row r="42" spans="1:12" x14ac:dyDescent="0.25">
      <c r="A42" s="24" t="s">
        <v>116</v>
      </c>
      <c r="B42" s="23" t="s">
        <v>1461</v>
      </c>
      <c r="C42" s="43">
        <v>2.06</v>
      </c>
      <c r="D42" s="43">
        <v>2.06</v>
      </c>
      <c r="E42" s="103">
        <v>548.76</v>
      </c>
      <c r="F42" s="48">
        <f t="shared" si="0"/>
        <v>274.38</v>
      </c>
      <c r="G42" s="41">
        <f t="shared" si="1"/>
        <v>823.14</v>
      </c>
      <c r="H42" s="53">
        <f t="shared" si="2"/>
        <v>617.35500000000002</v>
      </c>
      <c r="I42" s="54">
        <f t="shared" si="3"/>
        <v>274.38</v>
      </c>
      <c r="J42" s="55">
        <f t="shared" si="4"/>
        <v>1097.52</v>
      </c>
      <c r="K42" s="56">
        <f t="shared" si="5"/>
        <v>823.14</v>
      </c>
      <c r="L42" s="181"/>
    </row>
    <row r="43" spans="1:12" x14ac:dyDescent="0.25">
      <c r="A43" s="24" t="s">
        <v>117</v>
      </c>
      <c r="B43" s="23" t="s">
        <v>1462</v>
      </c>
      <c r="C43" s="43">
        <v>1.03</v>
      </c>
      <c r="D43" s="43">
        <v>1.03</v>
      </c>
      <c r="E43" s="103">
        <v>274.38</v>
      </c>
      <c r="F43" s="48">
        <f t="shared" si="0"/>
        <v>137.19</v>
      </c>
      <c r="G43" s="41">
        <f t="shared" si="1"/>
        <v>411.57</v>
      </c>
      <c r="H43" s="53">
        <f t="shared" si="2"/>
        <v>308.67750000000001</v>
      </c>
      <c r="I43" s="54">
        <f t="shared" si="3"/>
        <v>137.19</v>
      </c>
      <c r="J43" s="55">
        <f t="shared" si="4"/>
        <v>548.76</v>
      </c>
      <c r="K43" s="56">
        <f t="shared" si="5"/>
        <v>411.57</v>
      </c>
      <c r="L43" s="181"/>
    </row>
    <row r="44" spans="1:12" x14ac:dyDescent="0.25">
      <c r="A44" s="24" t="s">
        <v>118</v>
      </c>
      <c r="B44" s="23" t="s">
        <v>1721</v>
      </c>
      <c r="C44" s="43">
        <v>1.03</v>
      </c>
      <c r="D44" s="43">
        <v>1.03</v>
      </c>
      <c r="E44" s="103">
        <v>274.38</v>
      </c>
      <c r="F44" s="48">
        <f t="shared" si="0"/>
        <v>137.19</v>
      </c>
      <c r="G44" s="41">
        <f t="shared" si="1"/>
        <v>411.57</v>
      </c>
      <c r="H44" s="53">
        <f t="shared" si="2"/>
        <v>308.67750000000001</v>
      </c>
      <c r="I44" s="54">
        <f t="shared" si="3"/>
        <v>137.19</v>
      </c>
      <c r="J44" s="55">
        <f t="shared" si="4"/>
        <v>548.76</v>
      </c>
      <c r="K44" s="56">
        <f t="shared" si="5"/>
        <v>411.57</v>
      </c>
      <c r="L44" s="181"/>
    </row>
    <row r="45" spans="1:12" x14ac:dyDescent="0.25">
      <c r="A45" s="24" t="s">
        <v>119</v>
      </c>
      <c r="B45" s="23" t="s">
        <v>1721</v>
      </c>
      <c r="C45" s="43">
        <v>2.06</v>
      </c>
      <c r="D45" s="43">
        <v>2.06</v>
      </c>
      <c r="E45" s="103">
        <v>548.76</v>
      </c>
      <c r="F45" s="48">
        <f t="shared" si="0"/>
        <v>274.38</v>
      </c>
      <c r="G45" s="41">
        <f t="shared" si="1"/>
        <v>823.14</v>
      </c>
      <c r="H45" s="53">
        <f t="shared" si="2"/>
        <v>617.35500000000002</v>
      </c>
      <c r="I45" s="54">
        <f t="shared" si="3"/>
        <v>274.38</v>
      </c>
      <c r="J45" s="55">
        <f t="shared" si="4"/>
        <v>1097.52</v>
      </c>
      <c r="K45" s="56">
        <f t="shared" si="5"/>
        <v>823.14</v>
      </c>
      <c r="L45" s="181"/>
    </row>
    <row r="46" spans="1:12" x14ac:dyDescent="0.25">
      <c r="A46" s="24"/>
      <c r="B46" s="23"/>
      <c r="C46" s="23"/>
      <c r="D46" s="23"/>
      <c r="E46" s="103"/>
      <c r="F46" s="48"/>
      <c r="G46" s="41"/>
      <c r="H46" s="53"/>
      <c r="I46" s="54"/>
      <c r="J46" s="55"/>
      <c r="K46" s="56"/>
      <c r="L46" s="181"/>
    </row>
    <row r="47" spans="1:12" x14ac:dyDescent="0.25">
      <c r="A47" s="24" t="s">
        <v>138</v>
      </c>
      <c r="B47" s="23" t="s">
        <v>1619</v>
      </c>
      <c r="C47" s="43">
        <v>2.06</v>
      </c>
      <c r="D47" s="43">
        <v>2.06</v>
      </c>
      <c r="E47" s="103">
        <v>548.76</v>
      </c>
      <c r="F47" s="48">
        <f t="shared" si="0"/>
        <v>274.38</v>
      </c>
      <c r="G47" s="41">
        <f t="shared" si="1"/>
        <v>823.14</v>
      </c>
      <c r="H47" s="53">
        <f t="shared" si="2"/>
        <v>617.35500000000002</v>
      </c>
      <c r="I47" s="54">
        <f t="shared" si="3"/>
        <v>274.38</v>
      </c>
      <c r="J47" s="55">
        <f t="shared" si="4"/>
        <v>1097.52</v>
      </c>
      <c r="K47" s="56">
        <f t="shared" si="5"/>
        <v>823.14</v>
      </c>
      <c r="L47" s="181"/>
    </row>
    <row r="48" spans="1:12" x14ac:dyDescent="0.25">
      <c r="A48" s="24" t="s">
        <v>139</v>
      </c>
      <c r="B48" s="23" t="s">
        <v>1438</v>
      </c>
      <c r="C48" s="43">
        <v>2.06</v>
      </c>
      <c r="D48" s="43">
        <v>2.06</v>
      </c>
      <c r="E48" s="103">
        <v>548.76</v>
      </c>
      <c r="F48" s="48">
        <f t="shared" si="0"/>
        <v>274.38</v>
      </c>
      <c r="G48" s="41">
        <f t="shared" si="1"/>
        <v>823.14</v>
      </c>
      <c r="H48" s="53">
        <f t="shared" si="2"/>
        <v>617.35500000000002</v>
      </c>
      <c r="I48" s="54">
        <f t="shared" si="3"/>
        <v>274.38</v>
      </c>
      <c r="J48" s="55">
        <f t="shared" si="4"/>
        <v>1097.52</v>
      </c>
      <c r="K48" s="56">
        <f t="shared" si="5"/>
        <v>823.14</v>
      </c>
      <c r="L48" s="181"/>
    </row>
    <row r="49" spans="1:12" x14ac:dyDescent="0.25">
      <c r="A49" s="24" t="s">
        <v>140</v>
      </c>
      <c r="B49" s="23" t="s">
        <v>1058</v>
      </c>
      <c r="C49" s="43">
        <v>2.06</v>
      </c>
      <c r="D49" s="43">
        <v>2.06</v>
      </c>
      <c r="E49" s="103">
        <v>548.76</v>
      </c>
      <c r="F49" s="48">
        <f t="shared" si="0"/>
        <v>274.38</v>
      </c>
      <c r="G49" s="41">
        <f t="shared" si="1"/>
        <v>823.14</v>
      </c>
      <c r="H49" s="53">
        <f t="shared" si="2"/>
        <v>617.35500000000002</v>
      </c>
      <c r="I49" s="54">
        <f t="shared" si="3"/>
        <v>274.38</v>
      </c>
      <c r="J49" s="55">
        <f t="shared" si="4"/>
        <v>1097.52</v>
      </c>
      <c r="K49" s="56">
        <f t="shared" si="5"/>
        <v>823.14</v>
      </c>
      <c r="L49" s="181"/>
    </row>
    <row r="50" spans="1:12" x14ac:dyDescent="0.25">
      <c r="A50" s="24" t="s">
        <v>141</v>
      </c>
      <c r="B50" s="23" t="s">
        <v>1439</v>
      </c>
      <c r="C50" s="43">
        <v>2.06</v>
      </c>
      <c r="D50" s="43">
        <v>2.06</v>
      </c>
      <c r="E50" s="103">
        <v>548.76</v>
      </c>
      <c r="F50" s="48">
        <f t="shared" si="0"/>
        <v>274.38</v>
      </c>
      <c r="G50" s="41">
        <f t="shared" si="1"/>
        <v>823.14</v>
      </c>
      <c r="H50" s="53">
        <f t="shared" si="2"/>
        <v>617.35500000000002</v>
      </c>
      <c r="I50" s="54">
        <f t="shared" si="3"/>
        <v>274.38</v>
      </c>
      <c r="J50" s="55">
        <f t="shared" si="4"/>
        <v>1097.52</v>
      </c>
      <c r="K50" s="56">
        <f t="shared" si="5"/>
        <v>823.14</v>
      </c>
      <c r="L50" s="181"/>
    </row>
    <row r="51" spans="1:12" x14ac:dyDescent="0.25">
      <c r="A51" s="24"/>
      <c r="B51" s="23"/>
      <c r="C51" s="43"/>
      <c r="D51" s="43"/>
      <c r="E51" s="103"/>
      <c r="F51" s="48"/>
      <c r="G51" s="41"/>
      <c r="H51" s="53"/>
      <c r="I51" s="54"/>
      <c r="J51" s="55"/>
      <c r="K51" s="56"/>
      <c r="L51" s="181"/>
    </row>
    <row r="52" spans="1:12" x14ac:dyDescent="0.25">
      <c r="A52" s="24" t="s">
        <v>151</v>
      </c>
      <c r="B52" s="23" t="s">
        <v>1059</v>
      </c>
      <c r="C52" s="43">
        <v>2.06</v>
      </c>
      <c r="D52" s="43">
        <v>2.06</v>
      </c>
      <c r="E52" s="103">
        <v>548.76</v>
      </c>
      <c r="F52" s="48">
        <f t="shared" si="0"/>
        <v>274.38</v>
      </c>
      <c r="G52" s="41">
        <f t="shared" si="1"/>
        <v>823.14</v>
      </c>
      <c r="H52" s="53">
        <f t="shared" si="2"/>
        <v>617.35500000000002</v>
      </c>
      <c r="I52" s="54">
        <f t="shared" si="3"/>
        <v>274.38</v>
      </c>
      <c r="J52" s="55">
        <f t="shared" si="4"/>
        <v>1097.52</v>
      </c>
      <c r="K52" s="56">
        <f t="shared" si="5"/>
        <v>823.14</v>
      </c>
      <c r="L52" s="181"/>
    </row>
    <row r="53" spans="1:12" x14ac:dyDescent="0.25">
      <c r="A53" s="24" t="s">
        <v>152</v>
      </c>
      <c r="B53" s="23" t="s">
        <v>2225</v>
      </c>
      <c r="C53" s="43">
        <v>2.06</v>
      </c>
      <c r="D53" s="43">
        <v>2.06</v>
      </c>
      <c r="E53" s="103">
        <v>548.76</v>
      </c>
      <c r="F53" s="48">
        <f t="shared" si="0"/>
        <v>274.38</v>
      </c>
      <c r="G53" s="41">
        <f t="shared" si="1"/>
        <v>823.14</v>
      </c>
      <c r="H53" s="53">
        <f t="shared" si="2"/>
        <v>617.35500000000002</v>
      </c>
      <c r="I53" s="54">
        <f t="shared" si="3"/>
        <v>274.38</v>
      </c>
      <c r="J53" s="55">
        <f t="shared" si="4"/>
        <v>1097.52</v>
      </c>
      <c r="K53" s="56">
        <f t="shared" si="5"/>
        <v>823.14</v>
      </c>
      <c r="L53" s="181"/>
    </row>
    <row r="54" spans="1:12" x14ac:dyDescent="0.25">
      <c r="A54" s="24" t="s">
        <v>153</v>
      </c>
      <c r="B54" s="23" t="s">
        <v>1472</v>
      </c>
      <c r="C54" s="43">
        <v>2.06</v>
      </c>
      <c r="D54" s="43">
        <v>2.06</v>
      </c>
      <c r="E54" s="103">
        <v>548.76</v>
      </c>
      <c r="F54" s="48">
        <f t="shared" si="0"/>
        <v>274.38</v>
      </c>
      <c r="G54" s="41">
        <f t="shared" si="1"/>
        <v>823.14</v>
      </c>
      <c r="H54" s="53">
        <f t="shared" si="2"/>
        <v>617.35500000000002</v>
      </c>
      <c r="I54" s="54">
        <f t="shared" si="3"/>
        <v>274.38</v>
      </c>
      <c r="J54" s="55">
        <f t="shared" si="4"/>
        <v>1097.52</v>
      </c>
      <c r="K54" s="56">
        <f t="shared" si="5"/>
        <v>823.14</v>
      </c>
      <c r="L54" s="181"/>
    </row>
    <row r="55" spans="1:12" x14ac:dyDescent="0.25">
      <c r="A55" s="24" t="s">
        <v>155</v>
      </c>
      <c r="B55" s="23" t="s">
        <v>1586</v>
      </c>
      <c r="C55" s="43">
        <v>2.06</v>
      </c>
      <c r="D55" s="43">
        <v>2.06</v>
      </c>
      <c r="E55" s="103">
        <v>548.76</v>
      </c>
      <c r="F55" s="48">
        <f t="shared" si="0"/>
        <v>274.38</v>
      </c>
      <c r="G55" s="41">
        <f t="shared" si="1"/>
        <v>823.14</v>
      </c>
      <c r="H55" s="53">
        <f t="shared" si="2"/>
        <v>617.35500000000002</v>
      </c>
      <c r="I55" s="54">
        <f t="shared" si="3"/>
        <v>274.38</v>
      </c>
      <c r="J55" s="55">
        <f t="shared" si="4"/>
        <v>1097.52</v>
      </c>
      <c r="K55" s="56">
        <f t="shared" si="5"/>
        <v>823.14</v>
      </c>
      <c r="L55" s="181"/>
    </row>
    <row r="56" spans="1:12" x14ac:dyDescent="0.25">
      <c r="A56" s="24"/>
      <c r="B56" s="23"/>
      <c r="C56" s="23"/>
      <c r="D56" s="23"/>
      <c r="E56" s="103"/>
      <c r="F56" s="48"/>
      <c r="G56" s="41"/>
      <c r="H56" s="53"/>
      <c r="I56" s="54"/>
      <c r="J56" s="55"/>
      <c r="K56" s="56"/>
      <c r="L56" s="181"/>
    </row>
    <row r="57" spans="1:12" x14ac:dyDescent="0.25">
      <c r="A57" s="24" t="s">
        <v>162</v>
      </c>
      <c r="B57" s="23" t="s">
        <v>2099</v>
      </c>
      <c r="C57" s="43">
        <v>2.06</v>
      </c>
      <c r="D57" s="43">
        <v>2.06</v>
      </c>
      <c r="E57" s="103">
        <v>548.76</v>
      </c>
      <c r="F57" s="48">
        <f t="shared" si="0"/>
        <v>274.38</v>
      </c>
      <c r="G57" s="41">
        <f t="shared" si="1"/>
        <v>823.14</v>
      </c>
      <c r="H57" s="53">
        <f t="shared" si="2"/>
        <v>617.35500000000002</v>
      </c>
      <c r="I57" s="54">
        <f t="shared" si="3"/>
        <v>274.38</v>
      </c>
      <c r="J57" s="55">
        <f t="shared" si="4"/>
        <v>1097.52</v>
      </c>
      <c r="K57" s="56">
        <f t="shared" si="5"/>
        <v>823.14</v>
      </c>
      <c r="L57" s="181"/>
    </row>
    <row r="58" spans="1:12" x14ac:dyDescent="0.25">
      <c r="A58" s="24" t="s">
        <v>163</v>
      </c>
      <c r="B58" s="23" t="s">
        <v>2201</v>
      </c>
      <c r="C58" s="43">
        <v>2.06</v>
      </c>
      <c r="D58" s="43">
        <v>2.06</v>
      </c>
      <c r="E58" s="103">
        <v>548.76</v>
      </c>
      <c r="F58" s="48">
        <f t="shared" si="0"/>
        <v>274.38</v>
      </c>
      <c r="G58" s="41">
        <f t="shared" si="1"/>
        <v>823.14</v>
      </c>
      <c r="H58" s="53">
        <f t="shared" si="2"/>
        <v>617.35500000000002</v>
      </c>
      <c r="I58" s="54">
        <f t="shared" si="3"/>
        <v>274.38</v>
      </c>
      <c r="J58" s="55">
        <f t="shared" si="4"/>
        <v>1097.52</v>
      </c>
      <c r="K58" s="56">
        <f t="shared" si="5"/>
        <v>823.14</v>
      </c>
      <c r="L58" s="181"/>
    </row>
    <row r="59" spans="1:12" x14ac:dyDescent="0.25">
      <c r="A59" s="24" t="s">
        <v>164</v>
      </c>
      <c r="B59" s="23" t="s">
        <v>2296</v>
      </c>
      <c r="C59" s="43">
        <v>2.06</v>
      </c>
      <c r="D59" s="43">
        <v>2.06</v>
      </c>
      <c r="E59" s="103">
        <v>548.76</v>
      </c>
      <c r="F59" s="48">
        <f t="shared" si="0"/>
        <v>274.38</v>
      </c>
      <c r="G59" s="41">
        <f t="shared" si="1"/>
        <v>823.14</v>
      </c>
      <c r="H59" s="53">
        <f t="shared" si="2"/>
        <v>617.35500000000002</v>
      </c>
      <c r="I59" s="54">
        <f t="shared" si="3"/>
        <v>274.38</v>
      </c>
      <c r="J59" s="55">
        <f t="shared" si="4"/>
        <v>1097.52</v>
      </c>
      <c r="K59" s="56">
        <f t="shared" si="5"/>
        <v>823.14</v>
      </c>
      <c r="L59" s="181"/>
    </row>
    <row r="60" spans="1:12" x14ac:dyDescent="0.25">
      <c r="A60" s="24" t="s">
        <v>165</v>
      </c>
      <c r="B60" s="23" t="s">
        <v>1817</v>
      </c>
      <c r="C60" s="43">
        <v>2.06</v>
      </c>
      <c r="D60" s="43">
        <v>2.06</v>
      </c>
      <c r="E60" s="103">
        <v>548.76</v>
      </c>
      <c r="F60" s="48">
        <f t="shared" si="0"/>
        <v>274.38</v>
      </c>
      <c r="G60" s="41">
        <f t="shared" si="1"/>
        <v>823.14</v>
      </c>
      <c r="H60" s="53">
        <f t="shared" si="2"/>
        <v>617.35500000000002</v>
      </c>
      <c r="I60" s="54">
        <f t="shared" si="3"/>
        <v>274.38</v>
      </c>
      <c r="J60" s="55">
        <f t="shared" si="4"/>
        <v>1097.52</v>
      </c>
      <c r="K60" s="56">
        <f t="shared" si="5"/>
        <v>823.14</v>
      </c>
      <c r="L60" s="181"/>
    </row>
    <row r="61" spans="1:12" x14ac:dyDescent="0.25">
      <c r="A61" s="24"/>
      <c r="B61" s="23"/>
      <c r="C61" s="23"/>
      <c r="D61" s="23"/>
      <c r="E61" s="103"/>
      <c r="F61" s="48"/>
      <c r="G61" s="41"/>
      <c r="H61" s="53"/>
      <c r="I61" s="54"/>
      <c r="J61" s="55"/>
      <c r="K61" s="56"/>
      <c r="L61" s="181"/>
    </row>
    <row r="62" spans="1:12" x14ac:dyDescent="0.25">
      <c r="A62" s="24" t="s">
        <v>2017</v>
      </c>
      <c r="B62" s="23" t="s">
        <v>1060</v>
      </c>
      <c r="C62" s="43">
        <v>1.03</v>
      </c>
      <c r="D62" s="43">
        <v>1.03</v>
      </c>
      <c r="E62" s="103">
        <v>274.38</v>
      </c>
      <c r="F62" s="48">
        <f t="shared" si="0"/>
        <v>137.19</v>
      </c>
      <c r="G62" s="41">
        <f t="shared" si="1"/>
        <v>411.57</v>
      </c>
      <c r="H62" s="53">
        <f t="shared" si="2"/>
        <v>308.67750000000001</v>
      </c>
      <c r="I62" s="54">
        <f t="shared" si="3"/>
        <v>137.19</v>
      </c>
      <c r="J62" s="55">
        <f t="shared" si="4"/>
        <v>548.76</v>
      </c>
      <c r="K62" s="56">
        <f t="shared" si="5"/>
        <v>411.57</v>
      </c>
      <c r="L62" s="181"/>
    </row>
    <row r="63" spans="1:12" x14ac:dyDescent="0.25">
      <c r="A63" s="24" t="s">
        <v>2018</v>
      </c>
      <c r="B63" s="23" t="s">
        <v>1061</v>
      </c>
      <c r="C63" s="43">
        <v>1.03</v>
      </c>
      <c r="D63" s="43">
        <v>1.03</v>
      </c>
      <c r="E63" s="103">
        <v>274.38</v>
      </c>
      <c r="F63" s="48">
        <f t="shared" si="0"/>
        <v>137.19</v>
      </c>
      <c r="G63" s="41">
        <f t="shared" si="1"/>
        <v>411.57</v>
      </c>
      <c r="H63" s="53">
        <f t="shared" si="2"/>
        <v>308.67750000000001</v>
      </c>
      <c r="I63" s="54">
        <f t="shared" si="3"/>
        <v>137.19</v>
      </c>
      <c r="J63" s="55">
        <f t="shared" si="4"/>
        <v>548.76</v>
      </c>
      <c r="K63" s="56">
        <f t="shared" si="5"/>
        <v>411.57</v>
      </c>
      <c r="L63" s="181"/>
    </row>
    <row r="64" spans="1:12" x14ac:dyDescent="0.25">
      <c r="A64" s="24" t="s">
        <v>170</v>
      </c>
      <c r="B64" s="23" t="s">
        <v>1587</v>
      </c>
      <c r="C64" s="43">
        <v>2.06</v>
      </c>
      <c r="D64" s="43">
        <v>2.06</v>
      </c>
      <c r="E64" s="103">
        <v>548.76</v>
      </c>
      <c r="F64" s="48">
        <f t="shared" si="0"/>
        <v>274.38</v>
      </c>
      <c r="G64" s="41">
        <f t="shared" si="1"/>
        <v>823.14</v>
      </c>
      <c r="H64" s="53">
        <f t="shared" si="2"/>
        <v>617.35500000000002</v>
      </c>
      <c r="I64" s="54">
        <f t="shared" si="3"/>
        <v>274.38</v>
      </c>
      <c r="J64" s="55">
        <f t="shared" si="4"/>
        <v>1097.52</v>
      </c>
      <c r="K64" s="56">
        <f t="shared" si="5"/>
        <v>823.14</v>
      </c>
      <c r="L64" s="181"/>
    </row>
    <row r="65" spans="1:12" x14ac:dyDescent="0.25">
      <c r="A65" s="24" t="s">
        <v>171</v>
      </c>
      <c r="B65" s="23" t="s">
        <v>1968</v>
      </c>
      <c r="C65" s="43">
        <v>2.06</v>
      </c>
      <c r="D65" s="43">
        <v>2.06</v>
      </c>
      <c r="E65" s="103">
        <v>548.76</v>
      </c>
      <c r="F65" s="48">
        <f t="shared" si="0"/>
        <v>274.38</v>
      </c>
      <c r="G65" s="41">
        <f t="shared" si="1"/>
        <v>823.14</v>
      </c>
      <c r="H65" s="53">
        <f t="shared" si="2"/>
        <v>617.35500000000002</v>
      </c>
      <c r="I65" s="54">
        <f t="shared" si="3"/>
        <v>274.38</v>
      </c>
      <c r="J65" s="55">
        <f t="shared" si="4"/>
        <v>1097.52</v>
      </c>
      <c r="K65" s="56">
        <f t="shared" si="5"/>
        <v>823.14</v>
      </c>
      <c r="L65" s="181"/>
    </row>
    <row r="66" spans="1:12" x14ac:dyDescent="0.25">
      <c r="A66" s="49" t="s">
        <v>172</v>
      </c>
      <c r="B66" s="50" t="s">
        <v>1062</v>
      </c>
      <c r="C66" s="51">
        <v>2.06</v>
      </c>
      <c r="D66" s="43">
        <v>2.06</v>
      </c>
      <c r="E66" s="116">
        <v>548.76</v>
      </c>
      <c r="F66" s="58">
        <f t="shared" si="0"/>
        <v>274.38</v>
      </c>
      <c r="G66" s="41">
        <f t="shared" si="1"/>
        <v>823.14</v>
      </c>
      <c r="H66" s="53">
        <f t="shared" si="2"/>
        <v>617.35500000000002</v>
      </c>
      <c r="I66" s="54">
        <f t="shared" si="3"/>
        <v>274.38</v>
      </c>
      <c r="J66" s="55">
        <f t="shared" si="4"/>
        <v>1097.52</v>
      </c>
      <c r="K66" s="56">
        <f t="shared" si="5"/>
        <v>823.14</v>
      </c>
      <c r="L66" s="181"/>
    </row>
    <row r="67" spans="1:12" x14ac:dyDescent="0.25">
      <c r="A67" s="24"/>
      <c r="B67" s="23"/>
      <c r="C67" s="23"/>
      <c r="D67" s="23"/>
      <c r="E67" s="103"/>
      <c r="F67" s="48"/>
      <c r="G67" s="41"/>
      <c r="H67" s="53"/>
      <c r="I67" s="54"/>
      <c r="J67" s="55"/>
      <c r="K67" s="56"/>
      <c r="L67" s="181"/>
    </row>
    <row r="68" spans="1:12" x14ac:dyDescent="0.25">
      <c r="A68" s="24" t="s">
        <v>173</v>
      </c>
      <c r="B68" s="23" t="s">
        <v>2225</v>
      </c>
      <c r="C68" s="43">
        <v>2.06</v>
      </c>
      <c r="D68" s="43">
        <v>2.06</v>
      </c>
      <c r="E68" s="103">
        <v>548.76</v>
      </c>
      <c r="F68" s="48">
        <f t="shared" ref="F68:F125" si="6">E68*50%</f>
        <v>274.38</v>
      </c>
      <c r="G68" s="41">
        <f t="shared" ref="G68:G125" si="7">E68+F68</f>
        <v>823.14</v>
      </c>
      <c r="H68" s="53">
        <f t="shared" ref="H68:H125" si="8">G68-(G68*25%)</f>
        <v>617.35500000000002</v>
      </c>
      <c r="I68" s="54">
        <f t="shared" ref="I68:I125" si="9">E68*50%</f>
        <v>274.38</v>
      </c>
      <c r="J68" s="55">
        <f t="shared" ref="J68:J125" si="10">E68+(I68*2)</f>
        <v>1097.52</v>
      </c>
      <c r="K68" s="56">
        <f t="shared" ref="K68:K125" si="11">J68-(J68*25%)</f>
        <v>823.14</v>
      </c>
      <c r="L68" s="181"/>
    </row>
    <row r="69" spans="1:12" x14ac:dyDescent="0.25">
      <c r="A69" s="24" t="s">
        <v>174</v>
      </c>
      <c r="B69" s="23" t="s">
        <v>1422</v>
      </c>
      <c r="C69" s="43">
        <v>2.06</v>
      </c>
      <c r="D69" s="43">
        <v>2.06</v>
      </c>
      <c r="E69" s="103">
        <v>548.76</v>
      </c>
      <c r="F69" s="48">
        <f t="shared" si="6"/>
        <v>274.38</v>
      </c>
      <c r="G69" s="41">
        <f t="shared" si="7"/>
        <v>823.14</v>
      </c>
      <c r="H69" s="53">
        <f t="shared" si="8"/>
        <v>617.35500000000002</v>
      </c>
      <c r="I69" s="54">
        <f t="shared" si="9"/>
        <v>274.38</v>
      </c>
      <c r="J69" s="55">
        <f t="shared" si="10"/>
        <v>1097.52</v>
      </c>
      <c r="K69" s="56">
        <f t="shared" si="11"/>
        <v>823.14</v>
      </c>
      <c r="L69" s="181"/>
    </row>
    <row r="70" spans="1:12" x14ac:dyDescent="0.25">
      <c r="A70" s="24" t="s">
        <v>176</v>
      </c>
      <c r="B70" s="23" t="s">
        <v>2288</v>
      </c>
      <c r="C70" s="43">
        <v>1.03</v>
      </c>
      <c r="D70" s="43">
        <v>1.03</v>
      </c>
      <c r="E70" s="103">
        <v>274.38</v>
      </c>
      <c r="F70" s="48">
        <f t="shared" si="6"/>
        <v>137.19</v>
      </c>
      <c r="G70" s="41">
        <f t="shared" si="7"/>
        <v>411.57</v>
      </c>
      <c r="H70" s="53">
        <f t="shared" si="8"/>
        <v>308.67750000000001</v>
      </c>
      <c r="I70" s="54">
        <f t="shared" si="9"/>
        <v>137.19</v>
      </c>
      <c r="J70" s="55">
        <f t="shared" si="10"/>
        <v>548.76</v>
      </c>
      <c r="K70" s="56">
        <f t="shared" si="11"/>
        <v>411.57</v>
      </c>
      <c r="L70" s="181"/>
    </row>
    <row r="71" spans="1:12" x14ac:dyDescent="0.25">
      <c r="A71" s="24" t="s">
        <v>1608</v>
      </c>
      <c r="B71" s="23" t="s">
        <v>1609</v>
      </c>
      <c r="C71" s="43">
        <v>1.03</v>
      </c>
      <c r="D71" s="43">
        <v>1.03</v>
      </c>
      <c r="E71" s="103">
        <v>274.38</v>
      </c>
      <c r="F71" s="48">
        <f t="shared" si="6"/>
        <v>137.19</v>
      </c>
      <c r="G71" s="41">
        <f t="shared" si="7"/>
        <v>411.57</v>
      </c>
      <c r="H71" s="53">
        <f t="shared" si="8"/>
        <v>308.67750000000001</v>
      </c>
      <c r="I71" s="54">
        <f t="shared" si="9"/>
        <v>137.19</v>
      </c>
      <c r="J71" s="55">
        <f t="shared" si="10"/>
        <v>548.76</v>
      </c>
      <c r="K71" s="56">
        <f t="shared" si="11"/>
        <v>411.57</v>
      </c>
      <c r="L71" s="181"/>
    </row>
    <row r="72" spans="1:12" x14ac:dyDescent="0.25">
      <c r="A72" s="24" t="s">
        <v>177</v>
      </c>
      <c r="B72" s="23" t="s">
        <v>2241</v>
      </c>
      <c r="C72" s="43">
        <v>1.03</v>
      </c>
      <c r="D72" s="43">
        <v>1.03</v>
      </c>
      <c r="E72" s="103">
        <v>274.38</v>
      </c>
      <c r="F72" s="48">
        <f t="shared" si="6"/>
        <v>137.19</v>
      </c>
      <c r="G72" s="41">
        <f t="shared" si="7"/>
        <v>411.57</v>
      </c>
      <c r="H72" s="53">
        <f t="shared" si="8"/>
        <v>308.67750000000001</v>
      </c>
      <c r="I72" s="54">
        <f t="shared" si="9"/>
        <v>137.19</v>
      </c>
      <c r="J72" s="55">
        <f t="shared" si="10"/>
        <v>548.76</v>
      </c>
      <c r="K72" s="56">
        <f t="shared" si="11"/>
        <v>411.57</v>
      </c>
      <c r="L72" s="181"/>
    </row>
    <row r="73" spans="1:12" x14ac:dyDescent="0.25">
      <c r="A73" s="24" t="s">
        <v>178</v>
      </c>
      <c r="B73" s="23" t="s">
        <v>1422</v>
      </c>
      <c r="C73" s="43">
        <v>2.06</v>
      </c>
      <c r="D73" s="43">
        <v>2.06</v>
      </c>
      <c r="E73" s="103">
        <v>548.76</v>
      </c>
      <c r="F73" s="48">
        <f t="shared" si="6"/>
        <v>274.38</v>
      </c>
      <c r="G73" s="41">
        <f t="shared" si="7"/>
        <v>823.14</v>
      </c>
      <c r="H73" s="53">
        <f t="shared" si="8"/>
        <v>617.35500000000002</v>
      </c>
      <c r="I73" s="54">
        <f t="shared" si="9"/>
        <v>274.38</v>
      </c>
      <c r="J73" s="55">
        <f t="shared" si="10"/>
        <v>1097.52</v>
      </c>
      <c r="K73" s="56">
        <f t="shared" si="11"/>
        <v>823.14</v>
      </c>
      <c r="L73" s="181"/>
    </row>
    <row r="74" spans="1:12" x14ac:dyDescent="0.25">
      <c r="A74" s="24"/>
      <c r="B74" s="23"/>
      <c r="C74" s="23"/>
      <c r="D74" s="23"/>
      <c r="E74" s="103"/>
      <c r="F74" s="48"/>
      <c r="G74" s="41"/>
      <c r="H74" s="53"/>
      <c r="I74" s="54"/>
      <c r="J74" s="55"/>
      <c r="K74" s="56"/>
      <c r="L74" s="181"/>
    </row>
    <row r="75" spans="1:12" x14ac:dyDescent="0.25">
      <c r="A75" s="24" t="s">
        <v>180</v>
      </c>
      <c r="B75" s="23" t="s">
        <v>1785</v>
      </c>
      <c r="C75" s="43">
        <v>2.06</v>
      </c>
      <c r="D75" s="43">
        <v>2.06</v>
      </c>
      <c r="E75" s="103">
        <v>548.76</v>
      </c>
      <c r="F75" s="48">
        <f t="shared" si="6"/>
        <v>274.38</v>
      </c>
      <c r="G75" s="41">
        <f t="shared" si="7"/>
        <v>823.14</v>
      </c>
      <c r="H75" s="53">
        <f t="shared" si="8"/>
        <v>617.35500000000002</v>
      </c>
      <c r="I75" s="54">
        <f t="shared" si="9"/>
        <v>274.38</v>
      </c>
      <c r="J75" s="55">
        <f t="shared" si="10"/>
        <v>1097.52</v>
      </c>
      <c r="K75" s="56">
        <f t="shared" si="11"/>
        <v>823.14</v>
      </c>
      <c r="L75" s="181"/>
    </row>
    <row r="76" spans="1:12" x14ac:dyDescent="0.25">
      <c r="A76" s="24" t="s">
        <v>181</v>
      </c>
      <c r="B76" s="23" t="s">
        <v>1063</v>
      </c>
      <c r="C76" s="43">
        <v>2.06</v>
      </c>
      <c r="D76" s="43">
        <v>2.06</v>
      </c>
      <c r="E76" s="103">
        <v>548.76</v>
      </c>
      <c r="F76" s="48">
        <f t="shared" si="6"/>
        <v>274.38</v>
      </c>
      <c r="G76" s="41">
        <f t="shared" si="7"/>
        <v>823.14</v>
      </c>
      <c r="H76" s="53">
        <f t="shared" si="8"/>
        <v>617.35500000000002</v>
      </c>
      <c r="I76" s="54">
        <f t="shared" si="9"/>
        <v>274.38</v>
      </c>
      <c r="J76" s="55">
        <f t="shared" si="10"/>
        <v>1097.52</v>
      </c>
      <c r="K76" s="56">
        <f t="shared" si="11"/>
        <v>823.14</v>
      </c>
      <c r="L76" s="181"/>
    </row>
    <row r="77" spans="1:12" x14ac:dyDescent="0.25">
      <c r="A77" s="24" t="s">
        <v>182</v>
      </c>
      <c r="B77" s="23" t="s">
        <v>1064</v>
      </c>
      <c r="C77" s="43">
        <v>2.06</v>
      </c>
      <c r="D77" s="43">
        <v>2.06</v>
      </c>
      <c r="E77" s="103">
        <v>548.76</v>
      </c>
      <c r="F77" s="48">
        <f t="shared" si="6"/>
        <v>274.38</v>
      </c>
      <c r="G77" s="41">
        <f t="shared" si="7"/>
        <v>823.14</v>
      </c>
      <c r="H77" s="53">
        <f t="shared" si="8"/>
        <v>617.35500000000002</v>
      </c>
      <c r="I77" s="54">
        <f t="shared" si="9"/>
        <v>274.38</v>
      </c>
      <c r="J77" s="55">
        <f t="shared" si="10"/>
        <v>1097.52</v>
      </c>
      <c r="K77" s="56">
        <f t="shared" si="11"/>
        <v>823.14</v>
      </c>
      <c r="L77" s="181"/>
    </row>
    <row r="78" spans="1:12" x14ac:dyDescent="0.25">
      <c r="A78" s="24" t="s">
        <v>183</v>
      </c>
      <c r="B78" s="23" t="s">
        <v>1417</v>
      </c>
      <c r="C78" s="43">
        <v>2.06</v>
      </c>
      <c r="D78" s="43">
        <v>2.06</v>
      </c>
      <c r="E78" s="103">
        <v>548.76</v>
      </c>
      <c r="F78" s="48">
        <f t="shared" si="6"/>
        <v>274.38</v>
      </c>
      <c r="G78" s="41">
        <f t="shared" si="7"/>
        <v>823.14</v>
      </c>
      <c r="H78" s="53">
        <f t="shared" si="8"/>
        <v>617.35500000000002</v>
      </c>
      <c r="I78" s="54">
        <f t="shared" si="9"/>
        <v>274.38</v>
      </c>
      <c r="J78" s="55">
        <f t="shared" si="10"/>
        <v>1097.52</v>
      </c>
      <c r="K78" s="56">
        <f t="shared" si="11"/>
        <v>823.14</v>
      </c>
      <c r="L78" s="181"/>
    </row>
    <row r="79" spans="1:12" x14ac:dyDescent="0.25">
      <c r="A79" s="24"/>
      <c r="B79" s="23"/>
      <c r="C79" s="23"/>
      <c r="D79" s="23"/>
      <c r="E79" s="103"/>
      <c r="F79" s="48"/>
      <c r="G79" s="41"/>
      <c r="H79" s="53"/>
      <c r="I79" s="54"/>
      <c r="J79" s="55"/>
      <c r="K79" s="56"/>
      <c r="L79" s="181"/>
    </row>
    <row r="80" spans="1:12" x14ac:dyDescent="0.25">
      <c r="A80" s="24" t="s">
        <v>190</v>
      </c>
      <c r="B80" s="23" t="s">
        <v>1065</v>
      </c>
      <c r="C80" s="43">
        <v>2.06</v>
      </c>
      <c r="D80" s="43">
        <v>2.06</v>
      </c>
      <c r="E80" s="103">
        <v>548.76</v>
      </c>
      <c r="F80" s="48">
        <f t="shared" si="6"/>
        <v>274.38</v>
      </c>
      <c r="G80" s="41">
        <f t="shared" si="7"/>
        <v>823.14</v>
      </c>
      <c r="H80" s="53">
        <f t="shared" si="8"/>
        <v>617.35500000000002</v>
      </c>
      <c r="I80" s="54">
        <f t="shared" si="9"/>
        <v>274.38</v>
      </c>
      <c r="J80" s="55">
        <f t="shared" si="10"/>
        <v>1097.52</v>
      </c>
      <c r="K80" s="56">
        <f t="shared" si="11"/>
        <v>823.14</v>
      </c>
      <c r="L80" s="181"/>
    </row>
    <row r="81" spans="1:12" x14ac:dyDescent="0.25">
      <c r="A81" s="24" t="s">
        <v>2188</v>
      </c>
      <c r="B81" s="23" t="s">
        <v>1066</v>
      </c>
      <c r="C81" s="43">
        <v>2.06</v>
      </c>
      <c r="D81" s="43">
        <v>2.06</v>
      </c>
      <c r="E81" s="103">
        <v>548.76</v>
      </c>
      <c r="F81" s="48">
        <f t="shared" si="6"/>
        <v>274.38</v>
      </c>
      <c r="G81" s="41">
        <f t="shared" si="7"/>
        <v>823.14</v>
      </c>
      <c r="H81" s="53">
        <f t="shared" si="8"/>
        <v>617.35500000000002</v>
      </c>
      <c r="I81" s="54">
        <f t="shared" si="9"/>
        <v>274.38</v>
      </c>
      <c r="J81" s="55">
        <f t="shared" si="10"/>
        <v>1097.52</v>
      </c>
      <c r="K81" s="56">
        <f t="shared" si="11"/>
        <v>823.14</v>
      </c>
      <c r="L81" s="181"/>
    </row>
    <row r="82" spans="1:12" x14ac:dyDescent="0.25">
      <c r="A82" s="24" t="s">
        <v>2189</v>
      </c>
      <c r="B82" s="23" t="s">
        <v>2290</v>
      </c>
      <c r="C82" s="43"/>
      <c r="D82" s="43">
        <v>1.03</v>
      </c>
      <c r="E82" s="103">
        <v>274.38</v>
      </c>
      <c r="F82" s="48">
        <f t="shared" si="6"/>
        <v>137.19</v>
      </c>
      <c r="G82" s="41">
        <f t="shared" si="7"/>
        <v>411.57</v>
      </c>
      <c r="H82" s="53">
        <f t="shared" si="8"/>
        <v>308.67750000000001</v>
      </c>
      <c r="I82" s="54">
        <f t="shared" si="9"/>
        <v>137.19</v>
      </c>
      <c r="J82" s="55">
        <v>548.76</v>
      </c>
      <c r="K82" s="56">
        <f t="shared" si="11"/>
        <v>411.57</v>
      </c>
      <c r="L82" s="181"/>
    </row>
    <row r="83" spans="1:12" x14ac:dyDescent="0.25">
      <c r="A83" s="24" t="s">
        <v>192</v>
      </c>
      <c r="B83" s="23" t="s">
        <v>1525</v>
      </c>
      <c r="C83" s="43">
        <v>2.06</v>
      </c>
      <c r="D83" s="43">
        <v>2.06</v>
      </c>
      <c r="E83" s="103">
        <v>548.76</v>
      </c>
      <c r="F83" s="48">
        <f t="shared" si="6"/>
        <v>274.38</v>
      </c>
      <c r="G83" s="41">
        <f t="shared" si="7"/>
        <v>823.14</v>
      </c>
      <c r="H83" s="53">
        <f t="shared" si="8"/>
        <v>617.35500000000002</v>
      </c>
      <c r="I83" s="54">
        <f t="shared" si="9"/>
        <v>274.38</v>
      </c>
      <c r="J83" s="55">
        <f t="shared" si="10"/>
        <v>1097.52</v>
      </c>
      <c r="K83" s="56">
        <f t="shared" si="11"/>
        <v>823.14</v>
      </c>
      <c r="L83" s="181"/>
    </row>
    <row r="84" spans="1:12" x14ac:dyDescent="0.25">
      <c r="A84" s="24" t="s">
        <v>193</v>
      </c>
      <c r="B84" s="23" t="s">
        <v>1526</v>
      </c>
      <c r="C84" s="43">
        <v>2.06</v>
      </c>
      <c r="D84" s="43">
        <v>2.06</v>
      </c>
      <c r="E84" s="103">
        <v>548.76</v>
      </c>
      <c r="F84" s="48">
        <f t="shared" si="6"/>
        <v>274.38</v>
      </c>
      <c r="G84" s="41">
        <f t="shared" si="7"/>
        <v>823.14</v>
      </c>
      <c r="H84" s="53">
        <f t="shared" si="8"/>
        <v>617.35500000000002</v>
      </c>
      <c r="I84" s="54">
        <f t="shared" si="9"/>
        <v>274.38</v>
      </c>
      <c r="J84" s="55">
        <f t="shared" si="10"/>
        <v>1097.52</v>
      </c>
      <c r="K84" s="56">
        <f t="shared" si="11"/>
        <v>823.14</v>
      </c>
      <c r="L84" s="181"/>
    </row>
    <row r="85" spans="1:12" x14ac:dyDescent="0.25">
      <c r="A85" s="24"/>
      <c r="B85" s="23"/>
      <c r="C85" s="23"/>
      <c r="D85" s="23"/>
      <c r="E85" s="103"/>
      <c r="F85" s="48"/>
      <c r="G85" s="41"/>
      <c r="H85" s="53"/>
      <c r="I85" s="54"/>
      <c r="J85" s="55"/>
      <c r="K85" s="56"/>
      <c r="L85" s="181"/>
    </row>
    <row r="86" spans="1:12" x14ac:dyDescent="0.25">
      <c r="A86" s="24" t="s">
        <v>198</v>
      </c>
      <c r="B86" s="23" t="s">
        <v>1067</v>
      </c>
      <c r="C86" s="43">
        <v>2.06</v>
      </c>
      <c r="D86" s="43">
        <v>2.06</v>
      </c>
      <c r="E86" s="103">
        <v>548.76</v>
      </c>
      <c r="F86" s="48">
        <f t="shared" si="6"/>
        <v>274.38</v>
      </c>
      <c r="G86" s="41">
        <f t="shared" si="7"/>
        <v>823.14</v>
      </c>
      <c r="H86" s="53">
        <f t="shared" si="8"/>
        <v>617.35500000000002</v>
      </c>
      <c r="I86" s="54">
        <f t="shared" si="9"/>
        <v>274.38</v>
      </c>
      <c r="J86" s="55">
        <f t="shared" si="10"/>
        <v>1097.52</v>
      </c>
      <c r="K86" s="56">
        <f t="shared" si="11"/>
        <v>823.14</v>
      </c>
      <c r="L86" s="181"/>
    </row>
    <row r="87" spans="1:12" x14ac:dyDescent="0.25">
      <c r="A87" s="24" t="s">
        <v>199</v>
      </c>
      <c r="B87" s="23" t="s">
        <v>1067</v>
      </c>
      <c r="C87" s="43">
        <v>2.06</v>
      </c>
      <c r="D87" s="43">
        <v>2.06</v>
      </c>
      <c r="E87" s="103">
        <v>548.76</v>
      </c>
      <c r="F87" s="48">
        <f t="shared" si="6"/>
        <v>274.38</v>
      </c>
      <c r="G87" s="41">
        <f t="shared" si="7"/>
        <v>823.14</v>
      </c>
      <c r="H87" s="53">
        <f t="shared" si="8"/>
        <v>617.35500000000002</v>
      </c>
      <c r="I87" s="54">
        <f t="shared" si="9"/>
        <v>274.38</v>
      </c>
      <c r="J87" s="55">
        <f t="shared" si="10"/>
        <v>1097.52</v>
      </c>
      <c r="K87" s="56">
        <f t="shared" si="11"/>
        <v>823.14</v>
      </c>
      <c r="L87" s="181"/>
    </row>
    <row r="88" spans="1:12" x14ac:dyDescent="0.25">
      <c r="A88" s="24" t="s">
        <v>200</v>
      </c>
      <c r="B88" s="23" t="s">
        <v>1927</v>
      </c>
      <c r="C88" s="43">
        <v>2.06</v>
      </c>
      <c r="D88" s="43">
        <v>2.06</v>
      </c>
      <c r="E88" s="103">
        <v>548.76</v>
      </c>
      <c r="F88" s="48">
        <f t="shared" si="6"/>
        <v>274.38</v>
      </c>
      <c r="G88" s="41">
        <f t="shared" si="7"/>
        <v>823.14</v>
      </c>
      <c r="H88" s="53">
        <f t="shared" si="8"/>
        <v>617.35500000000002</v>
      </c>
      <c r="I88" s="54">
        <f t="shared" si="9"/>
        <v>274.38</v>
      </c>
      <c r="J88" s="55">
        <f t="shared" si="10"/>
        <v>1097.52</v>
      </c>
      <c r="K88" s="56">
        <f t="shared" si="11"/>
        <v>823.14</v>
      </c>
      <c r="L88" s="181"/>
    </row>
    <row r="89" spans="1:12" x14ac:dyDescent="0.25">
      <c r="A89" s="24" t="s">
        <v>202</v>
      </c>
      <c r="B89" s="23" t="s">
        <v>1782</v>
      </c>
      <c r="C89" s="43">
        <v>2.06</v>
      </c>
      <c r="D89" s="43">
        <v>2.06</v>
      </c>
      <c r="E89" s="103">
        <v>548.76</v>
      </c>
      <c r="F89" s="48">
        <f t="shared" si="6"/>
        <v>274.38</v>
      </c>
      <c r="G89" s="41">
        <f t="shared" si="7"/>
        <v>823.14</v>
      </c>
      <c r="H89" s="53">
        <f t="shared" si="8"/>
        <v>617.35500000000002</v>
      </c>
      <c r="I89" s="54">
        <f t="shared" si="9"/>
        <v>274.38</v>
      </c>
      <c r="J89" s="55">
        <f t="shared" si="10"/>
        <v>1097.52</v>
      </c>
      <c r="K89" s="56">
        <f t="shared" si="11"/>
        <v>823.14</v>
      </c>
      <c r="L89" s="181"/>
    </row>
    <row r="90" spans="1:12" x14ac:dyDescent="0.25">
      <c r="A90" s="24"/>
      <c r="B90" s="23"/>
      <c r="C90" s="23"/>
      <c r="D90" s="23"/>
      <c r="E90" s="103"/>
      <c r="F90" s="48"/>
      <c r="G90" s="41"/>
      <c r="H90" s="53"/>
      <c r="I90" s="54"/>
      <c r="J90" s="55"/>
      <c r="K90" s="56"/>
      <c r="L90" s="181"/>
    </row>
    <row r="91" spans="1:12" x14ac:dyDescent="0.25">
      <c r="A91" s="24" t="s">
        <v>209</v>
      </c>
      <c r="B91" s="23" t="s">
        <v>1068</v>
      </c>
      <c r="C91" s="43">
        <v>2.06</v>
      </c>
      <c r="D91" s="43">
        <v>2.06</v>
      </c>
      <c r="E91" s="103">
        <v>548.76</v>
      </c>
      <c r="F91" s="48">
        <f t="shared" si="6"/>
        <v>274.38</v>
      </c>
      <c r="G91" s="41">
        <f t="shared" si="7"/>
        <v>823.14</v>
      </c>
      <c r="H91" s="53">
        <f t="shared" si="8"/>
        <v>617.35500000000002</v>
      </c>
      <c r="I91" s="54">
        <f t="shared" si="9"/>
        <v>274.38</v>
      </c>
      <c r="J91" s="55">
        <f t="shared" si="10"/>
        <v>1097.52</v>
      </c>
      <c r="K91" s="56">
        <f t="shared" si="11"/>
        <v>823.14</v>
      </c>
      <c r="L91" s="181"/>
    </row>
    <row r="92" spans="1:12" x14ac:dyDescent="0.25">
      <c r="A92" s="24" t="s">
        <v>211</v>
      </c>
      <c r="B92" s="23" t="s">
        <v>1069</v>
      </c>
      <c r="C92" s="43">
        <v>2.06</v>
      </c>
      <c r="D92" s="43">
        <v>2.06</v>
      </c>
      <c r="E92" s="103">
        <v>548.76</v>
      </c>
      <c r="F92" s="48">
        <f t="shared" si="6"/>
        <v>274.38</v>
      </c>
      <c r="G92" s="41">
        <f t="shared" si="7"/>
        <v>823.14</v>
      </c>
      <c r="H92" s="53">
        <f t="shared" si="8"/>
        <v>617.35500000000002</v>
      </c>
      <c r="I92" s="54">
        <f t="shared" si="9"/>
        <v>274.38</v>
      </c>
      <c r="J92" s="55">
        <f t="shared" si="10"/>
        <v>1097.52</v>
      </c>
      <c r="K92" s="56">
        <f t="shared" si="11"/>
        <v>823.14</v>
      </c>
      <c r="L92" s="181"/>
    </row>
    <row r="93" spans="1:12" x14ac:dyDescent="0.25">
      <c r="A93" s="24" t="s">
        <v>212</v>
      </c>
      <c r="B93" s="23" t="s">
        <v>1398</v>
      </c>
      <c r="C93" s="43">
        <v>2.06</v>
      </c>
      <c r="D93" s="43">
        <v>2.06</v>
      </c>
      <c r="E93" s="103">
        <v>548.76</v>
      </c>
      <c r="F93" s="48">
        <f t="shared" si="6"/>
        <v>274.38</v>
      </c>
      <c r="G93" s="41">
        <f t="shared" si="7"/>
        <v>823.14</v>
      </c>
      <c r="H93" s="53">
        <f t="shared" si="8"/>
        <v>617.35500000000002</v>
      </c>
      <c r="I93" s="54">
        <f t="shared" si="9"/>
        <v>274.38</v>
      </c>
      <c r="J93" s="55">
        <f t="shared" si="10"/>
        <v>1097.52</v>
      </c>
      <c r="K93" s="56">
        <f t="shared" si="11"/>
        <v>823.14</v>
      </c>
      <c r="L93" s="181"/>
    </row>
    <row r="94" spans="1:12" x14ac:dyDescent="0.25">
      <c r="A94" s="24" t="s">
        <v>213</v>
      </c>
      <c r="B94" s="23" t="s">
        <v>2153</v>
      </c>
      <c r="C94" s="43">
        <v>2.06</v>
      </c>
      <c r="D94" s="43">
        <v>2.06</v>
      </c>
      <c r="E94" s="103">
        <v>548.76</v>
      </c>
      <c r="F94" s="48">
        <f t="shared" si="6"/>
        <v>274.38</v>
      </c>
      <c r="G94" s="41">
        <f t="shared" si="7"/>
        <v>823.14</v>
      </c>
      <c r="H94" s="53">
        <f t="shared" si="8"/>
        <v>617.35500000000002</v>
      </c>
      <c r="I94" s="54">
        <f t="shared" si="9"/>
        <v>274.38</v>
      </c>
      <c r="J94" s="55">
        <f t="shared" si="10"/>
        <v>1097.52</v>
      </c>
      <c r="K94" s="56">
        <f t="shared" si="11"/>
        <v>823.14</v>
      </c>
      <c r="L94" s="181"/>
    </row>
    <row r="95" spans="1:12" x14ac:dyDescent="0.25">
      <c r="A95" s="24"/>
      <c r="B95" s="23"/>
      <c r="C95" s="23"/>
      <c r="D95" s="23"/>
      <c r="E95" s="103"/>
      <c r="F95" s="48"/>
      <c r="G95" s="41"/>
      <c r="H95" s="53"/>
      <c r="I95" s="54"/>
      <c r="J95" s="55"/>
      <c r="K95" s="56"/>
      <c r="L95" s="181"/>
    </row>
    <row r="96" spans="1:12" x14ac:dyDescent="0.25">
      <c r="A96" s="49" t="s">
        <v>250</v>
      </c>
      <c r="B96" s="50" t="s">
        <v>1065</v>
      </c>
      <c r="C96" s="51">
        <v>2.06</v>
      </c>
      <c r="D96" s="51">
        <v>2.06</v>
      </c>
      <c r="E96" s="116">
        <v>411.57</v>
      </c>
      <c r="F96" s="58">
        <f t="shared" si="6"/>
        <v>205.785</v>
      </c>
      <c r="G96" s="41">
        <f t="shared" si="7"/>
        <v>617.35500000000002</v>
      </c>
      <c r="H96" s="53">
        <f t="shared" si="8"/>
        <v>463.01625000000001</v>
      </c>
      <c r="I96" s="54">
        <f t="shared" si="9"/>
        <v>205.785</v>
      </c>
      <c r="J96" s="55">
        <f t="shared" si="10"/>
        <v>823.14</v>
      </c>
      <c r="K96" s="56">
        <f t="shared" si="11"/>
        <v>617.35500000000002</v>
      </c>
      <c r="L96" s="181"/>
    </row>
    <row r="97" spans="1:12" x14ac:dyDescent="0.25">
      <c r="A97" s="49" t="s">
        <v>251</v>
      </c>
      <c r="B97" s="50" t="s">
        <v>1070</v>
      </c>
      <c r="C97" s="51">
        <v>2.06</v>
      </c>
      <c r="D97" s="51">
        <v>2.06</v>
      </c>
      <c r="E97" s="116">
        <v>548.76</v>
      </c>
      <c r="F97" s="58">
        <f t="shared" si="6"/>
        <v>274.38</v>
      </c>
      <c r="G97" s="41">
        <f t="shared" si="7"/>
        <v>823.14</v>
      </c>
      <c r="H97" s="53">
        <f t="shared" si="8"/>
        <v>617.35500000000002</v>
      </c>
      <c r="I97" s="54">
        <f t="shared" si="9"/>
        <v>274.38</v>
      </c>
      <c r="J97" s="55">
        <f t="shared" si="10"/>
        <v>1097.52</v>
      </c>
      <c r="K97" s="56">
        <f t="shared" si="11"/>
        <v>823.14</v>
      </c>
      <c r="L97" s="181"/>
    </row>
    <row r="98" spans="1:12" x14ac:dyDescent="0.25">
      <c r="A98" s="49" t="s">
        <v>252</v>
      </c>
      <c r="B98" s="50" t="s">
        <v>1065</v>
      </c>
      <c r="C98" s="51">
        <v>1.03</v>
      </c>
      <c r="D98" s="51">
        <v>1.03</v>
      </c>
      <c r="E98" s="116">
        <v>411.57</v>
      </c>
      <c r="F98" s="58">
        <f t="shared" si="6"/>
        <v>205.785</v>
      </c>
      <c r="G98" s="41">
        <f t="shared" si="7"/>
        <v>617.35500000000002</v>
      </c>
      <c r="H98" s="53">
        <f t="shared" si="8"/>
        <v>463.01625000000001</v>
      </c>
      <c r="I98" s="54">
        <f t="shared" si="9"/>
        <v>205.785</v>
      </c>
      <c r="J98" s="55">
        <f t="shared" si="10"/>
        <v>823.14</v>
      </c>
      <c r="K98" s="56">
        <f t="shared" si="11"/>
        <v>617.35500000000002</v>
      </c>
      <c r="L98" s="181"/>
    </row>
    <row r="99" spans="1:12" x14ac:dyDescent="0.25">
      <c r="A99" s="24" t="s">
        <v>253</v>
      </c>
      <c r="B99" s="23" t="s">
        <v>1489</v>
      </c>
      <c r="C99" s="43">
        <v>2.06</v>
      </c>
      <c r="D99" s="43">
        <v>2.06</v>
      </c>
      <c r="E99" s="103">
        <v>548.76</v>
      </c>
      <c r="F99" s="48">
        <f t="shared" si="6"/>
        <v>274.38</v>
      </c>
      <c r="G99" s="41">
        <f t="shared" si="7"/>
        <v>823.14</v>
      </c>
      <c r="H99" s="53">
        <f t="shared" si="8"/>
        <v>617.35500000000002</v>
      </c>
      <c r="I99" s="54">
        <f t="shared" si="9"/>
        <v>274.38</v>
      </c>
      <c r="J99" s="55">
        <f t="shared" si="10"/>
        <v>1097.52</v>
      </c>
      <c r="K99" s="56">
        <f t="shared" si="11"/>
        <v>823.14</v>
      </c>
      <c r="L99" s="181"/>
    </row>
    <row r="100" spans="1:12" x14ac:dyDescent="0.25">
      <c r="A100" s="24" t="s">
        <v>255</v>
      </c>
      <c r="B100" s="23" t="s">
        <v>2178</v>
      </c>
      <c r="C100" s="43">
        <v>2.06</v>
      </c>
      <c r="D100" s="43">
        <v>2.06</v>
      </c>
      <c r="E100" s="103">
        <v>548.76</v>
      </c>
      <c r="F100" s="48">
        <f t="shared" si="6"/>
        <v>274.38</v>
      </c>
      <c r="G100" s="41">
        <f t="shared" si="7"/>
        <v>823.14</v>
      </c>
      <c r="H100" s="53">
        <f t="shared" si="8"/>
        <v>617.35500000000002</v>
      </c>
      <c r="I100" s="54">
        <f t="shared" si="9"/>
        <v>274.38</v>
      </c>
      <c r="J100" s="55">
        <f t="shared" si="10"/>
        <v>1097.52</v>
      </c>
      <c r="K100" s="56">
        <f t="shared" si="11"/>
        <v>823.14</v>
      </c>
      <c r="L100" s="181"/>
    </row>
    <row r="101" spans="1:12" x14ac:dyDescent="0.25">
      <c r="A101" s="24"/>
      <c r="B101" s="23"/>
      <c r="C101" s="23"/>
      <c r="D101" s="23"/>
      <c r="E101" s="103"/>
      <c r="F101" s="48"/>
      <c r="G101" s="41"/>
      <c r="H101" s="53"/>
      <c r="I101" s="54"/>
      <c r="J101" s="55"/>
      <c r="K101" s="56"/>
      <c r="L101" s="181"/>
    </row>
    <row r="102" spans="1:12" x14ac:dyDescent="0.25">
      <c r="A102" s="24" t="s">
        <v>259</v>
      </c>
      <c r="B102" s="23" t="s">
        <v>2293</v>
      </c>
      <c r="C102" s="43">
        <v>2.06</v>
      </c>
      <c r="D102" s="43">
        <v>2.06</v>
      </c>
      <c r="E102" s="103">
        <v>548.76</v>
      </c>
      <c r="F102" s="48">
        <f t="shared" si="6"/>
        <v>274.38</v>
      </c>
      <c r="G102" s="41">
        <f t="shared" si="7"/>
        <v>823.14</v>
      </c>
      <c r="H102" s="53">
        <f t="shared" si="8"/>
        <v>617.35500000000002</v>
      </c>
      <c r="I102" s="54">
        <f t="shared" si="9"/>
        <v>274.38</v>
      </c>
      <c r="J102" s="55">
        <f t="shared" si="10"/>
        <v>1097.52</v>
      </c>
      <c r="K102" s="56">
        <f t="shared" si="11"/>
        <v>823.14</v>
      </c>
      <c r="L102" s="181"/>
    </row>
    <row r="103" spans="1:12" x14ac:dyDescent="0.25">
      <c r="A103" s="24" t="s">
        <v>261</v>
      </c>
      <c r="B103" s="23" t="s">
        <v>2133</v>
      </c>
      <c r="C103" s="43">
        <v>2.06</v>
      </c>
      <c r="D103" s="43">
        <v>2.06</v>
      </c>
      <c r="E103" s="103">
        <v>548.76</v>
      </c>
      <c r="F103" s="48">
        <f t="shared" si="6"/>
        <v>274.38</v>
      </c>
      <c r="G103" s="41">
        <f t="shared" si="7"/>
        <v>823.14</v>
      </c>
      <c r="H103" s="53">
        <f t="shared" si="8"/>
        <v>617.35500000000002</v>
      </c>
      <c r="I103" s="54">
        <f t="shared" si="9"/>
        <v>274.38</v>
      </c>
      <c r="J103" s="55">
        <f t="shared" si="10"/>
        <v>1097.52</v>
      </c>
      <c r="K103" s="56">
        <f t="shared" si="11"/>
        <v>823.14</v>
      </c>
      <c r="L103" s="181"/>
    </row>
    <row r="104" spans="1:12" x14ac:dyDescent="0.25">
      <c r="A104" s="24" t="s">
        <v>266</v>
      </c>
      <c r="B104" s="23" t="s">
        <v>1654</v>
      </c>
      <c r="C104" s="43">
        <v>2.06</v>
      </c>
      <c r="D104" s="43">
        <v>2.06</v>
      </c>
      <c r="E104" s="103">
        <v>548.76</v>
      </c>
      <c r="F104" s="48">
        <f t="shared" si="6"/>
        <v>274.38</v>
      </c>
      <c r="G104" s="41">
        <f t="shared" si="7"/>
        <v>823.14</v>
      </c>
      <c r="H104" s="53">
        <f t="shared" si="8"/>
        <v>617.35500000000002</v>
      </c>
      <c r="I104" s="54">
        <f t="shared" si="9"/>
        <v>274.38</v>
      </c>
      <c r="J104" s="55">
        <f t="shared" si="10"/>
        <v>1097.52</v>
      </c>
      <c r="K104" s="56">
        <f t="shared" si="11"/>
        <v>823.14</v>
      </c>
      <c r="L104" s="181"/>
    </row>
    <row r="105" spans="1:12" x14ac:dyDescent="0.25">
      <c r="A105" s="24" t="s">
        <v>268</v>
      </c>
      <c r="B105" s="23" t="s">
        <v>1070</v>
      </c>
      <c r="C105" s="43">
        <v>1.03</v>
      </c>
      <c r="D105" s="43">
        <v>1.03</v>
      </c>
      <c r="E105" s="103">
        <v>274.38</v>
      </c>
      <c r="F105" s="48">
        <f t="shared" si="6"/>
        <v>137.19</v>
      </c>
      <c r="G105" s="41">
        <f t="shared" si="7"/>
        <v>411.57</v>
      </c>
      <c r="H105" s="53">
        <f t="shared" si="8"/>
        <v>308.67750000000001</v>
      </c>
      <c r="I105" s="54">
        <f t="shared" si="9"/>
        <v>137.19</v>
      </c>
      <c r="J105" s="55">
        <f t="shared" si="10"/>
        <v>548.76</v>
      </c>
      <c r="K105" s="56">
        <f t="shared" si="11"/>
        <v>411.57</v>
      </c>
      <c r="L105" s="181"/>
    </row>
    <row r="106" spans="1:12" x14ac:dyDescent="0.25">
      <c r="A106" s="24" t="s">
        <v>269</v>
      </c>
      <c r="B106" s="23" t="s">
        <v>1603</v>
      </c>
      <c r="C106" s="43">
        <v>2.06</v>
      </c>
      <c r="D106" s="43">
        <v>2.06</v>
      </c>
      <c r="E106" s="103">
        <v>548.76</v>
      </c>
      <c r="F106" s="48">
        <f t="shared" si="6"/>
        <v>274.38</v>
      </c>
      <c r="G106" s="41">
        <f t="shared" si="7"/>
        <v>823.14</v>
      </c>
      <c r="H106" s="53">
        <f t="shared" si="8"/>
        <v>617.35500000000002</v>
      </c>
      <c r="I106" s="54">
        <f t="shared" si="9"/>
        <v>274.38</v>
      </c>
      <c r="J106" s="55">
        <f t="shared" si="10"/>
        <v>1097.52</v>
      </c>
      <c r="K106" s="56">
        <f t="shared" si="11"/>
        <v>823.14</v>
      </c>
      <c r="L106" s="181"/>
    </row>
    <row r="107" spans="1:12" x14ac:dyDescent="0.25">
      <c r="A107" s="24" t="s">
        <v>270</v>
      </c>
      <c r="B107" s="23" t="s">
        <v>1068</v>
      </c>
      <c r="C107" s="105">
        <v>2.06</v>
      </c>
      <c r="D107" s="105">
        <v>2.06</v>
      </c>
      <c r="E107" s="103">
        <v>548.76</v>
      </c>
      <c r="F107" s="48">
        <f t="shared" si="6"/>
        <v>274.38</v>
      </c>
      <c r="G107" s="41">
        <f t="shared" si="7"/>
        <v>823.14</v>
      </c>
      <c r="H107" s="53">
        <f t="shared" si="8"/>
        <v>617.35500000000002</v>
      </c>
      <c r="I107" s="54">
        <f t="shared" si="9"/>
        <v>274.38</v>
      </c>
      <c r="J107" s="55">
        <f t="shared" si="10"/>
        <v>1097.52</v>
      </c>
      <c r="K107" s="56">
        <f t="shared" si="11"/>
        <v>823.14</v>
      </c>
      <c r="L107" s="181"/>
    </row>
    <row r="108" spans="1:12" x14ac:dyDescent="0.25">
      <c r="A108" s="24"/>
      <c r="B108" s="23"/>
      <c r="C108" s="23"/>
      <c r="D108" s="23"/>
      <c r="E108" s="103"/>
      <c r="F108" s="48"/>
      <c r="G108" s="41"/>
      <c r="H108" s="53"/>
      <c r="I108" s="54"/>
      <c r="J108" s="55"/>
      <c r="K108" s="56"/>
      <c r="L108" s="181"/>
    </row>
    <row r="109" spans="1:12" x14ac:dyDescent="0.25">
      <c r="A109" s="24" t="s">
        <v>281</v>
      </c>
      <c r="B109" s="23" t="s">
        <v>1738</v>
      </c>
      <c r="C109" s="43">
        <v>2.06</v>
      </c>
      <c r="D109" s="43">
        <v>2.06</v>
      </c>
      <c r="E109" s="103">
        <v>548.76</v>
      </c>
      <c r="F109" s="48">
        <f t="shared" si="6"/>
        <v>274.38</v>
      </c>
      <c r="G109" s="41">
        <f t="shared" si="7"/>
        <v>823.14</v>
      </c>
      <c r="H109" s="53">
        <f t="shared" si="8"/>
        <v>617.35500000000002</v>
      </c>
      <c r="I109" s="54">
        <f t="shared" si="9"/>
        <v>274.38</v>
      </c>
      <c r="J109" s="55">
        <f t="shared" si="10"/>
        <v>1097.52</v>
      </c>
      <c r="K109" s="56">
        <f t="shared" si="11"/>
        <v>823.14</v>
      </c>
      <c r="L109" s="181"/>
    </row>
    <row r="110" spans="1:12" x14ac:dyDescent="0.25">
      <c r="A110" s="24" t="s">
        <v>282</v>
      </c>
      <c r="B110" s="23" t="s">
        <v>1440</v>
      </c>
      <c r="C110" s="43">
        <v>2.06</v>
      </c>
      <c r="D110" s="43">
        <v>2.06</v>
      </c>
      <c r="E110" s="103">
        <v>548.76</v>
      </c>
      <c r="F110" s="48">
        <f t="shared" si="6"/>
        <v>274.38</v>
      </c>
      <c r="G110" s="41">
        <f t="shared" si="7"/>
        <v>823.14</v>
      </c>
      <c r="H110" s="53">
        <f t="shared" si="8"/>
        <v>617.35500000000002</v>
      </c>
      <c r="I110" s="54">
        <f t="shared" si="9"/>
        <v>274.38</v>
      </c>
      <c r="J110" s="55">
        <f t="shared" si="10"/>
        <v>1097.52</v>
      </c>
      <c r="K110" s="56">
        <f t="shared" si="11"/>
        <v>823.14</v>
      </c>
      <c r="L110" s="181"/>
    </row>
    <row r="111" spans="1:12" x14ac:dyDescent="0.25">
      <c r="A111" s="24" t="s">
        <v>284</v>
      </c>
      <c r="B111" s="23" t="s">
        <v>1057</v>
      </c>
      <c r="C111" s="43">
        <v>2.06</v>
      </c>
      <c r="D111" s="43">
        <v>2.06</v>
      </c>
      <c r="E111" s="103">
        <v>548.76</v>
      </c>
      <c r="F111" s="48">
        <f t="shared" si="6"/>
        <v>274.38</v>
      </c>
      <c r="G111" s="41">
        <f t="shared" si="7"/>
        <v>823.14</v>
      </c>
      <c r="H111" s="53">
        <f t="shared" si="8"/>
        <v>617.35500000000002</v>
      </c>
      <c r="I111" s="54">
        <f t="shared" si="9"/>
        <v>274.38</v>
      </c>
      <c r="J111" s="55">
        <f t="shared" si="10"/>
        <v>1097.52</v>
      </c>
      <c r="K111" s="56">
        <f t="shared" si="11"/>
        <v>823.14</v>
      </c>
      <c r="L111" s="181"/>
    </row>
    <row r="112" spans="1:12" x14ac:dyDescent="0.25">
      <c r="A112" s="24" t="s">
        <v>286</v>
      </c>
      <c r="B112" s="23" t="s">
        <v>1566</v>
      </c>
      <c r="C112" s="43">
        <v>2.06</v>
      </c>
      <c r="D112" s="43">
        <v>2.06</v>
      </c>
      <c r="E112" s="103">
        <v>548.76</v>
      </c>
      <c r="F112" s="48">
        <f t="shared" si="6"/>
        <v>274.38</v>
      </c>
      <c r="G112" s="41">
        <f t="shared" si="7"/>
        <v>823.14</v>
      </c>
      <c r="H112" s="53">
        <f t="shared" si="8"/>
        <v>617.35500000000002</v>
      </c>
      <c r="I112" s="54">
        <f t="shared" si="9"/>
        <v>274.38</v>
      </c>
      <c r="J112" s="55">
        <f t="shared" si="10"/>
        <v>1097.52</v>
      </c>
      <c r="K112" s="56">
        <f t="shared" si="11"/>
        <v>823.14</v>
      </c>
      <c r="L112" s="181"/>
    </row>
    <row r="113" spans="1:12" x14ac:dyDescent="0.25">
      <c r="A113" s="24"/>
      <c r="B113" s="23"/>
      <c r="C113" s="23"/>
      <c r="D113" s="23"/>
      <c r="E113" s="103"/>
      <c r="F113" s="48"/>
      <c r="G113" s="41"/>
      <c r="H113" s="53"/>
      <c r="I113" s="54"/>
      <c r="J113" s="55"/>
      <c r="K113" s="56"/>
      <c r="L113" s="181"/>
    </row>
    <row r="114" spans="1:12" x14ac:dyDescent="0.25">
      <c r="A114" s="24" t="s">
        <v>294</v>
      </c>
      <c r="B114" s="23" t="s">
        <v>1406</v>
      </c>
      <c r="C114" s="43">
        <v>2.06</v>
      </c>
      <c r="D114" s="43">
        <v>2.06</v>
      </c>
      <c r="E114" s="103">
        <v>548.76</v>
      </c>
      <c r="F114" s="48">
        <f t="shared" si="6"/>
        <v>274.38</v>
      </c>
      <c r="G114" s="41">
        <f t="shared" si="7"/>
        <v>823.14</v>
      </c>
      <c r="H114" s="53">
        <f t="shared" si="8"/>
        <v>617.35500000000002</v>
      </c>
      <c r="I114" s="54">
        <f t="shared" si="9"/>
        <v>274.38</v>
      </c>
      <c r="J114" s="55">
        <f t="shared" si="10"/>
        <v>1097.52</v>
      </c>
      <c r="K114" s="56">
        <f t="shared" si="11"/>
        <v>823.14</v>
      </c>
      <c r="L114" s="181"/>
    </row>
    <row r="115" spans="1:12" s="2" customFormat="1" x14ac:dyDescent="0.25">
      <c r="A115" s="24" t="s">
        <v>297</v>
      </c>
      <c r="B115" s="23" t="s">
        <v>2110</v>
      </c>
      <c r="C115" s="43">
        <v>2.06</v>
      </c>
      <c r="D115" s="43">
        <v>2.06</v>
      </c>
      <c r="E115" s="103">
        <v>548.76</v>
      </c>
      <c r="F115" s="48">
        <f t="shared" si="6"/>
        <v>274.38</v>
      </c>
      <c r="G115" s="41">
        <f t="shared" si="7"/>
        <v>823.14</v>
      </c>
      <c r="H115" s="53">
        <f t="shared" si="8"/>
        <v>617.35500000000002</v>
      </c>
      <c r="I115" s="54">
        <f t="shared" si="9"/>
        <v>274.38</v>
      </c>
      <c r="J115" s="55">
        <f t="shared" si="10"/>
        <v>1097.52</v>
      </c>
      <c r="K115" s="56">
        <f t="shared" si="11"/>
        <v>823.14</v>
      </c>
      <c r="L115" s="188"/>
    </row>
    <row r="116" spans="1:12" s="8" customFormat="1" x14ac:dyDescent="0.25">
      <c r="A116" s="24" t="s">
        <v>298</v>
      </c>
      <c r="B116" s="23" t="s">
        <v>1071</v>
      </c>
      <c r="C116" s="43">
        <v>2.06</v>
      </c>
      <c r="D116" s="43">
        <v>2.06</v>
      </c>
      <c r="E116" s="103">
        <v>548.76</v>
      </c>
      <c r="F116" s="48">
        <f t="shared" si="6"/>
        <v>274.38</v>
      </c>
      <c r="G116" s="41">
        <f t="shared" si="7"/>
        <v>823.14</v>
      </c>
      <c r="H116" s="53">
        <f t="shared" si="8"/>
        <v>617.35500000000002</v>
      </c>
      <c r="I116" s="54">
        <f t="shared" si="9"/>
        <v>274.38</v>
      </c>
      <c r="J116" s="55">
        <f t="shared" si="10"/>
        <v>1097.52</v>
      </c>
      <c r="K116" s="56">
        <f t="shared" si="11"/>
        <v>823.14</v>
      </c>
      <c r="L116" s="189"/>
    </row>
    <row r="117" spans="1:12" x14ac:dyDescent="0.25">
      <c r="A117" s="24"/>
      <c r="B117" s="60"/>
      <c r="C117" s="61"/>
      <c r="D117" s="61"/>
      <c r="E117" s="129"/>
      <c r="F117" s="48"/>
      <c r="G117" s="41"/>
      <c r="H117" s="53"/>
      <c r="I117" s="54"/>
      <c r="J117" s="55"/>
      <c r="K117" s="56"/>
      <c r="L117" s="181"/>
    </row>
    <row r="118" spans="1:12" x14ac:dyDescent="0.25">
      <c r="A118" s="24" t="s">
        <v>307</v>
      </c>
      <c r="B118" s="23" t="s">
        <v>1062</v>
      </c>
      <c r="C118" s="43">
        <v>2.06</v>
      </c>
      <c r="D118" s="43">
        <v>2.06</v>
      </c>
      <c r="E118" s="103">
        <v>548.76</v>
      </c>
      <c r="F118" s="48">
        <f t="shared" si="6"/>
        <v>274.38</v>
      </c>
      <c r="G118" s="41">
        <f t="shared" si="7"/>
        <v>823.14</v>
      </c>
      <c r="H118" s="53">
        <f t="shared" si="8"/>
        <v>617.35500000000002</v>
      </c>
      <c r="I118" s="54">
        <f t="shared" si="9"/>
        <v>274.38</v>
      </c>
      <c r="J118" s="55">
        <f t="shared" si="10"/>
        <v>1097.52</v>
      </c>
      <c r="K118" s="56">
        <f t="shared" si="11"/>
        <v>823.14</v>
      </c>
      <c r="L118" s="181"/>
    </row>
    <row r="119" spans="1:12" x14ac:dyDescent="0.25">
      <c r="A119" s="24" t="s">
        <v>309</v>
      </c>
      <c r="B119" s="23" t="s">
        <v>1947</v>
      </c>
      <c r="C119" s="43">
        <v>2.06</v>
      </c>
      <c r="D119" s="43">
        <v>2.06</v>
      </c>
      <c r="E119" s="103">
        <v>548.76</v>
      </c>
      <c r="F119" s="48">
        <f t="shared" si="6"/>
        <v>274.38</v>
      </c>
      <c r="G119" s="41">
        <f t="shared" si="7"/>
        <v>823.14</v>
      </c>
      <c r="H119" s="53">
        <f t="shared" si="8"/>
        <v>617.35500000000002</v>
      </c>
      <c r="I119" s="54">
        <f t="shared" si="9"/>
        <v>274.38</v>
      </c>
      <c r="J119" s="55">
        <f t="shared" si="10"/>
        <v>1097.52</v>
      </c>
      <c r="K119" s="56">
        <f t="shared" si="11"/>
        <v>823.14</v>
      </c>
      <c r="L119" s="181"/>
    </row>
    <row r="120" spans="1:12" x14ac:dyDescent="0.25">
      <c r="A120" s="24"/>
      <c r="B120" s="37"/>
      <c r="C120" s="37"/>
      <c r="D120" s="37"/>
      <c r="E120" s="103"/>
      <c r="F120" s="48"/>
      <c r="G120" s="41"/>
      <c r="H120" s="53"/>
      <c r="I120" s="54"/>
      <c r="J120" s="55"/>
      <c r="K120" s="56"/>
      <c r="L120" s="181"/>
    </row>
    <row r="121" spans="1:12" x14ac:dyDescent="0.25">
      <c r="A121" s="24" t="s">
        <v>330</v>
      </c>
      <c r="B121" s="23" t="s">
        <v>1051</v>
      </c>
      <c r="C121" s="43">
        <v>2.06</v>
      </c>
      <c r="D121" s="43">
        <v>2.06</v>
      </c>
      <c r="E121" s="103">
        <v>548.76</v>
      </c>
      <c r="F121" s="48">
        <f t="shared" si="6"/>
        <v>274.38</v>
      </c>
      <c r="G121" s="41">
        <f t="shared" si="7"/>
        <v>823.14</v>
      </c>
      <c r="H121" s="53">
        <f t="shared" si="8"/>
        <v>617.35500000000002</v>
      </c>
      <c r="I121" s="54">
        <f t="shared" si="9"/>
        <v>274.38</v>
      </c>
      <c r="J121" s="55">
        <f t="shared" si="10"/>
        <v>1097.52</v>
      </c>
      <c r="K121" s="56">
        <f t="shared" si="11"/>
        <v>823.14</v>
      </c>
      <c r="L121" s="181"/>
    </row>
    <row r="122" spans="1:12" x14ac:dyDescent="0.25">
      <c r="A122" s="24" t="s">
        <v>331</v>
      </c>
      <c r="B122" s="23" t="s">
        <v>1051</v>
      </c>
      <c r="C122" s="43">
        <v>2.06</v>
      </c>
      <c r="D122" s="43">
        <v>2.06</v>
      </c>
      <c r="E122" s="103">
        <v>548.76</v>
      </c>
      <c r="F122" s="48">
        <f t="shared" si="6"/>
        <v>274.38</v>
      </c>
      <c r="G122" s="41">
        <f t="shared" si="7"/>
        <v>823.14</v>
      </c>
      <c r="H122" s="53">
        <f t="shared" si="8"/>
        <v>617.35500000000002</v>
      </c>
      <c r="I122" s="54">
        <f t="shared" si="9"/>
        <v>274.38</v>
      </c>
      <c r="J122" s="55">
        <f t="shared" si="10"/>
        <v>1097.52</v>
      </c>
      <c r="K122" s="56">
        <f t="shared" si="11"/>
        <v>823.14</v>
      </c>
      <c r="L122" s="181"/>
    </row>
    <row r="123" spans="1:12" x14ac:dyDescent="0.25">
      <c r="A123" s="24"/>
      <c r="B123" s="23"/>
      <c r="C123" s="23"/>
      <c r="D123" s="23"/>
      <c r="E123" s="103"/>
      <c r="F123" s="48"/>
      <c r="G123" s="41"/>
      <c r="H123" s="53"/>
      <c r="I123" s="54"/>
      <c r="J123" s="55"/>
      <c r="K123" s="56"/>
      <c r="L123" s="181"/>
    </row>
    <row r="124" spans="1:12" x14ac:dyDescent="0.25">
      <c r="A124" s="24" t="s">
        <v>337</v>
      </c>
      <c r="B124" s="23" t="s">
        <v>1072</v>
      </c>
      <c r="C124" s="43">
        <v>2.06</v>
      </c>
      <c r="D124" s="43">
        <v>2.06</v>
      </c>
      <c r="E124" s="103">
        <v>548.76</v>
      </c>
      <c r="F124" s="48">
        <f t="shared" si="6"/>
        <v>274.38</v>
      </c>
      <c r="G124" s="41">
        <f t="shared" si="7"/>
        <v>823.14</v>
      </c>
      <c r="H124" s="53">
        <f t="shared" si="8"/>
        <v>617.35500000000002</v>
      </c>
      <c r="I124" s="54">
        <f t="shared" si="9"/>
        <v>274.38</v>
      </c>
      <c r="J124" s="55">
        <f t="shared" si="10"/>
        <v>1097.52</v>
      </c>
      <c r="K124" s="56">
        <f t="shared" si="11"/>
        <v>823.14</v>
      </c>
      <c r="L124" s="181"/>
    </row>
    <row r="125" spans="1:12" x14ac:dyDescent="0.25">
      <c r="A125" s="24" t="s">
        <v>339</v>
      </c>
      <c r="B125" s="23" t="s">
        <v>2178</v>
      </c>
      <c r="C125" s="43">
        <v>2.06</v>
      </c>
      <c r="D125" s="43">
        <v>2.06</v>
      </c>
      <c r="E125" s="103">
        <v>548.76</v>
      </c>
      <c r="F125" s="48">
        <f t="shared" si="6"/>
        <v>274.38</v>
      </c>
      <c r="G125" s="41">
        <f t="shared" si="7"/>
        <v>823.14</v>
      </c>
      <c r="H125" s="53">
        <f t="shared" si="8"/>
        <v>617.35500000000002</v>
      </c>
      <c r="I125" s="54">
        <f t="shared" si="9"/>
        <v>274.38</v>
      </c>
      <c r="J125" s="55">
        <f t="shared" si="10"/>
        <v>1097.52</v>
      </c>
      <c r="K125" s="56">
        <f t="shared" si="11"/>
        <v>823.14</v>
      </c>
      <c r="L125" s="181"/>
    </row>
    <row r="126" spans="1:12" x14ac:dyDescent="0.25">
      <c r="A126" s="24" t="s">
        <v>340</v>
      </c>
      <c r="B126" s="23" t="s">
        <v>2264</v>
      </c>
      <c r="C126" s="43">
        <v>2.06</v>
      </c>
      <c r="D126" s="43">
        <v>2.06</v>
      </c>
      <c r="E126" s="103">
        <v>548.76</v>
      </c>
      <c r="F126" s="48">
        <f t="shared" ref="F126:F141" si="12">E126*50%</f>
        <v>274.38</v>
      </c>
      <c r="G126" s="41">
        <f t="shared" ref="G126:G141" si="13">E126+F126</f>
        <v>823.14</v>
      </c>
      <c r="H126" s="53">
        <f t="shared" ref="H126:H141" si="14">G126-(G126*25%)</f>
        <v>617.35500000000002</v>
      </c>
      <c r="I126" s="54">
        <f t="shared" ref="I126:I141" si="15">E126*50%</f>
        <v>274.38</v>
      </c>
      <c r="J126" s="55">
        <f t="shared" ref="J126:J141" si="16">E126+(I126*2)</f>
        <v>1097.52</v>
      </c>
      <c r="K126" s="56">
        <f t="shared" ref="K126:K141" si="17">J126-(J126*25%)</f>
        <v>823.14</v>
      </c>
      <c r="L126" s="181"/>
    </row>
    <row r="127" spans="1:12" x14ac:dyDescent="0.25">
      <c r="A127" s="24" t="s">
        <v>341</v>
      </c>
      <c r="B127" s="23" t="s">
        <v>2202</v>
      </c>
      <c r="C127" s="43">
        <v>2.06</v>
      </c>
      <c r="D127" s="43">
        <v>2.06</v>
      </c>
      <c r="E127" s="103">
        <v>548.76</v>
      </c>
      <c r="F127" s="48">
        <f t="shared" si="12"/>
        <v>274.38</v>
      </c>
      <c r="G127" s="41">
        <f t="shared" si="13"/>
        <v>823.14</v>
      </c>
      <c r="H127" s="53">
        <f t="shared" si="14"/>
        <v>617.35500000000002</v>
      </c>
      <c r="I127" s="54">
        <f t="shared" si="15"/>
        <v>274.38</v>
      </c>
      <c r="J127" s="55">
        <f t="shared" si="16"/>
        <v>1097.52</v>
      </c>
      <c r="K127" s="56">
        <f t="shared" si="17"/>
        <v>823.14</v>
      </c>
      <c r="L127" s="181"/>
    </row>
    <row r="128" spans="1:12" x14ac:dyDescent="0.25">
      <c r="A128" s="24"/>
      <c r="B128" s="23"/>
      <c r="C128" s="23"/>
      <c r="D128" s="23"/>
      <c r="E128" s="103"/>
      <c r="F128" s="48"/>
      <c r="G128" s="41"/>
      <c r="H128" s="53"/>
      <c r="I128" s="54"/>
      <c r="J128" s="55"/>
      <c r="K128" s="56"/>
      <c r="L128" s="181"/>
    </row>
    <row r="129" spans="1:12" x14ac:dyDescent="0.25">
      <c r="A129" s="24" t="s">
        <v>346</v>
      </c>
      <c r="B129" s="23" t="s">
        <v>1073</v>
      </c>
      <c r="C129" s="43">
        <v>2.06</v>
      </c>
      <c r="D129" s="43">
        <v>2.06</v>
      </c>
      <c r="E129" s="103">
        <v>548.76</v>
      </c>
      <c r="F129" s="48">
        <f t="shared" si="12"/>
        <v>274.38</v>
      </c>
      <c r="G129" s="41">
        <f t="shared" si="13"/>
        <v>823.14</v>
      </c>
      <c r="H129" s="53">
        <f t="shared" si="14"/>
        <v>617.35500000000002</v>
      </c>
      <c r="I129" s="54">
        <f t="shared" si="15"/>
        <v>274.38</v>
      </c>
      <c r="J129" s="55">
        <f t="shared" si="16"/>
        <v>1097.52</v>
      </c>
      <c r="K129" s="56">
        <f t="shared" si="17"/>
        <v>823.14</v>
      </c>
      <c r="L129" s="181"/>
    </row>
    <row r="130" spans="1:12" x14ac:dyDescent="0.25">
      <c r="A130" s="24" t="s">
        <v>348</v>
      </c>
      <c r="B130" s="23" t="s">
        <v>1690</v>
      </c>
      <c r="C130" s="43">
        <v>2.06</v>
      </c>
      <c r="D130" s="43">
        <v>2.06</v>
      </c>
      <c r="E130" s="103">
        <v>548.76</v>
      </c>
      <c r="F130" s="48">
        <f t="shared" si="12"/>
        <v>274.38</v>
      </c>
      <c r="G130" s="41">
        <f t="shared" si="13"/>
        <v>823.14</v>
      </c>
      <c r="H130" s="53">
        <f t="shared" si="14"/>
        <v>617.35500000000002</v>
      </c>
      <c r="I130" s="54">
        <f t="shared" si="15"/>
        <v>274.38</v>
      </c>
      <c r="J130" s="55">
        <f t="shared" si="16"/>
        <v>1097.52</v>
      </c>
      <c r="K130" s="56">
        <f t="shared" si="17"/>
        <v>823.14</v>
      </c>
      <c r="L130" s="181"/>
    </row>
    <row r="131" spans="1:12" x14ac:dyDescent="0.25">
      <c r="A131" s="24" t="s">
        <v>349</v>
      </c>
      <c r="B131" s="23" t="s">
        <v>2278</v>
      </c>
      <c r="C131" s="43">
        <v>2.06</v>
      </c>
      <c r="D131" s="43">
        <v>2.06</v>
      </c>
      <c r="E131" s="103">
        <v>548.76</v>
      </c>
      <c r="F131" s="48">
        <f t="shared" si="12"/>
        <v>274.38</v>
      </c>
      <c r="G131" s="41">
        <f t="shared" si="13"/>
        <v>823.14</v>
      </c>
      <c r="H131" s="53">
        <f t="shared" si="14"/>
        <v>617.35500000000002</v>
      </c>
      <c r="I131" s="54">
        <f t="shared" si="15"/>
        <v>274.38</v>
      </c>
      <c r="J131" s="55">
        <f t="shared" si="16"/>
        <v>1097.52</v>
      </c>
      <c r="K131" s="56">
        <f t="shared" si="17"/>
        <v>823.14</v>
      </c>
      <c r="L131" s="181"/>
    </row>
    <row r="132" spans="1:12" x14ac:dyDescent="0.25">
      <c r="A132" s="24" t="s">
        <v>350</v>
      </c>
      <c r="B132" s="23" t="s">
        <v>1074</v>
      </c>
      <c r="C132" s="43">
        <v>2.06</v>
      </c>
      <c r="D132" s="43">
        <v>2.06</v>
      </c>
      <c r="E132" s="103">
        <v>548.76</v>
      </c>
      <c r="F132" s="48">
        <f t="shared" si="12"/>
        <v>274.38</v>
      </c>
      <c r="G132" s="41">
        <f t="shared" si="13"/>
        <v>823.14</v>
      </c>
      <c r="H132" s="53">
        <f t="shared" si="14"/>
        <v>617.35500000000002</v>
      </c>
      <c r="I132" s="54">
        <f t="shared" si="15"/>
        <v>274.38</v>
      </c>
      <c r="J132" s="55">
        <f t="shared" si="16"/>
        <v>1097.52</v>
      </c>
      <c r="K132" s="56">
        <f t="shared" si="17"/>
        <v>823.14</v>
      </c>
      <c r="L132" s="181"/>
    </row>
    <row r="133" spans="1:12" x14ac:dyDescent="0.25">
      <c r="A133" s="24"/>
      <c r="B133" s="37"/>
      <c r="C133" s="37"/>
      <c r="D133" s="37"/>
      <c r="E133" s="143"/>
      <c r="F133" s="48"/>
      <c r="G133" s="41"/>
      <c r="H133" s="53"/>
      <c r="I133" s="54"/>
      <c r="J133" s="55"/>
      <c r="K133" s="56"/>
      <c r="L133" s="181"/>
    </row>
    <row r="134" spans="1:12" x14ac:dyDescent="0.25">
      <c r="A134" s="24" t="s">
        <v>355</v>
      </c>
      <c r="B134" s="23" t="s">
        <v>2135</v>
      </c>
      <c r="C134" s="43">
        <v>2.06</v>
      </c>
      <c r="D134" s="43">
        <v>2.06</v>
      </c>
      <c r="E134" s="103">
        <v>548.76</v>
      </c>
      <c r="F134" s="48">
        <f t="shared" si="12"/>
        <v>274.38</v>
      </c>
      <c r="G134" s="41">
        <f t="shared" si="13"/>
        <v>823.14</v>
      </c>
      <c r="H134" s="53">
        <f t="shared" si="14"/>
        <v>617.35500000000002</v>
      </c>
      <c r="I134" s="54">
        <f t="shared" si="15"/>
        <v>274.38</v>
      </c>
      <c r="J134" s="55">
        <f t="shared" si="16"/>
        <v>1097.52</v>
      </c>
      <c r="K134" s="56">
        <f t="shared" si="17"/>
        <v>823.14</v>
      </c>
      <c r="L134" s="181"/>
    </row>
    <row r="135" spans="1:12" x14ac:dyDescent="0.25">
      <c r="A135" s="24"/>
      <c r="B135" s="37"/>
      <c r="C135" s="37"/>
      <c r="D135" s="37"/>
      <c r="E135" s="103"/>
      <c r="F135" s="48"/>
      <c r="G135" s="41"/>
      <c r="H135" s="53"/>
      <c r="I135" s="54"/>
      <c r="J135" s="55"/>
      <c r="K135" s="56"/>
      <c r="L135" s="181"/>
    </row>
    <row r="136" spans="1:12" x14ac:dyDescent="0.25">
      <c r="A136" s="24" t="s">
        <v>365</v>
      </c>
      <c r="B136" s="23" t="s">
        <v>1075</v>
      </c>
      <c r="C136" s="43">
        <v>2.06</v>
      </c>
      <c r="D136" s="43">
        <v>2.06</v>
      </c>
      <c r="E136" s="103">
        <v>548.76</v>
      </c>
      <c r="F136" s="48">
        <f t="shared" si="12"/>
        <v>274.38</v>
      </c>
      <c r="G136" s="41">
        <f t="shared" si="13"/>
        <v>823.14</v>
      </c>
      <c r="H136" s="53">
        <f t="shared" si="14"/>
        <v>617.35500000000002</v>
      </c>
      <c r="I136" s="54">
        <f t="shared" si="15"/>
        <v>274.38</v>
      </c>
      <c r="J136" s="55">
        <f t="shared" si="16"/>
        <v>1097.52</v>
      </c>
      <c r="K136" s="56">
        <f t="shared" si="17"/>
        <v>823.14</v>
      </c>
      <c r="L136" s="181"/>
    </row>
    <row r="137" spans="1:12" x14ac:dyDescent="0.25">
      <c r="A137" s="24" t="s">
        <v>366</v>
      </c>
      <c r="B137" s="23" t="s">
        <v>1075</v>
      </c>
      <c r="C137" s="43">
        <v>2.06</v>
      </c>
      <c r="D137" s="43">
        <v>2.06</v>
      </c>
      <c r="E137" s="103">
        <v>548.76</v>
      </c>
      <c r="F137" s="48">
        <f t="shared" si="12"/>
        <v>274.38</v>
      </c>
      <c r="G137" s="41">
        <f t="shared" si="13"/>
        <v>823.14</v>
      </c>
      <c r="H137" s="53">
        <f t="shared" si="14"/>
        <v>617.35500000000002</v>
      </c>
      <c r="I137" s="54">
        <f t="shared" si="15"/>
        <v>274.38</v>
      </c>
      <c r="J137" s="55">
        <f t="shared" si="16"/>
        <v>1097.52</v>
      </c>
      <c r="K137" s="56">
        <f t="shared" si="17"/>
        <v>823.14</v>
      </c>
      <c r="L137" s="181"/>
    </row>
    <row r="138" spans="1:12" x14ac:dyDescent="0.25">
      <c r="A138" s="24"/>
      <c r="B138" s="37"/>
      <c r="C138" s="37"/>
      <c r="D138" s="37"/>
      <c r="E138" s="103"/>
      <c r="F138" s="48"/>
      <c r="G138" s="41"/>
      <c r="H138" s="53"/>
      <c r="I138" s="54"/>
      <c r="J138" s="55"/>
      <c r="K138" s="56"/>
      <c r="L138" s="181"/>
    </row>
    <row r="139" spans="1:12" x14ac:dyDescent="0.25">
      <c r="A139" s="24" t="s">
        <v>375</v>
      </c>
      <c r="B139" s="23" t="s">
        <v>1076</v>
      </c>
      <c r="C139" s="43">
        <v>2.06</v>
      </c>
      <c r="D139" s="43">
        <v>2.06</v>
      </c>
      <c r="E139" s="103">
        <v>548.76</v>
      </c>
      <c r="F139" s="48">
        <f t="shared" si="12"/>
        <v>274.38</v>
      </c>
      <c r="G139" s="41">
        <f t="shared" si="13"/>
        <v>823.14</v>
      </c>
      <c r="H139" s="53">
        <f t="shared" si="14"/>
        <v>617.35500000000002</v>
      </c>
      <c r="I139" s="54">
        <f t="shared" si="15"/>
        <v>274.38</v>
      </c>
      <c r="J139" s="55">
        <f t="shared" si="16"/>
        <v>1097.52</v>
      </c>
      <c r="K139" s="56">
        <f t="shared" si="17"/>
        <v>823.14</v>
      </c>
      <c r="L139" s="181"/>
    </row>
    <row r="140" spans="1:12" x14ac:dyDescent="0.25">
      <c r="A140" s="24" t="s">
        <v>377</v>
      </c>
      <c r="B140" s="23" t="s">
        <v>1954</v>
      </c>
      <c r="C140" s="43">
        <v>2.06</v>
      </c>
      <c r="D140" s="43">
        <v>2.06</v>
      </c>
      <c r="E140" s="103">
        <v>548.76</v>
      </c>
      <c r="F140" s="48">
        <f t="shared" si="12"/>
        <v>274.38</v>
      </c>
      <c r="G140" s="41">
        <f t="shared" si="13"/>
        <v>823.14</v>
      </c>
      <c r="H140" s="53">
        <f t="shared" si="14"/>
        <v>617.35500000000002</v>
      </c>
      <c r="I140" s="54">
        <f t="shared" si="15"/>
        <v>274.38</v>
      </c>
      <c r="J140" s="55">
        <f t="shared" si="16"/>
        <v>1097.52</v>
      </c>
      <c r="K140" s="56">
        <f t="shared" si="17"/>
        <v>823.14</v>
      </c>
      <c r="L140" s="181"/>
    </row>
    <row r="141" spans="1:12" s="4" customFormat="1" x14ac:dyDescent="0.25">
      <c r="A141" s="24" t="s">
        <v>1046</v>
      </c>
      <c r="B141" s="23" t="s">
        <v>1947</v>
      </c>
      <c r="C141" s="43">
        <v>2.06</v>
      </c>
      <c r="D141" s="43">
        <v>2.06</v>
      </c>
      <c r="E141" s="103">
        <v>548.76</v>
      </c>
      <c r="F141" s="48">
        <f t="shared" si="12"/>
        <v>274.38</v>
      </c>
      <c r="G141" s="41">
        <f t="shared" si="13"/>
        <v>823.14</v>
      </c>
      <c r="H141" s="53">
        <f t="shared" si="14"/>
        <v>617.35500000000002</v>
      </c>
      <c r="I141" s="54">
        <f t="shared" si="15"/>
        <v>274.38</v>
      </c>
      <c r="J141" s="55">
        <f t="shared" si="16"/>
        <v>1097.52</v>
      </c>
      <c r="K141" s="56">
        <f t="shared" si="17"/>
        <v>823.14</v>
      </c>
      <c r="L141" s="190"/>
    </row>
    <row r="142" spans="1:12" x14ac:dyDescent="0.25">
      <c r="A142" s="69"/>
      <c r="B142" s="161"/>
      <c r="C142" s="162"/>
      <c r="D142" s="25">
        <f>SUM(D3:D141)</f>
        <v>214.24000000000018</v>
      </c>
      <c r="E142" s="162"/>
      <c r="F142" s="162"/>
      <c r="G142" s="25"/>
      <c r="H142" s="25"/>
      <c r="I142" s="110"/>
      <c r="J142" s="302">
        <f>SUM(J3:J141)</f>
        <v>114142.0800000001</v>
      </c>
      <c r="K142" s="302">
        <f>SUM(K3:K141)</f>
        <v>85606.559999999954</v>
      </c>
      <c r="L142" s="181"/>
    </row>
    <row r="143" spans="1:12" x14ac:dyDescent="0.25">
      <c r="A143" s="36"/>
      <c r="B143" s="36"/>
      <c r="C143" s="160"/>
      <c r="E143" s="31" t="s">
        <v>896</v>
      </c>
    </row>
    <row r="144" spans="1:12" x14ac:dyDescent="0.25">
      <c r="B144" s="66"/>
    </row>
    <row r="145" spans="2:2" x14ac:dyDescent="0.25">
      <c r="B145" s="66"/>
    </row>
    <row r="146" spans="2:2" x14ac:dyDescent="0.25">
      <c r="B146" s="66"/>
    </row>
    <row r="147" spans="2:2" x14ac:dyDescent="0.25">
      <c r="B147" s="66"/>
    </row>
    <row r="148" spans="2:2" x14ac:dyDescent="0.25">
      <c r="B148" s="66"/>
    </row>
    <row r="149" spans="2:2" x14ac:dyDescent="0.25">
      <c r="B149" s="66"/>
    </row>
    <row r="150" spans="2:2" x14ac:dyDescent="0.25">
      <c r="B150" s="66"/>
    </row>
    <row r="151" spans="2:2" x14ac:dyDescent="0.25">
      <c r="B151" s="66"/>
    </row>
    <row r="152" spans="2:2" x14ac:dyDescent="0.25">
      <c r="B152" s="66"/>
    </row>
    <row r="153" spans="2:2" x14ac:dyDescent="0.25">
      <c r="B153" s="66"/>
    </row>
    <row r="154" spans="2:2" x14ac:dyDescent="0.25">
      <c r="B154" s="66"/>
    </row>
  </sheetData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3"/>
  <sheetViews>
    <sheetView topLeftCell="A480" zoomScaleNormal="100" workbookViewId="0">
      <selection activeCell="I512" sqref="I512"/>
    </sheetView>
  </sheetViews>
  <sheetFormatPr defaultRowHeight="15.75" x14ac:dyDescent="0.25"/>
  <cols>
    <col min="1" max="1" width="9.7109375" style="36" customWidth="1"/>
    <col min="2" max="2" width="32.85546875" style="31" customWidth="1"/>
    <col min="3" max="3" width="12.28515625" style="264" customWidth="1"/>
    <col min="4" max="4" width="12.28515625" style="31" customWidth="1"/>
    <col min="5" max="5" width="12.28515625" style="81" customWidth="1"/>
    <col min="6" max="7" width="12.28515625" style="96" customWidth="1"/>
    <col min="8" max="9" width="12.28515625" style="97" customWidth="1"/>
    <col min="10" max="10" width="15.28515625" style="92" customWidth="1"/>
    <col min="11" max="11" width="15.28515625" customWidth="1"/>
  </cols>
  <sheetData>
    <row r="1" spans="1:11" x14ac:dyDescent="0.25">
      <c r="B1" s="21" t="s">
        <v>1308</v>
      </c>
    </row>
    <row r="2" spans="1:11" s="101" customFormat="1" ht="45" x14ac:dyDescent="0.25">
      <c r="A2" s="13" t="s">
        <v>1705</v>
      </c>
      <c r="B2" s="73" t="s">
        <v>1847</v>
      </c>
      <c r="C2" s="13" t="s">
        <v>1874</v>
      </c>
      <c r="D2" s="17" t="s">
        <v>1876</v>
      </c>
      <c r="E2" s="70" t="s">
        <v>1877</v>
      </c>
      <c r="F2" s="71" t="s">
        <v>1878</v>
      </c>
      <c r="G2" s="15" t="s">
        <v>1895</v>
      </c>
      <c r="H2" s="72" t="s">
        <v>1880</v>
      </c>
      <c r="I2" s="16" t="s">
        <v>1881</v>
      </c>
      <c r="J2" s="16" t="s">
        <v>1612</v>
      </c>
      <c r="K2" s="13" t="s">
        <v>1964</v>
      </c>
    </row>
    <row r="3" spans="1:11" s="4" customFormat="1" x14ac:dyDescent="0.25">
      <c r="A3" s="24" t="s">
        <v>0</v>
      </c>
      <c r="B3" s="30" t="s">
        <v>1411</v>
      </c>
      <c r="C3" s="265"/>
      <c r="D3" s="129"/>
      <c r="E3" s="48">
        <f t="shared" ref="E3:E66" si="0">D3*50%</f>
        <v>0</v>
      </c>
      <c r="F3" s="41">
        <f t="shared" ref="F3:F66" si="1">D3+E3</f>
        <v>0</v>
      </c>
      <c r="G3" s="53">
        <f t="shared" ref="G3:G66" si="2">F3-(F3*25%)</f>
        <v>0</v>
      </c>
      <c r="H3" s="54">
        <f t="shared" ref="H3:H66" si="3">D3*50%</f>
        <v>0</v>
      </c>
      <c r="I3" s="55">
        <f t="shared" ref="I3:I66" si="4">D3+(H3*2)</f>
        <v>0</v>
      </c>
      <c r="J3" s="56">
        <f t="shared" ref="J3:J66" si="5">I3-(I3*25%)</f>
        <v>0</v>
      </c>
      <c r="K3" s="191"/>
    </row>
    <row r="4" spans="1:11" s="4" customFormat="1" x14ac:dyDescent="0.25">
      <c r="A4" s="24" t="s">
        <v>2</v>
      </c>
      <c r="B4" s="30"/>
      <c r="C4" s="265"/>
      <c r="D4" s="129"/>
      <c r="E4" s="48">
        <f t="shared" si="0"/>
        <v>0</v>
      </c>
      <c r="F4" s="41">
        <f t="shared" si="1"/>
        <v>0</v>
      </c>
      <c r="G4" s="53">
        <f t="shared" si="2"/>
        <v>0</v>
      </c>
      <c r="H4" s="54">
        <f t="shared" si="3"/>
        <v>0</v>
      </c>
      <c r="I4" s="55">
        <f t="shared" si="4"/>
        <v>0</v>
      </c>
      <c r="J4" s="56">
        <f t="shared" si="5"/>
        <v>0</v>
      </c>
      <c r="K4" s="191"/>
    </row>
    <row r="5" spans="1:11" x14ac:dyDescent="0.25">
      <c r="A5" s="24" t="s">
        <v>3</v>
      </c>
      <c r="B5" s="30" t="s">
        <v>1846</v>
      </c>
      <c r="C5" s="266">
        <v>4</v>
      </c>
      <c r="D5" s="108">
        <v>332.88</v>
      </c>
      <c r="E5" s="48">
        <f t="shared" si="0"/>
        <v>166.44</v>
      </c>
      <c r="F5" s="41">
        <f t="shared" si="1"/>
        <v>499.32</v>
      </c>
      <c r="G5" s="53">
        <f t="shared" si="2"/>
        <v>374.49</v>
      </c>
      <c r="H5" s="54">
        <f t="shared" si="3"/>
        <v>166.44</v>
      </c>
      <c r="I5" s="55">
        <f t="shared" si="4"/>
        <v>665.76</v>
      </c>
      <c r="J5" s="56">
        <f t="shared" si="5"/>
        <v>499.32</v>
      </c>
      <c r="K5" s="177"/>
    </row>
    <row r="6" spans="1:11" x14ac:dyDescent="0.25">
      <c r="A6" s="24" t="s">
        <v>5</v>
      </c>
      <c r="B6" s="30" t="s">
        <v>1218</v>
      </c>
      <c r="C6" s="266">
        <v>4</v>
      </c>
      <c r="D6" s="108">
        <v>332.88</v>
      </c>
      <c r="E6" s="48">
        <f t="shared" si="0"/>
        <v>166.44</v>
      </c>
      <c r="F6" s="41">
        <f t="shared" si="1"/>
        <v>499.32</v>
      </c>
      <c r="G6" s="53">
        <f t="shared" si="2"/>
        <v>374.49</v>
      </c>
      <c r="H6" s="54">
        <f t="shared" si="3"/>
        <v>166.44</v>
      </c>
      <c r="I6" s="55">
        <f t="shared" si="4"/>
        <v>665.76</v>
      </c>
      <c r="J6" s="56">
        <f t="shared" si="5"/>
        <v>499.32</v>
      </c>
      <c r="K6" s="177"/>
    </row>
    <row r="7" spans="1:11" x14ac:dyDescent="0.25">
      <c r="A7" s="24" t="s">
        <v>6</v>
      </c>
      <c r="B7" s="30" t="s">
        <v>2053</v>
      </c>
      <c r="C7" s="266">
        <v>4</v>
      </c>
      <c r="D7" s="108">
        <v>332.88</v>
      </c>
      <c r="E7" s="48">
        <f t="shared" si="0"/>
        <v>166.44</v>
      </c>
      <c r="F7" s="41">
        <f t="shared" si="1"/>
        <v>499.32</v>
      </c>
      <c r="G7" s="53">
        <f t="shared" si="2"/>
        <v>374.49</v>
      </c>
      <c r="H7" s="54">
        <f t="shared" si="3"/>
        <v>166.44</v>
      </c>
      <c r="I7" s="55">
        <f t="shared" si="4"/>
        <v>665.76</v>
      </c>
      <c r="J7" s="56">
        <f t="shared" si="5"/>
        <v>499.32</v>
      </c>
      <c r="K7" s="177"/>
    </row>
    <row r="8" spans="1:11" x14ac:dyDescent="0.25">
      <c r="A8" s="24" t="s">
        <v>8</v>
      </c>
      <c r="B8" s="30" t="s">
        <v>2299</v>
      </c>
      <c r="C8" s="266">
        <v>4</v>
      </c>
      <c r="D8" s="108">
        <v>332.88</v>
      </c>
      <c r="E8" s="48">
        <f t="shared" si="0"/>
        <v>166.44</v>
      </c>
      <c r="F8" s="41">
        <f t="shared" si="1"/>
        <v>499.32</v>
      </c>
      <c r="G8" s="53">
        <f t="shared" si="2"/>
        <v>374.49</v>
      </c>
      <c r="H8" s="54">
        <f t="shared" si="3"/>
        <v>166.44</v>
      </c>
      <c r="I8" s="55">
        <f t="shared" si="4"/>
        <v>665.76</v>
      </c>
      <c r="J8" s="56">
        <f t="shared" si="5"/>
        <v>499.32</v>
      </c>
      <c r="K8" s="177"/>
    </row>
    <row r="9" spans="1:11" x14ac:dyDescent="0.25">
      <c r="A9" s="24" t="s">
        <v>849</v>
      </c>
      <c r="B9" s="30" t="s">
        <v>2205</v>
      </c>
      <c r="C9" s="266">
        <v>4</v>
      </c>
      <c r="D9" s="108">
        <v>332.88</v>
      </c>
      <c r="E9" s="48">
        <f t="shared" si="0"/>
        <v>166.44</v>
      </c>
      <c r="F9" s="41">
        <f t="shared" si="1"/>
        <v>499.32</v>
      </c>
      <c r="G9" s="53">
        <f t="shared" si="2"/>
        <v>374.49</v>
      </c>
      <c r="H9" s="54">
        <f t="shared" si="3"/>
        <v>166.44</v>
      </c>
      <c r="I9" s="55">
        <f t="shared" si="4"/>
        <v>665.76</v>
      </c>
      <c r="J9" s="56">
        <f t="shared" si="5"/>
        <v>499.32</v>
      </c>
      <c r="K9" s="177"/>
    </row>
    <row r="10" spans="1:11" x14ac:dyDescent="0.25">
      <c r="A10" s="24" t="s">
        <v>850</v>
      </c>
      <c r="B10" s="30" t="s">
        <v>1527</v>
      </c>
      <c r="C10" s="266">
        <v>4</v>
      </c>
      <c r="D10" s="108">
        <v>332.88</v>
      </c>
      <c r="E10" s="48">
        <f t="shared" si="0"/>
        <v>166.44</v>
      </c>
      <c r="F10" s="41">
        <f t="shared" si="1"/>
        <v>499.32</v>
      </c>
      <c r="G10" s="53">
        <f t="shared" si="2"/>
        <v>374.49</v>
      </c>
      <c r="H10" s="54">
        <f t="shared" si="3"/>
        <v>166.44</v>
      </c>
      <c r="I10" s="55">
        <f t="shared" si="4"/>
        <v>665.76</v>
      </c>
      <c r="J10" s="56">
        <f t="shared" si="5"/>
        <v>499.32</v>
      </c>
      <c r="K10" s="177"/>
    </row>
    <row r="11" spans="1:11" x14ac:dyDescent="0.25">
      <c r="A11" s="159"/>
      <c r="B11" s="30"/>
      <c r="C11" s="267"/>
      <c r="D11" s="108"/>
      <c r="E11" s="48"/>
      <c r="F11" s="41"/>
      <c r="G11" s="53"/>
      <c r="H11" s="54"/>
      <c r="I11" s="55"/>
      <c r="J11" s="56"/>
      <c r="K11" s="177"/>
    </row>
    <row r="12" spans="1:11" x14ac:dyDescent="0.25">
      <c r="A12" s="24" t="s">
        <v>9</v>
      </c>
      <c r="B12" s="30" t="s">
        <v>2104</v>
      </c>
      <c r="C12" s="266">
        <v>4</v>
      </c>
      <c r="D12" s="108">
        <v>332.88</v>
      </c>
      <c r="E12" s="48">
        <f t="shared" si="0"/>
        <v>166.44</v>
      </c>
      <c r="F12" s="41">
        <f t="shared" si="1"/>
        <v>499.32</v>
      </c>
      <c r="G12" s="53">
        <f t="shared" si="2"/>
        <v>374.49</v>
      </c>
      <c r="H12" s="54">
        <f t="shared" si="3"/>
        <v>166.44</v>
      </c>
      <c r="I12" s="55">
        <f t="shared" si="4"/>
        <v>665.76</v>
      </c>
      <c r="J12" s="56">
        <f t="shared" si="5"/>
        <v>499.32</v>
      </c>
      <c r="K12" s="177"/>
    </row>
    <row r="13" spans="1:11" x14ac:dyDescent="0.25">
      <c r="A13" s="24" t="s">
        <v>10</v>
      </c>
      <c r="B13" s="30" t="s">
        <v>1219</v>
      </c>
      <c r="C13" s="266">
        <v>4</v>
      </c>
      <c r="D13" s="108">
        <v>332.88</v>
      </c>
      <c r="E13" s="48">
        <f t="shared" si="0"/>
        <v>166.44</v>
      </c>
      <c r="F13" s="41">
        <f t="shared" si="1"/>
        <v>499.32</v>
      </c>
      <c r="G13" s="53">
        <f t="shared" si="2"/>
        <v>374.49</v>
      </c>
      <c r="H13" s="54">
        <f t="shared" si="3"/>
        <v>166.44</v>
      </c>
      <c r="I13" s="55">
        <f t="shared" si="4"/>
        <v>665.76</v>
      </c>
      <c r="J13" s="56">
        <f t="shared" si="5"/>
        <v>499.32</v>
      </c>
      <c r="K13" s="177"/>
    </row>
    <row r="14" spans="1:11" x14ac:dyDescent="0.25">
      <c r="A14" s="24" t="s">
        <v>11</v>
      </c>
      <c r="B14" s="30" t="s">
        <v>1219</v>
      </c>
      <c r="C14" s="266">
        <v>4</v>
      </c>
      <c r="D14" s="108">
        <v>332.88</v>
      </c>
      <c r="E14" s="48">
        <f t="shared" si="0"/>
        <v>166.44</v>
      </c>
      <c r="F14" s="41">
        <f t="shared" si="1"/>
        <v>499.32</v>
      </c>
      <c r="G14" s="53">
        <f t="shared" si="2"/>
        <v>374.49</v>
      </c>
      <c r="H14" s="54">
        <f t="shared" si="3"/>
        <v>166.44</v>
      </c>
      <c r="I14" s="55">
        <f t="shared" si="4"/>
        <v>665.76</v>
      </c>
      <c r="J14" s="56">
        <f t="shared" si="5"/>
        <v>499.32</v>
      </c>
      <c r="K14" s="177"/>
    </row>
    <row r="15" spans="1:11" x14ac:dyDescent="0.25">
      <c r="A15" s="24" t="s">
        <v>12</v>
      </c>
      <c r="B15" s="30" t="s">
        <v>1564</v>
      </c>
      <c r="C15" s="266">
        <v>4</v>
      </c>
      <c r="D15" s="108">
        <v>332.88</v>
      </c>
      <c r="E15" s="48">
        <f t="shared" si="0"/>
        <v>166.44</v>
      </c>
      <c r="F15" s="41">
        <f t="shared" si="1"/>
        <v>499.32</v>
      </c>
      <c r="G15" s="53">
        <f t="shared" si="2"/>
        <v>374.49</v>
      </c>
      <c r="H15" s="54">
        <f t="shared" si="3"/>
        <v>166.44</v>
      </c>
      <c r="I15" s="55">
        <f t="shared" si="4"/>
        <v>665.76</v>
      </c>
      <c r="J15" s="56">
        <f t="shared" si="5"/>
        <v>499.32</v>
      </c>
      <c r="K15" s="177"/>
    </row>
    <row r="16" spans="1:11" x14ac:dyDescent="0.25">
      <c r="A16" s="24" t="s">
        <v>13</v>
      </c>
      <c r="B16" s="30" t="s">
        <v>2054</v>
      </c>
      <c r="C16" s="266">
        <v>4</v>
      </c>
      <c r="D16" s="108">
        <v>332.88</v>
      </c>
      <c r="E16" s="48">
        <f t="shared" si="0"/>
        <v>166.44</v>
      </c>
      <c r="F16" s="41">
        <f t="shared" si="1"/>
        <v>499.32</v>
      </c>
      <c r="G16" s="53">
        <f t="shared" si="2"/>
        <v>374.49</v>
      </c>
      <c r="H16" s="54">
        <f t="shared" si="3"/>
        <v>166.44</v>
      </c>
      <c r="I16" s="55">
        <f t="shared" si="4"/>
        <v>665.76</v>
      </c>
      <c r="J16" s="56">
        <f t="shared" si="5"/>
        <v>499.32</v>
      </c>
      <c r="K16" s="177"/>
    </row>
    <row r="17" spans="1:11" x14ac:dyDescent="0.25">
      <c r="A17" s="24" t="s">
        <v>14</v>
      </c>
      <c r="B17" s="30" t="s">
        <v>2054</v>
      </c>
      <c r="C17" s="266">
        <v>4</v>
      </c>
      <c r="D17" s="108">
        <v>332.88</v>
      </c>
      <c r="E17" s="48">
        <f t="shared" si="0"/>
        <v>166.44</v>
      </c>
      <c r="F17" s="41">
        <f t="shared" si="1"/>
        <v>499.32</v>
      </c>
      <c r="G17" s="53">
        <f t="shared" si="2"/>
        <v>374.49</v>
      </c>
      <c r="H17" s="54">
        <f t="shared" si="3"/>
        <v>166.44</v>
      </c>
      <c r="I17" s="55">
        <f t="shared" si="4"/>
        <v>665.76</v>
      </c>
      <c r="J17" s="56">
        <f t="shared" si="5"/>
        <v>499.32</v>
      </c>
      <c r="K17" s="177"/>
    </row>
    <row r="18" spans="1:11" x14ac:dyDescent="0.25">
      <c r="A18" s="24" t="s">
        <v>15</v>
      </c>
      <c r="B18" s="30" t="s">
        <v>2055</v>
      </c>
      <c r="C18" s="266">
        <v>4</v>
      </c>
      <c r="D18" s="108">
        <v>332.88</v>
      </c>
      <c r="E18" s="48">
        <f t="shared" si="0"/>
        <v>166.44</v>
      </c>
      <c r="F18" s="41">
        <f t="shared" si="1"/>
        <v>499.32</v>
      </c>
      <c r="G18" s="53">
        <f t="shared" si="2"/>
        <v>374.49</v>
      </c>
      <c r="H18" s="54">
        <f t="shared" si="3"/>
        <v>166.44</v>
      </c>
      <c r="I18" s="55">
        <f t="shared" si="4"/>
        <v>665.76</v>
      </c>
      <c r="J18" s="56">
        <f t="shared" si="5"/>
        <v>499.32</v>
      </c>
      <c r="K18" s="177"/>
    </row>
    <row r="19" spans="1:11" x14ac:dyDescent="0.25">
      <c r="A19" s="24" t="s">
        <v>16</v>
      </c>
      <c r="B19" s="30" t="s">
        <v>2055</v>
      </c>
      <c r="C19" s="266">
        <v>4</v>
      </c>
      <c r="D19" s="108">
        <v>332.88</v>
      </c>
      <c r="E19" s="48">
        <f t="shared" si="0"/>
        <v>166.44</v>
      </c>
      <c r="F19" s="41">
        <f t="shared" si="1"/>
        <v>499.32</v>
      </c>
      <c r="G19" s="53">
        <f t="shared" si="2"/>
        <v>374.49</v>
      </c>
      <c r="H19" s="54">
        <f t="shared" si="3"/>
        <v>166.44</v>
      </c>
      <c r="I19" s="55">
        <f t="shared" si="4"/>
        <v>665.76</v>
      </c>
      <c r="J19" s="56">
        <f t="shared" si="5"/>
        <v>499.32</v>
      </c>
      <c r="K19" s="177"/>
    </row>
    <row r="20" spans="1:11" x14ac:dyDescent="0.25">
      <c r="A20" s="159"/>
      <c r="B20" s="30"/>
      <c r="C20" s="267"/>
      <c r="D20" s="108"/>
      <c r="E20" s="48"/>
      <c r="F20" s="41"/>
      <c r="G20" s="53"/>
      <c r="H20" s="54"/>
      <c r="I20" s="55"/>
      <c r="J20" s="56"/>
      <c r="K20" s="177"/>
    </row>
    <row r="21" spans="1:11" x14ac:dyDescent="0.25">
      <c r="A21" s="24" t="s">
        <v>37</v>
      </c>
      <c r="B21" s="30" t="s">
        <v>1220</v>
      </c>
      <c r="C21" s="266">
        <v>4</v>
      </c>
      <c r="D21" s="108">
        <v>332.88</v>
      </c>
      <c r="E21" s="48">
        <f t="shared" si="0"/>
        <v>166.44</v>
      </c>
      <c r="F21" s="41">
        <f t="shared" si="1"/>
        <v>499.32</v>
      </c>
      <c r="G21" s="53">
        <f t="shared" si="2"/>
        <v>374.49</v>
      </c>
      <c r="H21" s="54">
        <f t="shared" si="3"/>
        <v>166.44</v>
      </c>
      <c r="I21" s="55">
        <f t="shared" si="4"/>
        <v>665.76</v>
      </c>
      <c r="J21" s="56">
        <f t="shared" si="5"/>
        <v>499.32</v>
      </c>
      <c r="K21" s="177"/>
    </row>
    <row r="22" spans="1:11" x14ac:dyDescent="0.25">
      <c r="A22" s="24" t="s">
        <v>39</v>
      </c>
      <c r="B22" s="30" t="s">
        <v>1220</v>
      </c>
      <c r="C22" s="266">
        <v>4</v>
      </c>
      <c r="D22" s="108">
        <v>332.88</v>
      </c>
      <c r="E22" s="48">
        <f t="shared" si="0"/>
        <v>166.44</v>
      </c>
      <c r="F22" s="41">
        <f t="shared" si="1"/>
        <v>499.32</v>
      </c>
      <c r="G22" s="53">
        <f t="shared" si="2"/>
        <v>374.49</v>
      </c>
      <c r="H22" s="54">
        <f t="shared" si="3"/>
        <v>166.44</v>
      </c>
      <c r="I22" s="55">
        <f t="shared" si="4"/>
        <v>665.76</v>
      </c>
      <c r="J22" s="56">
        <f t="shared" si="5"/>
        <v>499.32</v>
      </c>
      <c r="K22" s="177"/>
    </row>
    <row r="23" spans="1:11" x14ac:dyDescent="0.25">
      <c r="A23" s="24" t="s">
        <v>40</v>
      </c>
      <c r="B23" s="30" t="s">
        <v>1528</v>
      </c>
      <c r="C23" s="266">
        <v>4</v>
      </c>
      <c r="D23" s="108">
        <v>332.88</v>
      </c>
      <c r="E23" s="48">
        <f t="shared" si="0"/>
        <v>166.44</v>
      </c>
      <c r="F23" s="41">
        <f t="shared" si="1"/>
        <v>499.32</v>
      </c>
      <c r="G23" s="53">
        <f t="shared" si="2"/>
        <v>374.49</v>
      </c>
      <c r="H23" s="54">
        <f t="shared" si="3"/>
        <v>166.44</v>
      </c>
      <c r="I23" s="55">
        <f t="shared" si="4"/>
        <v>665.76</v>
      </c>
      <c r="J23" s="56">
        <f t="shared" si="5"/>
        <v>499.32</v>
      </c>
      <c r="K23" s="177"/>
    </row>
    <row r="24" spans="1:11" x14ac:dyDescent="0.25">
      <c r="A24" s="159"/>
      <c r="B24" s="30"/>
      <c r="C24" s="267"/>
      <c r="D24" s="108"/>
      <c r="E24" s="48"/>
      <c r="F24" s="41"/>
      <c r="G24" s="53"/>
      <c r="H24" s="54"/>
      <c r="I24" s="55"/>
      <c r="J24" s="56"/>
      <c r="K24" s="177"/>
    </row>
    <row r="25" spans="1:11" x14ac:dyDescent="0.25">
      <c r="A25" s="24" t="s">
        <v>49</v>
      </c>
      <c r="B25" s="30" t="s">
        <v>2267</v>
      </c>
      <c r="C25" s="266">
        <v>4</v>
      </c>
      <c r="D25" s="108">
        <v>356.4</v>
      </c>
      <c r="E25" s="48">
        <f t="shared" si="0"/>
        <v>178.2</v>
      </c>
      <c r="F25" s="41">
        <f t="shared" si="1"/>
        <v>534.59999999999991</v>
      </c>
      <c r="G25" s="53">
        <f t="shared" si="2"/>
        <v>400.94999999999993</v>
      </c>
      <c r="H25" s="54">
        <f t="shared" si="3"/>
        <v>178.2</v>
      </c>
      <c r="I25" s="55">
        <f t="shared" si="4"/>
        <v>712.8</v>
      </c>
      <c r="J25" s="56">
        <f t="shared" si="5"/>
        <v>534.59999999999991</v>
      </c>
      <c r="K25" s="177"/>
    </row>
    <row r="26" spans="1:11" x14ac:dyDescent="0.25">
      <c r="A26" s="24" t="s">
        <v>50</v>
      </c>
      <c r="B26" s="30" t="s">
        <v>2267</v>
      </c>
      <c r="C26" s="266">
        <v>4</v>
      </c>
      <c r="D26" s="108">
        <v>356.4</v>
      </c>
      <c r="E26" s="48">
        <f t="shared" si="0"/>
        <v>178.2</v>
      </c>
      <c r="F26" s="41">
        <f t="shared" si="1"/>
        <v>534.59999999999991</v>
      </c>
      <c r="G26" s="53">
        <f t="shared" si="2"/>
        <v>400.94999999999993</v>
      </c>
      <c r="H26" s="54">
        <f t="shared" si="3"/>
        <v>178.2</v>
      </c>
      <c r="I26" s="55">
        <f t="shared" si="4"/>
        <v>712.8</v>
      </c>
      <c r="J26" s="56">
        <f t="shared" si="5"/>
        <v>534.59999999999991</v>
      </c>
      <c r="K26" s="177"/>
    </row>
    <row r="27" spans="1:11" x14ac:dyDescent="0.25">
      <c r="A27" s="24" t="s">
        <v>51</v>
      </c>
      <c r="B27" s="30" t="s">
        <v>2245</v>
      </c>
      <c r="C27" s="266">
        <v>4</v>
      </c>
      <c r="D27" s="108">
        <v>356.4</v>
      </c>
      <c r="E27" s="48">
        <f t="shared" si="0"/>
        <v>178.2</v>
      </c>
      <c r="F27" s="41">
        <f t="shared" si="1"/>
        <v>534.59999999999991</v>
      </c>
      <c r="G27" s="53">
        <f t="shared" si="2"/>
        <v>400.94999999999993</v>
      </c>
      <c r="H27" s="54">
        <f t="shared" si="3"/>
        <v>178.2</v>
      </c>
      <c r="I27" s="55">
        <f t="shared" si="4"/>
        <v>712.8</v>
      </c>
      <c r="J27" s="56">
        <f t="shared" si="5"/>
        <v>534.59999999999991</v>
      </c>
      <c r="K27" s="177"/>
    </row>
    <row r="28" spans="1:11" x14ac:dyDescent="0.25">
      <c r="A28" s="24" t="s">
        <v>53</v>
      </c>
      <c r="B28" s="30" t="s">
        <v>2116</v>
      </c>
      <c r="C28" s="266">
        <v>4</v>
      </c>
      <c r="D28" s="108">
        <v>356.4</v>
      </c>
      <c r="E28" s="48">
        <f t="shared" si="0"/>
        <v>178.2</v>
      </c>
      <c r="F28" s="41">
        <f t="shared" si="1"/>
        <v>534.59999999999991</v>
      </c>
      <c r="G28" s="53">
        <f t="shared" si="2"/>
        <v>400.94999999999993</v>
      </c>
      <c r="H28" s="54">
        <f t="shared" si="3"/>
        <v>178.2</v>
      </c>
      <c r="I28" s="55">
        <f t="shared" si="4"/>
        <v>712.8</v>
      </c>
      <c r="J28" s="56">
        <f t="shared" si="5"/>
        <v>534.59999999999991</v>
      </c>
      <c r="K28" s="177"/>
    </row>
    <row r="29" spans="1:11" x14ac:dyDescent="0.25">
      <c r="A29" s="24" t="s">
        <v>54</v>
      </c>
      <c r="B29" s="30" t="s">
        <v>1221</v>
      </c>
      <c r="C29" s="266">
        <v>4</v>
      </c>
      <c r="D29" s="108">
        <v>356.4</v>
      </c>
      <c r="E29" s="48">
        <f t="shared" si="0"/>
        <v>178.2</v>
      </c>
      <c r="F29" s="41">
        <f t="shared" si="1"/>
        <v>534.59999999999991</v>
      </c>
      <c r="G29" s="53">
        <f t="shared" si="2"/>
        <v>400.94999999999993</v>
      </c>
      <c r="H29" s="54">
        <f t="shared" si="3"/>
        <v>178.2</v>
      </c>
      <c r="I29" s="55">
        <f t="shared" si="4"/>
        <v>712.8</v>
      </c>
      <c r="J29" s="56">
        <f t="shared" si="5"/>
        <v>534.59999999999991</v>
      </c>
      <c r="K29" s="177"/>
    </row>
    <row r="30" spans="1:11" x14ac:dyDescent="0.25">
      <c r="A30" s="24" t="s">
        <v>56</v>
      </c>
      <c r="B30" s="30" t="s">
        <v>1826</v>
      </c>
      <c r="C30" s="266">
        <v>4</v>
      </c>
      <c r="D30" s="108">
        <v>356.4</v>
      </c>
      <c r="E30" s="48">
        <f t="shared" si="0"/>
        <v>178.2</v>
      </c>
      <c r="F30" s="41">
        <f t="shared" si="1"/>
        <v>534.59999999999991</v>
      </c>
      <c r="G30" s="53">
        <f t="shared" si="2"/>
        <v>400.94999999999993</v>
      </c>
      <c r="H30" s="54">
        <f t="shared" si="3"/>
        <v>178.2</v>
      </c>
      <c r="I30" s="55">
        <f t="shared" si="4"/>
        <v>712.8</v>
      </c>
      <c r="J30" s="56">
        <f t="shared" si="5"/>
        <v>534.59999999999991</v>
      </c>
      <c r="K30" s="177"/>
    </row>
    <row r="31" spans="1:11" x14ac:dyDescent="0.25">
      <c r="A31" s="24" t="s">
        <v>58</v>
      </c>
      <c r="B31" s="30" t="s">
        <v>1222</v>
      </c>
      <c r="C31" s="266">
        <v>4</v>
      </c>
      <c r="D31" s="108">
        <v>356.4</v>
      </c>
      <c r="E31" s="48">
        <f t="shared" si="0"/>
        <v>178.2</v>
      </c>
      <c r="F31" s="41">
        <f t="shared" si="1"/>
        <v>534.59999999999991</v>
      </c>
      <c r="G31" s="53">
        <f t="shared" si="2"/>
        <v>400.94999999999993</v>
      </c>
      <c r="H31" s="54">
        <f t="shared" si="3"/>
        <v>178.2</v>
      </c>
      <c r="I31" s="55">
        <f t="shared" si="4"/>
        <v>712.8</v>
      </c>
      <c r="J31" s="56">
        <f t="shared" si="5"/>
        <v>534.59999999999991</v>
      </c>
      <c r="K31" s="177"/>
    </row>
    <row r="32" spans="1:11" x14ac:dyDescent="0.25">
      <c r="A32" s="24" t="s">
        <v>60</v>
      </c>
      <c r="B32" s="30" t="s">
        <v>1222</v>
      </c>
      <c r="C32" s="266">
        <v>4</v>
      </c>
      <c r="D32" s="108">
        <v>356.4</v>
      </c>
      <c r="E32" s="48">
        <f t="shared" si="0"/>
        <v>178.2</v>
      </c>
      <c r="F32" s="41">
        <f t="shared" si="1"/>
        <v>534.59999999999991</v>
      </c>
      <c r="G32" s="53">
        <f t="shared" si="2"/>
        <v>400.94999999999993</v>
      </c>
      <c r="H32" s="54">
        <f t="shared" si="3"/>
        <v>178.2</v>
      </c>
      <c r="I32" s="55">
        <f t="shared" si="4"/>
        <v>712.8</v>
      </c>
      <c r="J32" s="56">
        <f t="shared" si="5"/>
        <v>534.59999999999991</v>
      </c>
      <c r="K32" s="177"/>
    </row>
    <row r="33" spans="1:11" x14ac:dyDescent="0.25">
      <c r="A33" s="24" t="s">
        <v>61</v>
      </c>
      <c r="B33" s="30" t="s">
        <v>1340</v>
      </c>
      <c r="C33" s="266">
        <v>4</v>
      </c>
      <c r="D33" s="108">
        <v>356.4</v>
      </c>
      <c r="E33" s="48">
        <f t="shared" si="0"/>
        <v>178.2</v>
      </c>
      <c r="F33" s="41">
        <f t="shared" si="1"/>
        <v>534.59999999999991</v>
      </c>
      <c r="G33" s="53">
        <f t="shared" si="2"/>
        <v>400.94999999999993</v>
      </c>
      <c r="H33" s="54">
        <f t="shared" si="3"/>
        <v>178.2</v>
      </c>
      <c r="I33" s="55">
        <f t="shared" si="4"/>
        <v>712.8</v>
      </c>
      <c r="J33" s="56">
        <f t="shared" si="5"/>
        <v>534.59999999999991</v>
      </c>
      <c r="K33" s="177"/>
    </row>
    <row r="34" spans="1:11" x14ac:dyDescent="0.25">
      <c r="A34" s="24" t="s">
        <v>63</v>
      </c>
      <c r="B34" s="30" t="s">
        <v>1223</v>
      </c>
      <c r="C34" s="266">
        <v>4</v>
      </c>
      <c r="D34" s="108">
        <v>356.4</v>
      </c>
      <c r="E34" s="48">
        <f t="shared" si="0"/>
        <v>178.2</v>
      </c>
      <c r="F34" s="41">
        <f t="shared" si="1"/>
        <v>534.59999999999991</v>
      </c>
      <c r="G34" s="53">
        <f t="shared" si="2"/>
        <v>400.94999999999993</v>
      </c>
      <c r="H34" s="54">
        <f t="shared" si="3"/>
        <v>178.2</v>
      </c>
      <c r="I34" s="55">
        <f t="shared" si="4"/>
        <v>712.8</v>
      </c>
      <c r="J34" s="56">
        <f t="shared" si="5"/>
        <v>534.59999999999991</v>
      </c>
      <c r="K34" s="177"/>
    </row>
    <row r="35" spans="1:11" x14ac:dyDescent="0.25">
      <c r="A35" s="24" t="s">
        <v>65</v>
      </c>
      <c r="B35" s="30" t="s">
        <v>1826</v>
      </c>
      <c r="C35" s="266">
        <v>4</v>
      </c>
      <c r="D35" s="108">
        <v>356.4</v>
      </c>
      <c r="E35" s="48">
        <f t="shared" si="0"/>
        <v>178.2</v>
      </c>
      <c r="F35" s="41">
        <f t="shared" si="1"/>
        <v>534.59999999999991</v>
      </c>
      <c r="G35" s="53">
        <f t="shared" si="2"/>
        <v>400.94999999999993</v>
      </c>
      <c r="H35" s="54">
        <f t="shared" si="3"/>
        <v>178.2</v>
      </c>
      <c r="I35" s="55">
        <f t="shared" si="4"/>
        <v>712.8</v>
      </c>
      <c r="J35" s="56">
        <f t="shared" si="5"/>
        <v>534.59999999999991</v>
      </c>
      <c r="K35" s="177"/>
    </row>
    <row r="36" spans="1:11" x14ac:dyDescent="0.25">
      <c r="A36" s="24" t="s">
        <v>66</v>
      </c>
      <c r="B36" s="30" t="s">
        <v>1224</v>
      </c>
      <c r="C36" s="266">
        <v>4</v>
      </c>
      <c r="D36" s="108">
        <v>356.4</v>
      </c>
      <c r="E36" s="48">
        <f t="shared" si="0"/>
        <v>178.2</v>
      </c>
      <c r="F36" s="41">
        <f t="shared" si="1"/>
        <v>534.59999999999991</v>
      </c>
      <c r="G36" s="53">
        <f t="shared" si="2"/>
        <v>400.94999999999993</v>
      </c>
      <c r="H36" s="54">
        <f t="shared" si="3"/>
        <v>178.2</v>
      </c>
      <c r="I36" s="55">
        <f t="shared" si="4"/>
        <v>712.8</v>
      </c>
      <c r="J36" s="56">
        <f t="shared" si="5"/>
        <v>534.59999999999991</v>
      </c>
      <c r="K36" s="177"/>
    </row>
    <row r="37" spans="1:11" x14ac:dyDescent="0.25">
      <c r="A37" s="24" t="s">
        <v>68</v>
      </c>
      <c r="B37" s="30" t="s">
        <v>1225</v>
      </c>
      <c r="C37" s="266">
        <v>4</v>
      </c>
      <c r="D37" s="108">
        <v>356.4</v>
      </c>
      <c r="E37" s="48">
        <f t="shared" si="0"/>
        <v>178.2</v>
      </c>
      <c r="F37" s="41">
        <f t="shared" si="1"/>
        <v>534.59999999999991</v>
      </c>
      <c r="G37" s="53">
        <f t="shared" si="2"/>
        <v>400.94999999999993</v>
      </c>
      <c r="H37" s="54">
        <f t="shared" si="3"/>
        <v>178.2</v>
      </c>
      <c r="I37" s="55">
        <f t="shared" si="4"/>
        <v>712.8</v>
      </c>
      <c r="J37" s="56">
        <f t="shared" si="5"/>
        <v>534.59999999999991</v>
      </c>
      <c r="K37" s="177"/>
    </row>
    <row r="38" spans="1:11" x14ac:dyDescent="0.25">
      <c r="A38" s="24" t="s">
        <v>1078</v>
      </c>
      <c r="B38" s="30" t="s">
        <v>2056</v>
      </c>
      <c r="C38" s="266">
        <v>4</v>
      </c>
      <c r="D38" s="108">
        <v>356.4</v>
      </c>
      <c r="E38" s="48">
        <f t="shared" si="0"/>
        <v>178.2</v>
      </c>
      <c r="F38" s="41">
        <f t="shared" si="1"/>
        <v>534.59999999999991</v>
      </c>
      <c r="G38" s="53">
        <f t="shared" si="2"/>
        <v>400.94999999999993</v>
      </c>
      <c r="H38" s="54">
        <f t="shared" si="3"/>
        <v>178.2</v>
      </c>
      <c r="I38" s="55">
        <f t="shared" si="4"/>
        <v>712.8</v>
      </c>
      <c r="J38" s="56">
        <f t="shared" si="5"/>
        <v>534.59999999999991</v>
      </c>
      <c r="K38" s="177"/>
    </row>
    <row r="39" spans="1:11" x14ac:dyDescent="0.25">
      <c r="A39" s="24" t="s">
        <v>1079</v>
      </c>
      <c r="B39" s="30" t="s">
        <v>1858</v>
      </c>
      <c r="C39" s="266">
        <v>4</v>
      </c>
      <c r="D39" s="108">
        <v>356.4</v>
      </c>
      <c r="E39" s="48">
        <f t="shared" si="0"/>
        <v>178.2</v>
      </c>
      <c r="F39" s="41">
        <f t="shared" si="1"/>
        <v>534.59999999999991</v>
      </c>
      <c r="G39" s="53">
        <f t="shared" si="2"/>
        <v>400.94999999999993</v>
      </c>
      <c r="H39" s="54">
        <f t="shared" si="3"/>
        <v>178.2</v>
      </c>
      <c r="I39" s="55">
        <f t="shared" si="4"/>
        <v>712.8</v>
      </c>
      <c r="J39" s="56">
        <f t="shared" si="5"/>
        <v>534.59999999999991</v>
      </c>
      <c r="K39" s="177"/>
    </row>
    <row r="40" spans="1:11" x14ac:dyDescent="0.25">
      <c r="A40" s="24" t="s">
        <v>1080</v>
      </c>
      <c r="B40" s="30" t="s">
        <v>1858</v>
      </c>
      <c r="C40" s="266">
        <v>4</v>
      </c>
      <c r="D40" s="108">
        <v>356.4</v>
      </c>
      <c r="E40" s="48">
        <f t="shared" si="0"/>
        <v>178.2</v>
      </c>
      <c r="F40" s="41">
        <f t="shared" si="1"/>
        <v>534.59999999999991</v>
      </c>
      <c r="G40" s="53">
        <f t="shared" si="2"/>
        <v>400.94999999999993</v>
      </c>
      <c r="H40" s="54">
        <f t="shared" si="3"/>
        <v>178.2</v>
      </c>
      <c r="I40" s="55">
        <f t="shared" si="4"/>
        <v>712.8</v>
      </c>
      <c r="J40" s="56">
        <f t="shared" si="5"/>
        <v>534.59999999999991</v>
      </c>
      <c r="K40" s="177"/>
    </row>
    <row r="41" spans="1:11" x14ac:dyDescent="0.25">
      <c r="A41" s="159"/>
      <c r="B41" s="30"/>
      <c r="C41" s="267"/>
      <c r="D41" s="108"/>
      <c r="E41" s="48"/>
      <c r="F41" s="41"/>
      <c r="G41" s="53"/>
      <c r="H41" s="54"/>
      <c r="I41" s="55"/>
      <c r="J41" s="56"/>
      <c r="K41" s="177"/>
    </row>
    <row r="42" spans="1:11" x14ac:dyDescent="0.25">
      <c r="A42" s="24" t="s">
        <v>69</v>
      </c>
      <c r="B42" s="30" t="s">
        <v>2089</v>
      </c>
      <c r="C42" s="266">
        <v>4</v>
      </c>
      <c r="D42" s="108">
        <v>356.4</v>
      </c>
      <c r="E42" s="48">
        <f t="shared" si="0"/>
        <v>178.2</v>
      </c>
      <c r="F42" s="41">
        <f t="shared" si="1"/>
        <v>534.59999999999991</v>
      </c>
      <c r="G42" s="53">
        <f t="shared" si="2"/>
        <v>400.94999999999993</v>
      </c>
      <c r="H42" s="54">
        <f t="shared" si="3"/>
        <v>178.2</v>
      </c>
      <c r="I42" s="55">
        <f t="shared" si="4"/>
        <v>712.8</v>
      </c>
      <c r="J42" s="56">
        <f t="shared" si="5"/>
        <v>534.59999999999991</v>
      </c>
      <c r="K42" s="177"/>
    </row>
    <row r="43" spans="1:11" x14ac:dyDescent="0.25">
      <c r="A43" s="24" t="s">
        <v>70</v>
      </c>
      <c r="B43" s="30" t="s">
        <v>1226</v>
      </c>
      <c r="C43" s="266">
        <v>4</v>
      </c>
      <c r="D43" s="108">
        <v>356.4</v>
      </c>
      <c r="E43" s="48">
        <f t="shared" si="0"/>
        <v>178.2</v>
      </c>
      <c r="F43" s="41">
        <f t="shared" si="1"/>
        <v>534.59999999999991</v>
      </c>
      <c r="G43" s="53">
        <f t="shared" si="2"/>
        <v>400.94999999999993</v>
      </c>
      <c r="H43" s="54">
        <f t="shared" si="3"/>
        <v>178.2</v>
      </c>
      <c r="I43" s="55">
        <f t="shared" si="4"/>
        <v>712.8</v>
      </c>
      <c r="J43" s="56">
        <f t="shared" si="5"/>
        <v>534.59999999999991</v>
      </c>
      <c r="K43" s="177"/>
    </row>
    <row r="44" spans="1:11" x14ac:dyDescent="0.25">
      <c r="A44" s="24" t="s">
        <v>71</v>
      </c>
      <c r="B44" s="30" t="s">
        <v>1226</v>
      </c>
      <c r="C44" s="266">
        <v>4</v>
      </c>
      <c r="D44" s="108">
        <v>356.4</v>
      </c>
      <c r="E44" s="48">
        <f t="shared" si="0"/>
        <v>178.2</v>
      </c>
      <c r="F44" s="41">
        <f t="shared" si="1"/>
        <v>534.59999999999991</v>
      </c>
      <c r="G44" s="53">
        <f t="shared" si="2"/>
        <v>400.94999999999993</v>
      </c>
      <c r="H44" s="54">
        <f t="shared" si="3"/>
        <v>178.2</v>
      </c>
      <c r="I44" s="55">
        <f t="shared" si="4"/>
        <v>712.8</v>
      </c>
      <c r="J44" s="56">
        <f t="shared" si="5"/>
        <v>534.59999999999991</v>
      </c>
      <c r="K44" s="177"/>
    </row>
    <row r="45" spans="1:11" x14ac:dyDescent="0.25">
      <c r="A45" s="24" t="s">
        <v>72</v>
      </c>
      <c r="B45" s="30" t="s">
        <v>1664</v>
      </c>
      <c r="C45" s="266">
        <v>4</v>
      </c>
      <c r="D45" s="108">
        <v>356.4</v>
      </c>
      <c r="E45" s="48">
        <f t="shared" si="0"/>
        <v>178.2</v>
      </c>
      <c r="F45" s="41">
        <f t="shared" si="1"/>
        <v>534.59999999999991</v>
      </c>
      <c r="G45" s="53">
        <f t="shared" si="2"/>
        <v>400.94999999999993</v>
      </c>
      <c r="H45" s="54">
        <f t="shared" si="3"/>
        <v>178.2</v>
      </c>
      <c r="I45" s="55">
        <f t="shared" si="4"/>
        <v>712.8</v>
      </c>
      <c r="J45" s="56">
        <f t="shared" si="5"/>
        <v>534.59999999999991</v>
      </c>
      <c r="K45" s="177"/>
    </row>
    <row r="46" spans="1:11" x14ac:dyDescent="0.25">
      <c r="A46" s="24" t="s">
        <v>73</v>
      </c>
      <c r="B46" s="30" t="s">
        <v>1227</v>
      </c>
      <c r="C46" s="266">
        <v>4</v>
      </c>
      <c r="D46" s="108">
        <v>356.4</v>
      </c>
      <c r="E46" s="48">
        <f t="shared" si="0"/>
        <v>178.2</v>
      </c>
      <c r="F46" s="41">
        <f t="shared" si="1"/>
        <v>534.59999999999991</v>
      </c>
      <c r="G46" s="53">
        <f t="shared" si="2"/>
        <v>400.94999999999993</v>
      </c>
      <c r="H46" s="54">
        <f t="shared" si="3"/>
        <v>178.2</v>
      </c>
      <c r="I46" s="55">
        <f t="shared" si="4"/>
        <v>712.8</v>
      </c>
      <c r="J46" s="56">
        <f t="shared" si="5"/>
        <v>534.59999999999991</v>
      </c>
      <c r="K46" s="177"/>
    </row>
    <row r="47" spans="1:11" x14ac:dyDescent="0.25">
      <c r="A47" s="24" t="s">
        <v>74</v>
      </c>
      <c r="B47" s="30" t="s">
        <v>2057</v>
      </c>
      <c r="C47" s="266">
        <v>4</v>
      </c>
      <c r="D47" s="108">
        <v>356.4</v>
      </c>
      <c r="E47" s="48">
        <f t="shared" si="0"/>
        <v>178.2</v>
      </c>
      <c r="F47" s="41">
        <f t="shared" si="1"/>
        <v>534.59999999999991</v>
      </c>
      <c r="G47" s="53">
        <f t="shared" si="2"/>
        <v>400.94999999999993</v>
      </c>
      <c r="H47" s="54">
        <f t="shared" si="3"/>
        <v>178.2</v>
      </c>
      <c r="I47" s="55">
        <f t="shared" si="4"/>
        <v>712.8</v>
      </c>
      <c r="J47" s="56">
        <f t="shared" si="5"/>
        <v>534.59999999999991</v>
      </c>
      <c r="K47" s="177"/>
    </row>
    <row r="48" spans="1:11" x14ac:dyDescent="0.25">
      <c r="A48" s="24" t="s">
        <v>75</v>
      </c>
      <c r="B48" s="30" t="s">
        <v>2268</v>
      </c>
      <c r="C48" s="266">
        <v>4</v>
      </c>
      <c r="D48" s="108">
        <v>356.4</v>
      </c>
      <c r="E48" s="48">
        <f t="shared" si="0"/>
        <v>178.2</v>
      </c>
      <c r="F48" s="41">
        <f t="shared" si="1"/>
        <v>534.59999999999991</v>
      </c>
      <c r="G48" s="53">
        <f t="shared" si="2"/>
        <v>400.94999999999993</v>
      </c>
      <c r="H48" s="54">
        <f t="shared" si="3"/>
        <v>178.2</v>
      </c>
      <c r="I48" s="55">
        <f t="shared" si="4"/>
        <v>712.8</v>
      </c>
      <c r="J48" s="56">
        <f t="shared" si="5"/>
        <v>534.59999999999991</v>
      </c>
      <c r="K48" s="177"/>
    </row>
    <row r="49" spans="1:11" x14ac:dyDescent="0.25">
      <c r="A49" s="24" t="s">
        <v>76</v>
      </c>
      <c r="B49" s="30" t="s">
        <v>1685</v>
      </c>
      <c r="C49" s="266">
        <v>4</v>
      </c>
      <c r="D49" s="108">
        <v>356.4</v>
      </c>
      <c r="E49" s="48">
        <f t="shared" si="0"/>
        <v>178.2</v>
      </c>
      <c r="F49" s="41">
        <f t="shared" si="1"/>
        <v>534.59999999999991</v>
      </c>
      <c r="G49" s="53">
        <f t="shared" si="2"/>
        <v>400.94999999999993</v>
      </c>
      <c r="H49" s="54">
        <f t="shared" si="3"/>
        <v>178.2</v>
      </c>
      <c r="I49" s="55">
        <f t="shared" si="4"/>
        <v>712.8</v>
      </c>
      <c r="J49" s="56">
        <f t="shared" si="5"/>
        <v>534.59999999999991</v>
      </c>
      <c r="K49" s="177"/>
    </row>
    <row r="50" spans="1:11" x14ac:dyDescent="0.25">
      <c r="A50" s="24" t="s">
        <v>77</v>
      </c>
      <c r="B50" s="30" t="s">
        <v>1747</v>
      </c>
      <c r="C50" s="266">
        <v>4</v>
      </c>
      <c r="D50" s="108">
        <v>356.4</v>
      </c>
      <c r="E50" s="48">
        <f t="shared" si="0"/>
        <v>178.2</v>
      </c>
      <c r="F50" s="41">
        <f t="shared" si="1"/>
        <v>534.59999999999991</v>
      </c>
      <c r="G50" s="53">
        <f t="shared" si="2"/>
        <v>400.94999999999993</v>
      </c>
      <c r="H50" s="54">
        <f t="shared" si="3"/>
        <v>178.2</v>
      </c>
      <c r="I50" s="55">
        <f t="shared" si="4"/>
        <v>712.8</v>
      </c>
      <c r="J50" s="56">
        <f t="shared" si="5"/>
        <v>534.59999999999991</v>
      </c>
      <c r="K50" s="177"/>
    </row>
    <row r="51" spans="1:11" x14ac:dyDescent="0.25">
      <c r="A51" s="24" t="s">
        <v>78</v>
      </c>
      <c r="B51" s="30" t="s">
        <v>1747</v>
      </c>
      <c r="C51" s="266">
        <v>4</v>
      </c>
      <c r="D51" s="108">
        <v>356.4</v>
      </c>
      <c r="E51" s="48">
        <f t="shared" si="0"/>
        <v>178.2</v>
      </c>
      <c r="F51" s="41">
        <f t="shared" si="1"/>
        <v>534.59999999999991</v>
      </c>
      <c r="G51" s="53">
        <f t="shared" si="2"/>
        <v>400.94999999999993</v>
      </c>
      <c r="H51" s="54">
        <f t="shared" si="3"/>
        <v>178.2</v>
      </c>
      <c r="I51" s="55">
        <f t="shared" si="4"/>
        <v>712.8</v>
      </c>
      <c r="J51" s="56">
        <f t="shared" si="5"/>
        <v>534.59999999999991</v>
      </c>
      <c r="K51" s="177"/>
    </row>
    <row r="52" spans="1:11" x14ac:dyDescent="0.25">
      <c r="A52" s="159"/>
      <c r="B52" s="30"/>
      <c r="C52" s="268"/>
      <c r="D52" s="30"/>
      <c r="E52" s="48"/>
      <c r="F52" s="41"/>
      <c r="G52" s="53"/>
      <c r="H52" s="54"/>
      <c r="I52" s="55"/>
      <c r="J52" s="56"/>
      <c r="K52" s="177"/>
    </row>
    <row r="53" spans="1:11" x14ac:dyDescent="0.25">
      <c r="A53" s="24" t="s">
        <v>87</v>
      </c>
      <c r="B53" s="30" t="s">
        <v>2058</v>
      </c>
      <c r="C53" s="266">
        <v>4</v>
      </c>
      <c r="D53" s="108">
        <v>356.4</v>
      </c>
      <c r="E53" s="48">
        <f t="shared" si="0"/>
        <v>178.2</v>
      </c>
      <c r="F53" s="41">
        <f t="shared" si="1"/>
        <v>534.59999999999991</v>
      </c>
      <c r="G53" s="53">
        <f t="shared" si="2"/>
        <v>400.94999999999993</v>
      </c>
      <c r="H53" s="54">
        <f t="shared" si="3"/>
        <v>178.2</v>
      </c>
      <c r="I53" s="55">
        <f t="shared" si="4"/>
        <v>712.8</v>
      </c>
      <c r="J53" s="56">
        <f t="shared" si="5"/>
        <v>534.59999999999991</v>
      </c>
      <c r="K53" s="177"/>
    </row>
    <row r="54" spans="1:11" x14ac:dyDescent="0.25">
      <c r="A54" s="24" t="s">
        <v>88</v>
      </c>
      <c r="B54" s="30" t="s">
        <v>1709</v>
      </c>
      <c r="C54" s="266">
        <v>4</v>
      </c>
      <c r="D54" s="108">
        <v>356.4</v>
      </c>
      <c r="E54" s="48">
        <f t="shared" si="0"/>
        <v>178.2</v>
      </c>
      <c r="F54" s="41">
        <f t="shared" si="1"/>
        <v>534.59999999999991</v>
      </c>
      <c r="G54" s="53">
        <f t="shared" si="2"/>
        <v>400.94999999999993</v>
      </c>
      <c r="H54" s="54">
        <f t="shared" si="3"/>
        <v>178.2</v>
      </c>
      <c r="I54" s="55">
        <f t="shared" si="4"/>
        <v>712.8</v>
      </c>
      <c r="J54" s="56">
        <f t="shared" si="5"/>
        <v>534.59999999999991</v>
      </c>
      <c r="K54" s="177"/>
    </row>
    <row r="55" spans="1:11" x14ac:dyDescent="0.25">
      <c r="A55" s="24" t="s">
        <v>90</v>
      </c>
      <c r="B55" s="30" t="s">
        <v>2140</v>
      </c>
      <c r="C55" s="266">
        <v>4</v>
      </c>
      <c r="D55" s="108">
        <v>356.4</v>
      </c>
      <c r="E55" s="48">
        <f t="shared" si="0"/>
        <v>178.2</v>
      </c>
      <c r="F55" s="41">
        <f t="shared" si="1"/>
        <v>534.59999999999991</v>
      </c>
      <c r="G55" s="53">
        <f t="shared" si="2"/>
        <v>400.94999999999993</v>
      </c>
      <c r="H55" s="54">
        <f t="shared" si="3"/>
        <v>178.2</v>
      </c>
      <c r="I55" s="55">
        <f t="shared" si="4"/>
        <v>712.8</v>
      </c>
      <c r="J55" s="56">
        <f t="shared" si="5"/>
        <v>534.59999999999991</v>
      </c>
      <c r="K55" s="177"/>
    </row>
    <row r="56" spans="1:11" x14ac:dyDescent="0.25">
      <c r="A56" s="24" t="s">
        <v>91</v>
      </c>
      <c r="B56" s="30" t="s">
        <v>1389</v>
      </c>
      <c r="C56" s="266">
        <v>4</v>
      </c>
      <c r="D56" s="108">
        <v>356.4</v>
      </c>
      <c r="E56" s="48">
        <f t="shared" si="0"/>
        <v>178.2</v>
      </c>
      <c r="F56" s="41">
        <f t="shared" si="1"/>
        <v>534.59999999999991</v>
      </c>
      <c r="G56" s="53">
        <f t="shared" si="2"/>
        <v>400.94999999999993</v>
      </c>
      <c r="H56" s="54">
        <f t="shared" si="3"/>
        <v>178.2</v>
      </c>
      <c r="I56" s="55">
        <f t="shared" si="4"/>
        <v>712.8</v>
      </c>
      <c r="J56" s="56">
        <f t="shared" si="5"/>
        <v>534.59999999999991</v>
      </c>
      <c r="K56" s="177"/>
    </row>
    <row r="57" spans="1:11" x14ac:dyDescent="0.25">
      <c r="A57" s="24" t="s">
        <v>93</v>
      </c>
      <c r="B57" s="30" t="s">
        <v>1389</v>
      </c>
      <c r="C57" s="266">
        <v>4</v>
      </c>
      <c r="D57" s="108">
        <v>356.4</v>
      </c>
      <c r="E57" s="48">
        <f t="shared" si="0"/>
        <v>178.2</v>
      </c>
      <c r="F57" s="41">
        <f t="shared" si="1"/>
        <v>534.59999999999991</v>
      </c>
      <c r="G57" s="53">
        <f t="shared" si="2"/>
        <v>400.94999999999993</v>
      </c>
      <c r="H57" s="54">
        <f t="shared" si="3"/>
        <v>178.2</v>
      </c>
      <c r="I57" s="55">
        <f t="shared" si="4"/>
        <v>712.8</v>
      </c>
      <c r="J57" s="56">
        <f t="shared" si="5"/>
        <v>534.59999999999991</v>
      </c>
      <c r="K57" s="177"/>
    </row>
    <row r="58" spans="1:11" x14ac:dyDescent="0.25">
      <c r="A58" s="24" t="s">
        <v>94</v>
      </c>
      <c r="B58" s="30" t="s">
        <v>1228</v>
      </c>
      <c r="C58" s="266">
        <v>4</v>
      </c>
      <c r="D58" s="108">
        <v>356.4</v>
      </c>
      <c r="E58" s="48">
        <f t="shared" si="0"/>
        <v>178.2</v>
      </c>
      <c r="F58" s="41">
        <f t="shared" si="1"/>
        <v>534.59999999999991</v>
      </c>
      <c r="G58" s="53">
        <f t="shared" si="2"/>
        <v>400.94999999999993</v>
      </c>
      <c r="H58" s="54">
        <f t="shared" si="3"/>
        <v>178.2</v>
      </c>
      <c r="I58" s="55">
        <f t="shared" si="4"/>
        <v>712.8</v>
      </c>
      <c r="J58" s="56">
        <f t="shared" si="5"/>
        <v>534.59999999999991</v>
      </c>
      <c r="K58" s="177"/>
    </row>
    <row r="59" spans="1:11" x14ac:dyDescent="0.25">
      <c r="A59" s="24" t="s">
        <v>95</v>
      </c>
      <c r="B59" s="30" t="s">
        <v>1228</v>
      </c>
      <c r="C59" s="266">
        <v>4</v>
      </c>
      <c r="D59" s="108">
        <v>356.4</v>
      </c>
      <c r="E59" s="48">
        <f t="shared" si="0"/>
        <v>178.2</v>
      </c>
      <c r="F59" s="41">
        <f t="shared" si="1"/>
        <v>534.59999999999991</v>
      </c>
      <c r="G59" s="53">
        <f t="shared" si="2"/>
        <v>400.94999999999993</v>
      </c>
      <c r="H59" s="54">
        <f t="shared" si="3"/>
        <v>178.2</v>
      </c>
      <c r="I59" s="55">
        <f t="shared" si="4"/>
        <v>712.8</v>
      </c>
      <c r="J59" s="56">
        <f t="shared" si="5"/>
        <v>534.59999999999991</v>
      </c>
      <c r="K59" s="177"/>
    </row>
    <row r="60" spans="1:11" x14ac:dyDescent="0.25">
      <c r="A60" s="24" t="s">
        <v>96</v>
      </c>
      <c r="B60" s="30" t="s">
        <v>1578</v>
      </c>
      <c r="C60" s="266">
        <v>4</v>
      </c>
      <c r="D60" s="108">
        <v>356.4</v>
      </c>
      <c r="E60" s="48">
        <f t="shared" si="0"/>
        <v>178.2</v>
      </c>
      <c r="F60" s="41">
        <f t="shared" si="1"/>
        <v>534.59999999999991</v>
      </c>
      <c r="G60" s="53">
        <f t="shared" si="2"/>
        <v>400.94999999999993</v>
      </c>
      <c r="H60" s="54">
        <f t="shared" si="3"/>
        <v>178.2</v>
      </c>
      <c r="I60" s="55">
        <f t="shared" si="4"/>
        <v>712.8</v>
      </c>
      <c r="J60" s="56">
        <f t="shared" si="5"/>
        <v>534.59999999999991</v>
      </c>
      <c r="K60" s="177"/>
    </row>
    <row r="61" spans="1:11" x14ac:dyDescent="0.25">
      <c r="A61" s="24" t="s">
        <v>97</v>
      </c>
      <c r="B61" s="30" t="s">
        <v>1578</v>
      </c>
      <c r="C61" s="266">
        <v>4</v>
      </c>
      <c r="D61" s="108">
        <v>356.4</v>
      </c>
      <c r="E61" s="48">
        <f t="shared" si="0"/>
        <v>178.2</v>
      </c>
      <c r="F61" s="41">
        <f t="shared" si="1"/>
        <v>534.59999999999991</v>
      </c>
      <c r="G61" s="53">
        <f t="shared" si="2"/>
        <v>400.94999999999993</v>
      </c>
      <c r="H61" s="54">
        <f t="shared" si="3"/>
        <v>178.2</v>
      </c>
      <c r="I61" s="55">
        <f t="shared" si="4"/>
        <v>712.8</v>
      </c>
      <c r="J61" s="56">
        <f t="shared" si="5"/>
        <v>534.59999999999991</v>
      </c>
      <c r="K61" s="177"/>
    </row>
    <row r="62" spans="1:11" x14ac:dyDescent="0.25">
      <c r="A62" s="24" t="s">
        <v>98</v>
      </c>
      <c r="B62" s="30" t="s">
        <v>2059</v>
      </c>
      <c r="C62" s="266">
        <v>4</v>
      </c>
      <c r="D62" s="108">
        <v>356.4</v>
      </c>
      <c r="E62" s="48">
        <f t="shared" si="0"/>
        <v>178.2</v>
      </c>
      <c r="F62" s="41">
        <f t="shared" si="1"/>
        <v>534.59999999999991</v>
      </c>
      <c r="G62" s="53">
        <f t="shared" si="2"/>
        <v>400.94999999999993</v>
      </c>
      <c r="H62" s="54">
        <f t="shared" si="3"/>
        <v>178.2</v>
      </c>
      <c r="I62" s="55">
        <f t="shared" si="4"/>
        <v>712.8</v>
      </c>
      <c r="J62" s="56">
        <f t="shared" si="5"/>
        <v>534.59999999999991</v>
      </c>
      <c r="K62" s="177"/>
    </row>
    <row r="63" spans="1:11" x14ac:dyDescent="0.25">
      <c r="A63" s="159"/>
      <c r="B63" s="30"/>
      <c r="C63" s="266"/>
      <c r="D63" s="108"/>
      <c r="E63" s="48"/>
      <c r="F63" s="41"/>
      <c r="G63" s="53"/>
      <c r="H63" s="54"/>
      <c r="I63" s="55"/>
      <c r="J63" s="56"/>
      <c r="K63" s="177"/>
    </row>
    <row r="64" spans="1:11" x14ac:dyDescent="0.25">
      <c r="A64" s="24" t="s">
        <v>101</v>
      </c>
      <c r="B64" s="30" t="s">
        <v>1229</v>
      </c>
      <c r="C64" s="266">
        <v>4</v>
      </c>
      <c r="D64" s="108">
        <v>356.4</v>
      </c>
      <c r="E64" s="48">
        <f t="shared" si="0"/>
        <v>178.2</v>
      </c>
      <c r="F64" s="41">
        <f t="shared" si="1"/>
        <v>534.59999999999991</v>
      </c>
      <c r="G64" s="53">
        <f t="shared" si="2"/>
        <v>400.94999999999993</v>
      </c>
      <c r="H64" s="54">
        <f t="shared" si="3"/>
        <v>178.2</v>
      </c>
      <c r="I64" s="55">
        <f t="shared" si="4"/>
        <v>712.8</v>
      </c>
      <c r="J64" s="56">
        <f t="shared" si="5"/>
        <v>534.59999999999991</v>
      </c>
      <c r="K64" s="177"/>
    </row>
    <row r="65" spans="1:11" x14ac:dyDescent="0.25">
      <c r="A65" s="24" t="s">
        <v>102</v>
      </c>
      <c r="B65" s="30" t="s">
        <v>1229</v>
      </c>
      <c r="C65" s="266">
        <v>4</v>
      </c>
      <c r="D65" s="108">
        <v>356.4</v>
      </c>
      <c r="E65" s="48">
        <f t="shared" si="0"/>
        <v>178.2</v>
      </c>
      <c r="F65" s="41">
        <f t="shared" si="1"/>
        <v>534.59999999999991</v>
      </c>
      <c r="G65" s="53">
        <f t="shared" si="2"/>
        <v>400.94999999999993</v>
      </c>
      <c r="H65" s="54">
        <f t="shared" si="3"/>
        <v>178.2</v>
      </c>
      <c r="I65" s="55">
        <f t="shared" si="4"/>
        <v>712.8</v>
      </c>
      <c r="J65" s="56">
        <f t="shared" si="5"/>
        <v>534.59999999999991</v>
      </c>
      <c r="K65" s="177"/>
    </row>
    <row r="66" spans="1:11" x14ac:dyDescent="0.25">
      <c r="A66" s="24" t="s">
        <v>104</v>
      </c>
      <c r="B66" s="30" t="s">
        <v>1810</v>
      </c>
      <c r="C66" s="266">
        <v>4</v>
      </c>
      <c r="D66" s="108">
        <v>356.4</v>
      </c>
      <c r="E66" s="48">
        <f t="shared" si="0"/>
        <v>178.2</v>
      </c>
      <c r="F66" s="41">
        <f t="shared" si="1"/>
        <v>534.59999999999991</v>
      </c>
      <c r="G66" s="53">
        <f t="shared" si="2"/>
        <v>400.94999999999993</v>
      </c>
      <c r="H66" s="54">
        <f t="shared" si="3"/>
        <v>178.2</v>
      </c>
      <c r="I66" s="55">
        <f t="shared" si="4"/>
        <v>712.8</v>
      </c>
      <c r="J66" s="56">
        <f t="shared" si="5"/>
        <v>534.59999999999991</v>
      </c>
      <c r="K66" s="177"/>
    </row>
    <row r="67" spans="1:11" x14ac:dyDescent="0.25">
      <c r="A67" s="24" t="s">
        <v>105</v>
      </c>
      <c r="B67" s="30" t="s">
        <v>1678</v>
      </c>
      <c r="C67" s="266">
        <v>4</v>
      </c>
      <c r="D67" s="108">
        <v>356.4</v>
      </c>
      <c r="E67" s="48">
        <f t="shared" ref="E67:E130" si="6">D67*50%</f>
        <v>178.2</v>
      </c>
      <c r="F67" s="41">
        <f t="shared" ref="F67:F130" si="7">D67+E67</f>
        <v>534.59999999999991</v>
      </c>
      <c r="G67" s="53">
        <f t="shared" ref="G67:G130" si="8">F67-(F67*25%)</f>
        <v>400.94999999999993</v>
      </c>
      <c r="H67" s="54">
        <f t="shared" ref="H67:H130" si="9">D67*50%</f>
        <v>178.2</v>
      </c>
      <c r="I67" s="55">
        <f t="shared" ref="I67:I130" si="10">D67+(H67*2)</f>
        <v>712.8</v>
      </c>
      <c r="J67" s="56">
        <f t="shared" ref="J67:J130" si="11">I67-(I67*25%)</f>
        <v>534.59999999999991</v>
      </c>
      <c r="K67" s="177"/>
    </row>
    <row r="68" spans="1:11" x14ac:dyDescent="0.25">
      <c r="A68" s="24" t="s">
        <v>107</v>
      </c>
      <c r="B68" s="30" t="s">
        <v>1801</v>
      </c>
      <c r="C68" s="266">
        <v>4</v>
      </c>
      <c r="D68" s="108">
        <v>356.4</v>
      </c>
      <c r="E68" s="48">
        <f t="shared" si="6"/>
        <v>178.2</v>
      </c>
      <c r="F68" s="41">
        <f t="shared" si="7"/>
        <v>534.59999999999991</v>
      </c>
      <c r="G68" s="53">
        <f t="shared" si="8"/>
        <v>400.94999999999993</v>
      </c>
      <c r="H68" s="54">
        <f t="shared" si="9"/>
        <v>178.2</v>
      </c>
      <c r="I68" s="55">
        <f t="shared" si="10"/>
        <v>712.8</v>
      </c>
      <c r="J68" s="56">
        <f t="shared" si="11"/>
        <v>534.59999999999991</v>
      </c>
      <c r="K68" s="177"/>
    </row>
    <row r="69" spans="1:11" x14ac:dyDescent="0.25">
      <c r="A69" s="24" t="s">
        <v>108</v>
      </c>
      <c r="B69" s="30" t="s">
        <v>1801</v>
      </c>
      <c r="C69" s="266">
        <v>4</v>
      </c>
      <c r="D69" s="108">
        <v>356.4</v>
      </c>
      <c r="E69" s="48">
        <f t="shared" si="6"/>
        <v>178.2</v>
      </c>
      <c r="F69" s="41">
        <f t="shared" si="7"/>
        <v>534.59999999999991</v>
      </c>
      <c r="G69" s="53">
        <f t="shared" si="8"/>
        <v>400.94999999999993</v>
      </c>
      <c r="H69" s="54">
        <f t="shared" si="9"/>
        <v>178.2</v>
      </c>
      <c r="I69" s="55">
        <f t="shared" si="10"/>
        <v>712.8</v>
      </c>
      <c r="J69" s="56">
        <f t="shared" si="11"/>
        <v>534.59999999999991</v>
      </c>
      <c r="K69" s="177"/>
    </row>
    <row r="70" spans="1:11" x14ac:dyDescent="0.25">
      <c r="A70" s="24" t="s">
        <v>110</v>
      </c>
      <c r="B70" s="30" t="s">
        <v>1230</v>
      </c>
      <c r="C70" s="266">
        <v>4</v>
      </c>
      <c r="D70" s="108">
        <v>356.4</v>
      </c>
      <c r="E70" s="48">
        <f t="shared" si="6"/>
        <v>178.2</v>
      </c>
      <c r="F70" s="41">
        <f t="shared" si="7"/>
        <v>534.59999999999991</v>
      </c>
      <c r="G70" s="53">
        <f t="shared" si="8"/>
        <v>400.94999999999993</v>
      </c>
      <c r="H70" s="54">
        <f t="shared" si="9"/>
        <v>178.2</v>
      </c>
      <c r="I70" s="55">
        <f t="shared" si="10"/>
        <v>712.8</v>
      </c>
      <c r="J70" s="56">
        <f t="shared" si="11"/>
        <v>534.59999999999991</v>
      </c>
      <c r="K70" s="177"/>
    </row>
    <row r="71" spans="1:11" x14ac:dyDescent="0.25">
      <c r="A71" s="24" t="s">
        <v>112</v>
      </c>
      <c r="B71" s="30" t="s">
        <v>1230</v>
      </c>
      <c r="C71" s="266">
        <v>4</v>
      </c>
      <c r="D71" s="108">
        <v>356.4</v>
      </c>
      <c r="E71" s="48">
        <f t="shared" si="6"/>
        <v>178.2</v>
      </c>
      <c r="F71" s="41">
        <f t="shared" si="7"/>
        <v>534.59999999999991</v>
      </c>
      <c r="G71" s="53">
        <f t="shared" si="8"/>
        <v>400.94999999999993</v>
      </c>
      <c r="H71" s="54">
        <f t="shared" si="9"/>
        <v>178.2</v>
      </c>
      <c r="I71" s="55">
        <f t="shared" si="10"/>
        <v>712.8</v>
      </c>
      <c r="J71" s="56">
        <f t="shared" si="11"/>
        <v>534.59999999999991</v>
      </c>
      <c r="K71" s="177"/>
    </row>
    <row r="72" spans="1:11" x14ac:dyDescent="0.25">
      <c r="A72" s="24" t="s">
        <v>1081</v>
      </c>
      <c r="B72" s="30" t="s">
        <v>1231</v>
      </c>
      <c r="C72" s="266">
        <v>4</v>
      </c>
      <c r="D72" s="108">
        <v>356.4</v>
      </c>
      <c r="E72" s="48">
        <f t="shared" si="6"/>
        <v>178.2</v>
      </c>
      <c r="F72" s="41">
        <f t="shared" si="7"/>
        <v>534.59999999999991</v>
      </c>
      <c r="G72" s="53">
        <f t="shared" si="8"/>
        <v>400.94999999999993</v>
      </c>
      <c r="H72" s="54">
        <f t="shared" si="9"/>
        <v>178.2</v>
      </c>
      <c r="I72" s="55">
        <f t="shared" si="10"/>
        <v>712.8</v>
      </c>
      <c r="J72" s="56">
        <f t="shared" si="11"/>
        <v>534.59999999999991</v>
      </c>
      <c r="K72" s="177"/>
    </row>
    <row r="73" spans="1:11" x14ac:dyDescent="0.25">
      <c r="A73" s="24" t="s">
        <v>1082</v>
      </c>
      <c r="B73" s="30" t="s">
        <v>2093</v>
      </c>
      <c r="C73" s="266">
        <v>4</v>
      </c>
      <c r="D73" s="108">
        <v>356.4</v>
      </c>
      <c r="E73" s="48">
        <f t="shared" si="6"/>
        <v>178.2</v>
      </c>
      <c r="F73" s="41">
        <f t="shared" si="7"/>
        <v>534.59999999999991</v>
      </c>
      <c r="G73" s="53">
        <f t="shared" si="8"/>
        <v>400.94999999999993</v>
      </c>
      <c r="H73" s="54">
        <f t="shared" si="9"/>
        <v>178.2</v>
      </c>
      <c r="I73" s="55">
        <f t="shared" si="10"/>
        <v>712.8</v>
      </c>
      <c r="J73" s="56">
        <f t="shared" si="11"/>
        <v>534.59999999999991</v>
      </c>
      <c r="K73" s="177"/>
    </row>
    <row r="74" spans="1:11" x14ac:dyDescent="0.25">
      <c r="A74" s="163"/>
      <c r="B74" s="164"/>
      <c r="C74" s="267"/>
      <c r="D74" s="108"/>
      <c r="E74" s="48"/>
      <c r="F74" s="41"/>
      <c r="G74" s="53"/>
      <c r="H74" s="54"/>
      <c r="I74" s="55"/>
      <c r="J74" s="56"/>
      <c r="K74" s="177"/>
    </row>
    <row r="75" spans="1:11" x14ac:dyDescent="0.25">
      <c r="A75" s="24" t="s">
        <v>114</v>
      </c>
      <c r="B75" s="30" t="s">
        <v>1232</v>
      </c>
      <c r="C75" s="266">
        <v>4</v>
      </c>
      <c r="D75" s="108">
        <v>332.88</v>
      </c>
      <c r="E75" s="48">
        <f t="shared" si="6"/>
        <v>166.44</v>
      </c>
      <c r="F75" s="41">
        <f t="shared" si="7"/>
        <v>499.32</v>
      </c>
      <c r="G75" s="53">
        <f t="shared" si="8"/>
        <v>374.49</v>
      </c>
      <c r="H75" s="54">
        <f t="shared" si="9"/>
        <v>166.44</v>
      </c>
      <c r="I75" s="55">
        <f t="shared" si="10"/>
        <v>665.76</v>
      </c>
      <c r="J75" s="56">
        <f t="shared" si="11"/>
        <v>499.32</v>
      </c>
      <c r="K75" s="177"/>
    </row>
    <row r="76" spans="1:11" x14ac:dyDescent="0.25">
      <c r="A76" s="24" t="s">
        <v>116</v>
      </c>
      <c r="B76" s="30" t="s">
        <v>1232</v>
      </c>
      <c r="C76" s="266">
        <v>4</v>
      </c>
      <c r="D76" s="108">
        <v>332.88</v>
      </c>
      <c r="E76" s="48">
        <f t="shared" si="6"/>
        <v>166.44</v>
      </c>
      <c r="F76" s="41">
        <f t="shared" si="7"/>
        <v>499.32</v>
      </c>
      <c r="G76" s="53">
        <f t="shared" si="8"/>
        <v>374.49</v>
      </c>
      <c r="H76" s="54">
        <f t="shared" si="9"/>
        <v>166.44</v>
      </c>
      <c r="I76" s="55">
        <f t="shared" si="10"/>
        <v>665.76</v>
      </c>
      <c r="J76" s="56">
        <f t="shared" si="11"/>
        <v>499.32</v>
      </c>
      <c r="K76" s="177"/>
    </row>
    <row r="77" spans="1:11" x14ac:dyDescent="0.25">
      <c r="A77" s="24" t="s">
        <v>117</v>
      </c>
      <c r="B77" s="30" t="s">
        <v>1233</v>
      </c>
      <c r="C77" s="266">
        <v>4</v>
      </c>
      <c r="D77" s="108">
        <v>332.88</v>
      </c>
      <c r="E77" s="48">
        <f t="shared" si="6"/>
        <v>166.44</v>
      </c>
      <c r="F77" s="41">
        <f t="shared" si="7"/>
        <v>499.32</v>
      </c>
      <c r="G77" s="53">
        <f t="shared" si="8"/>
        <v>374.49</v>
      </c>
      <c r="H77" s="54">
        <f t="shared" si="9"/>
        <v>166.44</v>
      </c>
      <c r="I77" s="55">
        <f t="shared" si="10"/>
        <v>665.76</v>
      </c>
      <c r="J77" s="56">
        <f t="shared" si="11"/>
        <v>499.32</v>
      </c>
      <c r="K77" s="177"/>
    </row>
    <row r="78" spans="1:11" x14ac:dyDescent="0.25">
      <c r="A78" s="24" t="s">
        <v>118</v>
      </c>
      <c r="B78" s="30" t="s">
        <v>1584</v>
      </c>
      <c r="C78" s="266">
        <v>4</v>
      </c>
      <c r="D78" s="108">
        <v>332.88</v>
      </c>
      <c r="E78" s="48">
        <f t="shared" si="6"/>
        <v>166.44</v>
      </c>
      <c r="F78" s="41">
        <f t="shared" si="7"/>
        <v>499.32</v>
      </c>
      <c r="G78" s="53">
        <f t="shared" si="8"/>
        <v>374.49</v>
      </c>
      <c r="H78" s="54">
        <f t="shared" si="9"/>
        <v>166.44</v>
      </c>
      <c r="I78" s="55">
        <f t="shared" si="10"/>
        <v>665.76</v>
      </c>
      <c r="J78" s="56">
        <f t="shared" si="11"/>
        <v>499.32</v>
      </c>
      <c r="K78" s="177"/>
    </row>
    <row r="79" spans="1:11" x14ac:dyDescent="0.25">
      <c r="A79" s="24" t="s">
        <v>119</v>
      </c>
      <c r="B79" s="30" t="s">
        <v>1404</v>
      </c>
      <c r="C79" s="266">
        <v>4</v>
      </c>
      <c r="D79" s="108">
        <v>332.88</v>
      </c>
      <c r="E79" s="48">
        <f t="shared" si="6"/>
        <v>166.44</v>
      </c>
      <c r="F79" s="41">
        <f t="shared" si="7"/>
        <v>499.32</v>
      </c>
      <c r="G79" s="53">
        <f t="shared" si="8"/>
        <v>374.49</v>
      </c>
      <c r="H79" s="54">
        <f t="shared" si="9"/>
        <v>166.44</v>
      </c>
      <c r="I79" s="55">
        <f t="shared" si="10"/>
        <v>665.76</v>
      </c>
      <c r="J79" s="56">
        <f t="shared" si="11"/>
        <v>499.32</v>
      </c>
      <c r="K79" s="177"/>
    </row>
    <row r="80" spans="1:11" x14ac:dyDescent="0.25">
      <c r="A80" s="24" t="s">
        <v>120</v>
      </c>
      <c r="B80" s="30" t="s">
        <v>1405</v>
      </c>
      <c r="C80" s="266">
        <v>4</v>
      </c>
      <c r="D80" s="108">
        <v>332.88</v>
      </c>
      <c r="E80" s="48">
        <f t="shared" si="6"/>
        <v>166.44</v>
      </c>
      <c r="F80" s="41">
        <f t="shared" si="7"/>
        <v>499.32</v>
      </c>
      <c r="G80" s="53">
        <f t="shared" si="8"/>
        <v>374.49</v>
      </c>
      <c r="H80" s="54">
        <f t="shared" si="9"/>
        <v>166.44</v>
      </c>
      <c r="I80" s="55">
        <f t="shared" si="10"/>
        <v>665.76</v>
      </c>
      <c r="J80" s="56">
        <f t="shared" si="11"/>
        <v>499.32</v>
      </c>
      <c r="K80" s="177"/>
    </row>
    <row r="81" spans="1:11" x14ac:dyDescent="0.25">
      <c r="A81" s="24" t="s">
        <v>122</v>
      </c>
      <c r="B81" s="30" t="s">
        <v>1584</v>
      </c>
      <c r="C81" s="266">
        <v>4</v>
      </c>
      <c r="D81" s="108">
        <v>332.88</v>
      </c>
      <c r="E81" s="48">
        <f t="shared" si="6"/>
        <v>166.44</v>
      </c>
      <c r="F81" s="41">
        <f t="shared" si="7"/>
        <v>499.32</v>
      </c>
      <c r="G81" s="53">
        <f t="shared" si="8"/>
        <v>374.49</v>
      </c>
      <c r="H81" s="54">
        <f t="shared" si="9"/>
        <v>166.44</v>
      </c>
      <c r="I81" s="55">
        <f t="shared" si="10"/>
        <v>665.76</v>
      </c>
      <c r="J81" s="56">
        <f t="shared" si="11"/>
        <v>499.32</v>
      </c>
      <c r="K81" s="177"/>
    </row>
    <row r="82" spans="1:11" x14ac:dyDescent="0.25">
      <c r="A82" s="24" t="s">
        <v>124</v>
      </c>
      <c r="B82" s="30" t="s">
        <v>1495</v>
      </c>
      <c r="C82" s="266">
        <v>4</v>
      </c>
      <c r="D82" s="108">
        <v>332.88</v>
      </c>
      <c r="E82" s="48">
        <f t="shared" si="6"/>
        <v>166.44</v>
      </c>
      <c r="F82" s="41">
        <f t="shared" si="7"/>
        <v>499.32</v>
      </c>
      <c r="G82" s="53">
        <f t="shared" si="8"/>
        <v>374.49</v>
      </c>
      <c r="H82" s="54">
        <f t="shared" si="9"/>
        <v>166.44</v>
      </c>
      <c r="I82" s="55">
        <f t="shared" si="10"/>
        <v>665.76</v>
      </c>
      <c r="J82" s="56">
        <f t="shared" si="11"/>
        <v>499.32</v>
      </c>
      <c r="K82" s="177"/>
    </row>
    <row r="83" spans="1:11" x14ac:dyDescent="0.25">
      <c r="A83" s="24" t="s">
        <v>126</v>
      </c>
      <c r="B83" s="30" t="s">
        <v>1495</v>
      </c>
      <c r="C83" s="266">
        <v>4</v>
      </c>
      <c r="D83" s="108">
        <v>332.88</v>
      </c>
      <c r="E83" s="48">
        <f t="shared" si="6"/>
        <v>166.44</v>
      </c>
      <c r="F83" s="41">
        <f t="shared" si="7"/>
        <v>499.32</v>
      </c>
      <c r="G83" s="53">
        <f t="shared" si="8"/>
        <v>374.49</v>
      </c>
      <c r="H83" s="54">
        <f t="shared" si="9"/>
        <v>166.44</v>
      </c>
      <c r="I83" s="55">
        <f t="shared" si="10"/>
        <v>665.76</v>
      </c>
      <c r="J83" s="56">
        <f t="shared" si="11"/>
        <v>499.32</v>
      </c>
      <c r="K83" s="177"/>
    </row>
    <row r="84" spans="1:11" x14ac:dyDescent="0.25">
      <c r="A84" s="24" t="s">
        <v>128</v>
      </c>
      <c r="B84" s="30" t="s">
        <v>1748</v>
      </c>
      <c r="C84" s="266">
        <v>4</v>
      </c>
      <c r="D84" s="108">
        <v>332.88</v>
      </c>
      <c r="E84" s="48">
        <f t="shared" si="6"/>
        <v>166.44</v>
      </c>
      <c r="F84" s="41">
        <f t="shared" si="7"/>
        <v>499.32</v>
      </c>
      <c r="G84" s="53">
        <f t="shared" si="8"/>
        <v>374.49</v>
      </c>
      <c r="H84" s="54">
        <f t="shared" si="9"/>
        <v>166.44</v>
      </c>
      <c r="I84" s="55">
        <f t="shared" si="10"/>
        <v>665.76</v>
      </c>
      <c r="J84" s="56">
        <f t="shared" si="11"/>
        <v>499.32</v>
      </c>
      <c r="K84" s="177"/>
    </row>
    <row r="85" spans="1:11" x14ac:dyDescent="0.25">
      <c r="A85" s="159"/>
      <c r="B85" s="30"/>
      <c r="C85" s="267"/>
      <c r="D85" s="108"/>
      <c r="E85" s="48"/>
      <c r="F85" s="41"/>
      <c r="G85" s="53"/>
      <c r="H85" s="54"/>
      <c r="I85" s="55"/>
      <c r="J85" s="56"/>
      <c r="K85" s="177"/>
    </row>
    <row r="86" spans="1:11" x14ac:dyDescent="0.25">
      <c r="A86" s="24" t="s">
        <v>138</v>
      </c>
      <c r="B86" s="30" t="s">
        <v>1234</v>
      </c>
      <c r="C86" s="266">
        <v>4</v>
      </c>
      <c r="D86" s="108">
        <v>332.88</v>
      </c>
      <c r="E86" s="48">
        <f t="shared" si="6"/>
        <v>166.44</v>
      </c>
      <c r="F86" s="41">
        <f t="shared" si="7"/>
        <v>499.32</v>
      </c>
      <c r="G86" s="53">
        <f t="shared" si="8"/>
        <v>374.49</v>
      </c>
      <c r="H86" s="54">
        <f t="shared" si="9"/>
        <v>166.44</v>
      </c>
      <c r="I86" s="55">
        <f t="shared" si="10"/>
        <v>665.76</v>
      </c>
      <c r="J86" s="56">
        <f t="shared" si="11"/>
        <v>499.32</v>
      </c>
      <c r="K86" s="177"/>
    </row>
    <row r="87" spans="1:11" x14ac:dyDescent="0.25">
      <c r="A87" s="24" t="s">
        <v>139</v>
      </c>
      <c r="B87" s="30" t="s">
        <v>1234</v>
      </c>
      <c r="C87" s="266">
        <v>4</v>
      </c>
      <c r="D87" s="108">
        <v>332.88</v>
      </c>
      <c r="E87" s="48">
        <f t="shared" si="6"/>
        <v>166.44</v>
      </c>
      <c r="F87" s="41">
        <f t="shared" si="7"/>
        <v>499.32</v>
      </c>
      <c r="G87" s="53">
        <f t="shared" si="8"/>
        <v>374.49</v>
      </c>
      <c r="H87" s="54">
        <f t="shared" si="9"/>
        <v>166.44</v>
      </c>
      <c r="I87" s="55">
        <f t="shared" si="10"/>
        <v>665.76</v>
      </c>
      <c r="J87" s="56">
        <f t="shared" si="11"/>
        <v>499.32</v>
      </c>
      <c r="K87" s="177"/>
    </row>
    <row r="88" spans="1:11" x14ac:dyDescent="0.25">
      <c r="A88" s="24" t="s">
        <v>140</v>
      </c>
      <c r="B88" s="30" t="s">
        <v>1960</v>
      </c>
      <c r="C88" s="266">
        <v>4</v>
      </c>
      <c r="D88" s="108">
        <v>332.88</v>
      </c>
      <c r="E88" s="48">
        <f t="shared" si="6"/>
        <v>166.44</v>
      </c>
      <c r="F88" s="41">
        <f t="shared" si="7"/>
        <v>499.32</v>
      </c>
      <c r="G88" s="53">
        <f t="shared" si="8"/>
        <v>374.49</v>
      </c>
      <c r="H88" s="54">
        <f t="shared" si="9"/>
        <v>166.44</v>
      </c>
      <c r="I88" s="55">
        <f t="shared" si="10"/>
        <v>665.76</v>
      </c>
      <c r="J88" s="56">
        <f t="shared" si="11"/>
        <v>499.32</v>
      </c>
      <c r="K88" s="177"/>
    </row>
    <row r="89" spans="1:11" x14ac:dyDescent="0.25">
      <c r="A89" s="24" t="s">
        <v>141</v>
      </c>
      <c r="B89" s="30" t="s">
        <v>1235</v>
      </c>
      <c r="C89" s="266">
        <v>4</v>
      </c>
      <c r="D89" s="108">
        <v>332.88</v>
      </c>
      <c r="E89" s="48">
        <f t="shared" si="6"/>
        <v>166.44</v>
      </c>
      <c r="F89" s="41">
        <f t="shared" si="7"/>
        <v>499.32</v>
      </c>
      <c r="G89" s="53">
        <f t="shared" si="8"/>
        <v>374.49</v>
      </c>
      <c r="H89" s="54">
        <f t="shared" si="9"/>
        <v>166.44</v>
      </c>
      <c r="I89" s="55">
        <f t="shared" si="10"/>
        <v>665.76</v>
      </c>
      <c r="J89" s="56">
        <f t="shared" si="11"/>
        <v>499.32</v>
      </c>
      <c r="K89" s="177"/>
    </row>
    <row r="90" spans="1:11" x14ac:dyDescent="0.25">
      <c r="A90" s="24" t="s">
        <v>143</v>
      </c>
      <c r="B90" s="30" t="s">
        <v>1235</v>
      </c>
      <c r="C90" s="266">
        <v>4</v>
      </c>
      <c r="D90" s="108">
        <v>332.88</v>
      </c>
      <c r="E90" s="48">
        <f t="shared" si="6"/>
        <v>166.44</v>
      </c>
      <c r="F90" s="41">
        <f t="shared" si="7"/>
        <v>499.32</v>
      </c>
      <c r="G90" s="53">
        <f t="shared" si="8"/>
        <v>374.49</v>
      </c>
      <c r="H90" s="54">
        <f t="shared" si="9"/>
        <v>166.44</v>
      </c>
      <c r="I90" s="55">
        <f t="shared" si="10"/>
        <v>665.76</v>
      </c>
      <c r="J90" s="56">
        <f t="shared" si="11"/>
        <v>499.32</v>
      </c>
      <c r="K90" s="177"/>
    </row>
    <row r="91" spans="1:11" x14ac:dyDescent="0.25">
      <c r="A91" s="24" t="s">
        <v>144</v>
      </c>
      <c r="B91" s="30" t="s">
        <v>2119</v>
      </c>
      <c r="C91" s="266">
        <v>4</v>
      </c>
      <c r="D91" s="108">
        <v>332.88</v>
      </c>
      <c r="E91" s="48">
        <f t="shared" si="6"/>
        <v>166.44</v>
      </c>
      <c r="F91" s="41">
        <f t="shared" si="7"/>
        <v>499.32</v>
      </c>
      <c r="G91" s="53">
        <f t="shared" si="8"/>
        <v>374.49</v>
      </c>
      <c r="H91" s="54">
        <f t="shared" si="9"/>
        <v>166.44</v>
      </c>
      <c r="I91" s="55">
        <f t="shared" si="10"/>
        <v>665.76</v>
      </c>
      <c r="J91" s="56">
        <f t="shared" si="11"/>
        <v>499.32</v>
      </c>
      <c r="K91" s="177"/>
    </row>
    <row r="92" spans="1:11" x14ac:dyDescent="0.25">
      <c r="A92" s="24" t="s">
        <v>145</v>
      </c>
      <c r="B92" s="30" t="s">
        <v>2119</v>
      </c>
      <c r="C92" s="266">
        <v>4</v>
      </c>
      <c r="D92" s="108">
        <v>332.88</v>
      </c>
      <c r="E92" s="48">
        <f t="shared" si="6"/>
        <v>166.44</v>
      </c>
      <c r="F92" s="41">
        <f t="shared" si="7"/>
        <v>499.32</v>
      </c>
      <c r="G92" s="53">
        <f t="shared" si="8"/>
        <v>374.49</v>
      </c>
      <c r="H92" s="54">
        <f t="shared" si="9"/>
        <v>166.44</v>
      </c>
      <c r="I92" s="55">
        <f t="shared" si="10"/>
        <v>665.76</v>
      </c>
      <c r="J92" s="56">
        <f t="shared" si="11"/>
        <v>499.32</v>
      </c>
      <c r="K92" s="177"/>
    </row>
    <row r="93" spans="1:11" x14ac:dyDescent="0.25">
      <c r="A93" s="24" t="s">
        <v>147</v>
      </c>
      <c r="B93" s="30" t="s">
        <v>2060</v>
      </c>
      <c r="C93" s="266">
        <v>4</v>
      </c>
      <c r="D93" s="108">
        <v>332.88</v>
      </c>
      <c r="E93" s="48">
        <f t="shared" si="6"/>
        <v>166.44</v>
      </c>
      <c r="F93" s="41">
        <f t="shared" si="7"/>
        <v>499.32</v>
      </c>
      <c r="G93" s="53">
        <f t="shared" si="8"/>
        <v>374.49</v>
      </c>
      <c r="H93" s="54">
        <f t="shared" si="9"/>
        <v>166.44</v>
      </c>
      <c r="I93" s="55">
        <f t="shared" si="10"/>
        <v>665.76</v>
      </c>
      <c r="J93" s="56">
        <f t="shared" si="11"/>
        <v>499.32</v>
      </c>
      <c r="K93" s="177"/>
    </row>
    <row r="94" spans="1:11" x14ac:dyDescent="0.25">
      <c r="A94" s="24" t="s">
        <v>149</v>
      </c>
      <c r="B94" s="30" t="s">
        <v>1955</v>
      </c>
      <c r="C94" s="266">
        <v>4</v>
      </c>
      <c r="D94" s="108">
        <v>332.88</v>
      </c>
      <c r="E94" s="48">
        <f t="shared" si="6"/>
        <v>166.44</v>
      </c>
      <c r="F94" s="41">
        <f t="shared" si="7"/>
        <v>499.32</v>
      </c>
      <c r="G94" s="53">
        <f t="shared" si="8"/>
        <v>374.49</v>
      </c>
      <c r="H94" s="54">
        <f t="shared" si="9"/>
        <v>166.44</v>
      </c>
      <c r="I94" s="55">
        <f t="shared" si="10"/>
        <v>665.76</v>
      </c>
      <c r="J94" s="56">
        <f t="shared" si="11"/>
        <v>499.32</v>
      </c>
      <c r="K94" s="177"/>
    </row>
    <row r="95" spans="1:11" x14ac:dyDescent="0.25">
      <c r="A95" s="24" t="s">
        <v>1083</v>
      </c>
      <c r="B95" s="30" t="s">
        <v>1236</v>
      </c>
      <c r="C95" s="266">
        <v>4</v>
      </c>
      <c r="D95" s="108">
        <v>332.88</v>
      </c>
      <c r="E95" s="48">
        <f t="shared" si="6"/>
        <v>166.44</v>
      </c>
      <c r="F95" s="41">
        <f t="shared" si="7"/>
        <v>499.32</v>
      </c>
      <c r="G95" s="53">
        <f t="shared" si="8"/>
        <v>374.49</v>
      </c>
      <c r="H95" s="54">
        <f t="shared" si="9"/>
        <v>166.44</v>
      </c>
      <c r="I95" s="55">
        <f t="shared" si="10"/>
        <v>665.76</v>
      </c>
      <c r="J95" s="56">
        <f t="shared" si="11"/>
        <v>499.32</v>
      </c>
      <c r="K95" s="177"/>
    </row>
    <row r="96" spans="1:11" x14ac:dyDescent="0.25">
      <c r="A96" s="159"/>
      <c r="B96" s="30"/>
      <c r="C96" s="267"/>
      <c r="D96" s="108"/>
      <c r="E96" s="48"/>
      <c r="F96" s="41"/>
      <c r="G96" s="53"/>
      <c r="H96" s="54"/>
      <c r="I96" s="55"/>
      <c r="J96" s="56"/>
      <c r="K96" s="177"/>
    </row>
    <row r="97" spans="1:11" x14ac:dyDescent="0.25">
      <c r="A97" s="24" t="s">
        <v>151</v>
      </c>
      <c r="B97" s="30" t="s">
        <v>1679</v>
      </c>
      <c r="C97" s="266">
        <v>4</v>
      </c>
      <c r="D97" s="108">
        <v>332.88</v>
      </c>
      <c r="E97" s="48">
        <f t="shared" si="6"/>
        <v>166.44</v>
      </c>
      <c r="F97" s="41">
        <f t="shared" si="7"/>
        <v>499.32</v>
      </c>
      <c r="G97" s="53">
        <f t="shared" si="8"/>
        <v>374.49</v>
      </c>
      <c r="H97" s="54">
        <f t="shared" si="9"/>
        <v>166.44</v>
      </c>
      <c r="I97" s="55">
        <f t="shared" si="10"/>
        <v>665.76</v>
      </c>
      <c r="J97" s="56">
        <f t="shared" si="11"/>
        <v>499.32</v>
      </c>
      <c r="K97" s="177"/>
    </row>
    <row r="98" spans="1:11" x14ac:dyDescent="0.25">
      <c r="A98" s="24" t="s">
        <v>152</v>
      </c>
      <c r="B98" s="30" t="s">
        <v>1679</v>
      </c>
      <c r="C98" s="266">
        <v>4</v>
      </c>
      <c r="D98" s="108">
        <v>332.88</v>
      </c>
      <c r="E98" s="48">
        <f t="shared" si="6"/>
        <v>166.44</v>
      </c>
      <c r="F98" s="41">
        <f t="shared" si="7"/>
        <v>499.32</v>
      </c>
      <c r="G98" s="53">
        <f t="shared" si="8"/>
        <v>374.49</v>
      </c>
      <c r="H98" s="54">
        <f t="shared" si="9"/>
        <v>166.44</v>
      </c>
      <c r="I98" s="55">
        <f t="shared" si="10"/>
        <v>665.76</v>
      </c>
      <c r="J98" s="56">
        <f t="shared" si="11"/>
        <v>499.32</v>
      </c>
      <c r="K98" s="177"/>
    </row>
    <row r="99" spans="1:11" x14ac:dyDescent="0.25">
      <c r="A99" s="24" t="s">
        <v>153</v>
      </c>
      <c r="B99" s="30" t="s">
        <v>1955</v>
      </c>
      <c r="C99" s="266">
        <v>4</v>
      </c>
      <c r="D99" s="108">
        <v>332.88</v>
      </c>
      <c r="E99" s="48">
        <f t="shared" si="6"/>
        <v>166.44</v>
      </c>
      <c r="F99" s="41">
        <f t="shared" si="7"/>
        <v>499.32</v>
      </c>
      <c r="G99" s="53">
        <f t="shared" si="8"/>
        <v>374.49</v>
      </c>
      <c r="H99" s="54">
        <f t="shared" si="9"/>
        <v>166.44</v>
      </c>
      <c r="I99" s="55">
        <f t="shared" si="10"/>
        <v>665.76</v>
      </c>
      <c r="J99" s="56">
        <f t="shared" si="11"/>
        <v>499.32</v>
      </c>
      <c r="K99" s="177"/>
    </row>
    <row r="100" spans="1:11" x14ac:dyDescent="0.25">
      <c r="A100" s="24" t="s">
        <v>155</v>
      </c>
      <c r="B100" s="30" t="s">
        <v>2260</v>
      </c>
      <c r="C100" s="266">
        <v>4</v>
      </c>
      <c r="D100" s="108">
        <v>332.88</v>
      </c>
      <c r="E100" s="48">
        <f t="shared" si="6"/>
        <v>166.44</v>
      </c>
      <c r="F100" s="41">
        <f t="shared" si="7"/>
        <v>499.32</v>
      </c>
      <c r="G100" s="53">
        <f t="shared" si="8"/>
        <v>374.49</v>
      </c>
      <c r="H100" s="54">
        <f t="shared" si="9"/>
        <v>166.44</v>
      </c>
      <c r="I100" s="55">
        <f t="shared" si="10"/>
        <v>665.76</v>
      </c>
      <c r="J100" s="56">
        <f t="shared" si="11"/>
        <v>499.32</v>
      </c>
      <c r="K100" s="177"/>
    </row>
    <row r="101" spans="1:11" x14ac:dyDescent="0.25">
      <c r="A101" s="24" t="s">
        <v>156</v>
      </c>
      <c r="B101" s="30" t="s">
        <v>1420</v>
      </c>
      <c r="C101" s="266">
        <v>4</v>
      </c>
      <c r="D101" s="108">
        <v>332.88</v>
      </c>
      <c r="E101" s="48">
        <f t="shared" si="6"/>
        <v>166.44</v>
      </c>
      <c r="F101" s="41">
        <f t="shared" si="7"/>
        <v>499.32</v>
      </c>
      <c r="G101" s="53">
        <f t="shared" si="8"/>
        <v>374.49</v>
      </c>
      <c r="H101" s="54">
        <f t="shared" si="9"/>
        <v>166.44</v>
      </c>
      <c r="I101" s="55">
        <f t="shared" si="10"/>
        <v>665.76</v>
      </c>
      <c r="J101" s="56">
        <f t="shared" si="11"/>
        <v>499.32</v>
      </c>
      <c r="K101" s="177"/>
    </row>
    <row r="102" spans="1:11" x14ac:dyDescent="0.25">
      <c r="A102" s="24" t="s">
        <v>158</v>
      </c>
      <c r="B102" s="30" t="s">
        <v>2237</v>
      </c>
      <c r="C102" s="266">
        <v>4</v>
      </c>
      <c r="D102" s="108">
        <v>332.88</v>
      </c>
      <c r="E102" s="48">
        <f t="shared" si="6"/>
        <v>166.44</v>
      </c>
      <c r="F102" s="41">
        <f t="shared" si="7"/>
        <v>499.32</v>
      </c>
      <c r="G102" s="53">
        <f t="shared" si="8"/>
        <v>374.49</v>
      </c>
      <c r="H102" s="54">
        <f t="shared" si="9"/>
        <v>166.44</v>
      </c>
      <c r="I102" s="55">
        <f t="shared" si="10"/>
        <v>665.76</v>
      </c>
      <c r="J102" s="56">
        <f t="shared" si="11"/>
        <v>499.32</v>
      </c>
      <c r="K102" s="177"/>
    </row>
    <row r="103" spans="1:11" x14ac:dyDescent="0.25">
      <c r="A103" s="24" t="s">
        <v>160</v>
      </c>
      <c r="B103" s="30" t="s">
        <v>2237</v>
      </c>
      <c r="C103" s="266">
        <v>4</v>
      </c>
      <c r="D103" s="108">
        <v>332.88</v>
      </c>
      <c r="E103" s="48">
        <f t="shared" si="6"/>
        <v>166.44</v>
      </c>
      <c r="F103" s="41">
        <f t="shared" si="7"/>
        <v>499.32</v>
      </c>
      <c r="G103" s="53">
        <f t="shared" si="8"/>
        <v>374.49</v>
      </c>
      <c r="H103" s="54">
        <f t="shared" si="9"/>
        <v>166.44</v>
      </c>
      <c r="I103" s="55">
        <f t="shared" si="10"/>
        <v>665.76</v>
      </c>
      <c r="J103" s="56">
        <f t="shared" si="11"/>
        <v>499.32</v>
      </c>
      <c r="K103" s="177"/>
    </row>
    <row r="104" spans="1:11" x14ac:dyDescent="0.25">
      <c r="A104" s="24" t="s">
        <v>161</v>
      </c>
      <c r="B104" s="30" t="s">
        <v>1237</v>
      </c>
      <c r="C104" s="266">
        <v>4</v>
      </c>
      <c r="D104" s="108">
        <v>332.88</v>
      </c>
      <c r="E104" s="48">
        <f t="shared" si="6"/>
        <v>166.44</v>
      </c>
      <c r="F104" s="41">
        <f t="shared" si="7"/>
        <v>499.32</v>
      </c>
      <c r="G104" s="53">
        <f t="shared" si="8"/>
        <v>374.49</v>
      </c>
      <c r="H104" s="54">
        <f t="shared" si="9"/>
        <v>166.44</v>
      </c>
      <c r="I104" s="55">
        <f t="shared" si="10"/>
        <v>665.76</v>
      </c>
      <c r="J104" s="56">
        <f t="shared" si="11"/>
        <v>499.32</v>
      </c>
      <c r="K104" s="177"/>
    </row>
    <row r="105" spans="1:11" x14ac:dyDescent="0.25">
      <c r="A105" s="24" t="s">
        <v>1084</v>
      </c>
      <c r="B105" s="30" t="s">
        <v>1237</v>
      </c>
      <c r="C105" s="266">
        <v>4</v>
      </c>
      <c r="D105" s="108">
        <v>332.88</v>
      </c>
      <c r="E105" s="48">
        <f t="shared" si="6"/>
        <v>166.44</v>
      </c>
      <c r="F105" s="41">
        <f t="shared" si="7"/>
        <v>499.32</v>
      </c>
      <c r="G105" s="53">
        <f t="shared" si="8"/>
        <v>374.49</v>
      </c>
      <c r="H105" s="54">
        <f t="shared" si="9"/>
        <v>166.44</v>
      </c>
      <c r="I105" s="55">
        <f t="shared" si="10"/>
        <v>665.76</v>
      </c>
      <c r="J105" s="56">
        <f t="shared" si="11"/>
        <v>499.32</v>
      </c>
      <c r="K105" s="177"/>
    </row>
    <row r="106" spans="1:11" x14ac:dyDescent="0.25">
      <c r="A106" s="24" t="s">
        <v>1085</v>
      </c>
      <c r="B106" s="30" t="s">
        <v>1849</v>
      </c>
      <c r="C106" s="266">
        <v>4</v>
      </c>
      <c r="D106" s="108">
        <v>332.88</v>
      </c>
      <c r="E106" s="48">
        <f t="shared" si="6"/>
        <v>166.44</v>
      </c>
      <c r="F106" s="41">
        <f t="shared" si="7"/>
        <v>499.32</v>
      </c>
      <c r="G106" s="53">
        <f t="shared" si="8"/>
        <v>374.49</v>
      </c>
      <c r="H106" s="54">
        <f t="shared" si="9"/>
        <v>166.44</v>
      </c>
      <c r="I106" s="55">
        <f t="shared" si="10"/>
        <v>665.76</v>
      </c>
      <c r="J106" s="56">
        <f t="shared" si="11"/>
        <v>499.32</v>
      </c>
      <c r="K106" s="177"/>
    </row>
    <row r="107" spans="1:11" x14ac:dyDescent="0.25">
      <c r="A107" s="24"/>
      <c r="B107" s="30"/>
      <c r="C107" s="268"/>
      <c r="D107" s="30"/>
      <c r="E107" s="48"/>
      <c r="F107" s="41"/>
      <c r="G107" s="53"/>
      <c r="H107" s="54"/>
      <c r="I107" s="55"/>
      <c r="J107" s="56"/>
      <c r="K107" s="177"/>
    </row>
    <row r="108" spans="1:11" x14ac:dyDescent="0.25">
      <c r="A108" s="24" t="s">
        <v>162</v>
      </c>
      <c r="B108" s="30" t="s">
        <v>1238</v>
      </c>
      <c r="C108" s="266">
        <v>4</v>
      </c>
      <c r="D108" s="108">
        <v>356.4</v>
      </c>
      <c r="E108" s="48">
        <f t="shared" si="6"/>
        <v>178.2</v>
      </c>
      <c r="F108" s="41">
        <f t="shared" si="7"/>
        <v>534.59999999999991</v>
      </c>
      <c r="G108" s="53">
        <f t="shared" si="8"/>
        <v>400.94999999999993</v>
      </c>
      <c r="H108" s="54">
        <f t="shared" si="9"/>
        <v>178.2</v>
      </c>
      <c r="I108" s="55">
        <f t="shared" si="10"/>
        <v>712.8</v>
      </c>
      <c r="J108" s="56">
        <f t="shared" si="11"/>
        <v>534.59999999999991</v>
      </c>
      <c r="K108" s="177"/>
    </row>
    <row r="109" spans="1:11" x14ac:dyDescent="0.25">
      <c r="A109" s="24" t="s">
        <v>163</v>
      </c>
      <c r="B109" s="30" t="s">
        <v>1238</v>
      </c>
      <c r="C109" s="266">
        <v>4</v>
      </c>
      <c r="D109" s="108">
        <v>356.4</v>
      </c>
      <c r="E109" s="48">
        <f t="shared" si="6"/>
        <v>178.2</v>
      </c>
      <c r="F109" s="41">
        <f t="shared" si="7"/>
        <v>534.59999999999991</v>
      </c>
      <c r="G109" s="53">
        <f t="shared" si="8"/>
        <v>400.94999999999993</v>
      </c>
      <c r="H109" s="54">
        <f t="shared" si="9"/>
        <v>178.2</v>
      </c>
      <c r="I109" s="55">
        <f t="shared" si="10"/>
        <v>712.8</v>
      </c>
      <c r="J109" s="56">
        <f t="shared" si="11"/>
        <v>534.59999999999991</v>
      </c>
      <c r="K109" s="177"/>
    </row>
    <row r="110" spans="1:11" x14ac:dyDescent="0.25">
      <c r="A110" s="24" t="s">
        <v>164</v>
      </c>
      <c r="B110" s="30" t="s">
        <v>2061</v>
      </c>
      <c r="C110" s="266">
        <v>4</v>
      </c>
      <c r="D110" s="108">
        <v>356.4</v>
      </c>
      <c r="E110" s="48">
        <f t="shared" si="6"/>
        <v>178.2</v>
      </c>
      <c r="F110" s="41">
        <f t="shared" si="7"/>
        <v>534.59999999999991</v>
      </c>
      <c r="G110" s="53">
        <f t="shared" si="8"/>
        <v>400.94999999999993</v>
      </c>
      <c r="H110" s="54">
        <f t="shared" si="9"/>
        <v>178.2</v>
      </c>
      <c r="I110" s="55">
        <f t="shared" si="10"/>
        <v>712.8</v>
      </c>
      <c r="J110" s="56">
        <f t="shared" si="11"/>
        <v>534.59999999999991</v>
      </c>
      <c r="K110" s="177"/>
    </row>
    <row r="111" spans="1:11" x14ac:dyDescent="0.25">
      <c r="A111" s="24" t="s">
        <v>165</v>
      </c>
      <c r="B111" s="30" t="s">
        <v>2061</v>
      </c>
      <c r="C111" s="266">
        <v>4</v>
      </c>
      <c r="D111" s="108">
        <v>356.4</v>
      </c>
      <c r="E111" s="48">
        <f t="shared" si="6"/>
        <v>178.2</v>
      </c>
      <c r="F111" s="41">
        <f t="shared" si="7"/>
        <v>534.59999999999991</v>
      </c>
      <c r="G111" s="53">
        <f t="shared" si="8"/>
        <v>400.94999999999993</v>
      </c>
      <c r="H111" s="54">
        <f t="shared" si="9"/>
        <v>178.2</v>
      </c>
      <c r="I111" s="55">
        <f t="shared" si="10"/>
        <v>712.8</v>
      </c>
      <c r="J111" s="56">
        <f t="shared" si="11"/>
        <v>534.59999999999991</v>
      </c>
      <c r="K111" s="177"/>
    </row>
    <row r="112" spans="1:11" x14ac:dyDescent="0.25">
      <c r="A112" s="159"/>
      <c r="B112" s="30"/>
      <c r="C112" s="267"/>
      <c r="D112" s="108"/>
      <c r="E112" s="48"/>
      <c r="F112" s="41"/>
      <c r="G112" s="53"/>
      <c r="H112" s="54"/>
      <c r="I112" s="55"/>
      <c r="J112" s="56"/>
      <c r="K112" s="177"/>
    </row>
    <row r="113" spans="1:11" x14ac:dyDescent="0.25">
      <c r="A113" s="24" t="s">
        <v>169</v>
      </c>
      <c r="B113" s="30" t="s">
        <v>1239</v>
      </c>
      <c r="C113" s="266">
        <v>4</v>
      </c>
      <c r="D113" s="108">
        <v>379.8</v>
      </c>
      <c r="E113" s="48">
        <f t="shared" si="6"/>
        <v>189.9</v>
      </c>
      <c r="F113" s="41">
        <f t="shared" si="7"/>
        <v>569.70000000000005</v>
      </c>
      <c r="G113" s="53">
        <f t="shared" si="8"/>
        <v>427.27500000000003</v>
      </c>
      <c r="H113" s="54">
        <f t="shared" si="9"/>
        <v>189.9</v>
      </c>
      <c r="I113" s="55">
        <f t="shared" si="10"/>
        <v>759.6</v>
      </c>
      <c r="J113" s="56">
        <f t="shared" si="11"/>
        <v>569.70000000000005</v>
      </c>
      <c r="K113" s="177"/>
    </row>
    <row r="114" spans="1:11" x14ac:dyDescent="0.25">
      <c r="A114" s="24" t="s">
        <v>170</v>
      </c>
      <c r="B114" s="30" t="s">
        <v>2062</v>
      </c>
      <c r="C114" s="266">
        <v>4</v>
      </c>
      <c r="D114" s="108">
        <v>379.8</v>
      </c>
      <c r="E114" s="48">
        <f t="shared" si="6"/>
        <v>189.9</v>
      </c>
      <c r="F114" s="41">
        <f t="shared" si="7"/>
        <v>569.70000000000005</v>
      </c>
      <c r="G114" s="53">
        <f t="shared" si="8"/>
        <v>427.27500000000003</v>
      </c>
      <c r="H114" s="54">
        <f t="shared" si="9"/>
        <v>189.9</v>
      </c>
      <c r="I114" s="55">
        <f t="shared" si="10"/>
        <v>759.6</v>
      </c>
      <c r="J114" s="56">
        <f t="shared" si="11"/>
        <v>569.70000000000005</v>
      </c>
      <c r="K114" s="177"/>
    </row>
    <row r="115" spans="1:11" x14ac:dyDescent="0.25">
      <c r="A115" s="24" t="s">
        <v>171</v>
      </c>
      <c r="B115" s="30" t="s">
        <v>1529</v>
      </c>
      <c r="C115" s="266">
        <v>4</v>
      </c>
      <c r="D115" s="108">
        <v>379.8</v>
      </c>
      <c r="E115" s="48">
        <f t="shared" si="6"/>
        <v>189.9</v>
      </c>
      <c r="F115" s="41">
        <f t="shared" si="7"/>
        <v>569.70000000000005</v>
      </c>
      <c r="G115" s="53">
        <f t="shared" si="8"/>
        <v>427.27500000000003</v>
      </c>
      <c r="H115" s="54">
        <f t="shared" si="9"/>
        <v>189.9</v>
      </c>
      <c r="I115" s="55">
        <f t="shared" si="10"/>
        <v>759.6</v>
      </c>
      <c r="J115" s="56">
        <f t="shared" si="11"/>
        <v>569.70000000000005</v>
      </c>
      <c r="K115" s="177"/>
    </row>
    <row r="116" spans="1:11" x14ac:dyDescent="0.25">
      <c r="A116" s="24" t="s">
        <v>172</v>
      </c>
      <c r="B116" s="30" t="s">
        <v>1499</v>
      </c>
      <c r="C116" s="266">
        <v>4</v>
      </c>
      <c r="D116" s="108">
        <v>379.8</v>
      </c>
      <c r="E116" s="48">
        <f t="shared" si="6"/>
        <v>189.9</v>
      </c>
      <c r="F116" s="41">
        <f t="shared" si="7"/>
        <v>569.70000000000005</v>
      </c>
      <c r="G116" s="53">
        <f t="shared" si="8"/>
        <v>427.27500000000003</v>
      </c>
      <c r="H116" s="54">
        <f t="shared" si="9"/>
        <v>189.9</v>
      </c>
      <c r="I116" s="55">
        <f t="shared" si="10"/>
        <v>759.6</v>
      </c>
      <c r="J116" s="56">
        <f t="shared" si="11"/>
        <v>569.70000000000005</v>
      </c>
      <c r="K116" s="177"/>
    </row>
    <row r="117" spans="1:11" x14ac:dyDescent="0.25">
      <c r="A117" s="24" t="s">
        <v>862</v>
      </c>
      <c r="B117" s="30" t="s">
        <v>1695</v>
      </c>
      <c r="C117" s="266">
        <v>4</v>
      </c>
      <c r="D117" s="108">
        <v>379.8</v>
      </c>
      <c r="E117" s="48">
        <f t="shared" si="6"/>
        <v>189.9</v>
      </c>
      <c r="F117" s="41">
        <f t="shared" si="7"/>
        <v>569.70000000000005</v>
      </c>
      <c r="G117" s="53">
        <f t="shared" si="8"/>
        <v>427.27500000000003</v>
      </c>
      <c r="H117" s="54">
        <f t="shared" si="9"/>
        <v>189.9</v>
      </c>
      <c r="I117" s="55">
        <f t="shared" si="10"/>
        <v>759.6</v>
      </c>
      <c r="J117" s="56">
        <f t="shared" si="11"/>
        <v>569.70000000000005</v>
      </c>
      <c r="K117" s="177"/>
    </row>
    <row r="118" spans="1:11" x14ac:dyDescent="0.25">
      <c r="A118" s="24" t="s">
        <v>863</v>
      </c>
      <c r="B118" s="30" t="s">
        <v>1685</v>
      </c>
      <c r="C118" s="266">
        <v>4</v>
      </c>
      <c r="D118" s="108">
        <v>379.8</v>
      </c>
      <c r="E118" s="48">
        <f t="shared" si="6"/>
        <v>189.9</v>
      </c>
      <c r="F118" s="41">
        <f t="shared" si="7"/>
        <v>569.70000000000005</v>
      </c>
      <c r="G118" s="53">
        <f t="shared" si="8"/>
        <v>427.27500000000003</v>
      </c>
      <c r="H118" s="54">
        <f t="shared" si="9"/>
        <v>189.9</v>
      </c>
      <c r="I118" s="55">
        <f t="shared" si="10"/>
        <v>759.6</v>
      </c>
      <c r="J118" s="56">
        <f t="shared" si="11"/>
        <v>569.70000000000005</v>
      </c>
      <c r="K118" s="177"/>
    </row>
    <row r="119" spans="1:11" x14ac:dyDescent="0.25">
      <c r="A119" s="24" t="s">
        <v>1086</v>
      </c>
      <c r="B119" s="30" t="s">
        <v>1676</v>
      </c>
      <c r="C119" s="266">
        <v>4</v>
      </c>
      <c r="D119" s="108">
        <v>379.8</v>
      </c>
      <c r="E119" s="48">
        <f t="shared" si="6"/>
        <v>189.9</v>
      </c>
      <c r="F119" s="41">
        <f t="shared" si="7"/>
        <v>569.70000000000005</v>
      </c>
      <c r="G119" s="53">
        <f t="shared" si="8"/>
        <v>427.27500000000003</v>
      </c>
      <c r="H119" s="54">
        <f t="shared" si="9"/>
        <v>189.9</v>
      </c>
      <c r="I119" s="55">
        <f t="shared" si="10"/>
        <v>759.6</v>
      </c>
      <c r="J119" s="56">
        <f t="shared" si="11"/>
        <v>569.70000000000005</v>
      </c>
      <c r="K119" s="177"/>
    </row>
    <row r="120" spans="1:11" x14ac:dyDescent="0.25">
      <c r="A120" s="24" t="s">
        <v>1087</v>
      </c>
      <c r="B120" s="30" t="s">
        <v>1676</v>
      </c>
      <c r="C120" s="266">
        <v>4</v>
      </c>
      <c r="D120" s="108">
        <v>379.8</v>
      </c>
      <c r="E120" s="48">
        <f t="shared" si="6"/>
        <v>189.9</v>
      </c>
      <c r="F120" s="41">
        <f t="shared" si="7"/>
        <v>569.70000000000005</v>
      </c>
      <c r="G120" s="53">
        <f t="shared" si="8"/>
        <v>427.27500000000003</v>
      </c>
      <c r="H120" s="54">
        <f t="shared" si="9"/>
        <v>189.9</v>
      </c>
      <c r="I120" s="55">
        <f t="shared" si="10"/>
        <v>759.6</v>
      </c>
      <c r="J120" s="56">
        <f t="shared" si="11"/>
        <v>569.70000000000005</v>
      </c>
      <c r="K120" s="177"/>
    </row>
    <row r="121" spans="1:11" x14ac:dyDescent="0.25">
      <c r="A121" s="24" t="s">
        <v>1088</v>
      </c>
      <c r="B121" s="30" t="s">
        <v>1240</v>
      </c>
      <c r="C121" s="266">
        <v>4</v>
      </c>
      <c r="D121" s="108">
        <v>379.8</v>
      </c>
      <c r="E121" s="48">
        <f t="shared" si="6"/>
        <v>189.9</v>
      </c>
      <c r="F121" s="41">
        <f t="shared" si="7"/>
        <v>569.70000000000005</v>
      </c>
      <c r="G121" s="53">
        <f t="shared" si="8"/>
        <v>427.27500000000003</v>
      </c>
      <c r="H121" s="54">
        <f t="shared" si="9"/>
        <v>189.9</v>
      </c>
      <c r="I121" s="55">
        <f t="shared" si="10"/>
        <v>759.6</v>
      </c>
      <c r="J121" s="56">
        <f t="shared" si="11"/>
        <v>569.70000000000005</v>
      </c>
      <c r="K121" s="177"/>
    </row>
    <row r="122" spans="1:11" x14ac:dyDescent="0.25">
      <c r="A122" s="24" t="s">
        <v>1089</v>
      </c>
      <c r="B122" s="30" t="s">
        <v>1665</v>
      </c>
      <c r="C122" s="266">
        <v>4</v>
      </c>
      <c r="D122" s="108">
        <v>379.8</v>
      </c>
      <c r="E122" s="48">
        <f t="shared" si="6"/>
        <v>189.9</v>
      </c>
      <c r="F122" s="41">
        <f t="shared" si="7"/>
        <v>569.70000000000005</v>
      </c>
      <c r="G122" s="53">
        <f t="shared" si="8"/>
        <v>427.27500000000003</v>
      </c>
      <c r="H122" s="54">
        <f t="shared" si="9"/>
        <v>189.9</v>
      </c>
      <c r="I122" s="55">
        <f t="shared" si="10"/>
        <v>759.6</v>
      </c>
      <c r="J122" s="56">
        <f t="shared" si="11"/>
        <v>569.70000000000005</v>
      </c>
      <c r="K122" s="177"/>
    </row>
    <row r="123" spans="1:11" x14ac:dyDescent="0.25">
      <c r="A123" s="24" t="s">
        <v>1090</v>
      </c>
      <c r="B123" s="30" t="s">
        <v>1683</v>
      </c>
      <c r="C123" s="266">
        <v>4</v>
      </c>
      <c r="D123" s="108">
        <v>379.8</v>
      </c>
      <c r="E123" s="48">
        <f t="shared" si="6"/>
        <v>189.9</v>
      </c>
      <c r="F123" s="41">
        <f t="shared" si="7"/>
        <v>569.70000000000005</v>
      </c>
      <c r="G123" s="53">
        <f t="shared" si="8"/>
        <v>427.27500000000003</v>
      </c>
      <c r="H123" s="54">
        <f t="shared" si="9"/>
        <v>189.9</v>
      </c>
      <c r="I123" s="55">
        <f t="shared" si="10"/>
        <v>759.6</v>
      </c>
      <c r="J123" s="56">
        <f t="shared" si="11"/>
        <v>569.70000000000005</v>
      </c>
      <c r="K123" s="177"/>
    </row>
    <row r="124" spans="1:11" x14ac:dyDescent="0.25">
      <c r="A124" s="24" t="s">
        <v>1091</v>
      </c>
      <c r="B124" s="30" t="s">
        <v>1861</v>
      </c>
      <c r="C124" s="266">
        <v>4</v>
      </c>
      <c r="D124" s="108">
        <v>379.8</v>
      </c>
      <c r="E124" s="48">
        <f t="shared" si="6"/>
        <v>189.9</v>
      </c>
      <c r="F124" s="41">
        <f t="shared" si="7"/>
        <v>569.70000000000005</v>
      </c>
      <c r="G124" s="53">
        <f t="shared" si="8"/>
        <v>427.27500000000003</v>
      </c>
      <c r="H124" s="54">
        <f t="shared" si="9"/>
        <v>189.9</v>
      </c>
      <c r="I124" s="55">
        <f t="shared" si="10"/>
        <v>759.6</v>
      </c>
      <c r="J124" s="56">
        <f t="shared" si="11"/>
        <v>569.70000000000005</v>
      </c>
      <c r="K124" s="177"/>
    </row>
    <row r="125" spans="1:11" x14ac:dyDescent="0.25">
      <c r="A125" s="24" t="s">
        <v>1092</v>
      </c>
      <c r="B125" s="30" t="s">
        <v>1499</v>
      </c>
      <c r="C125" s="266">
        <v>4</v>
      </c>
      <c r="D125" s="108">
        <v>379.8</v>
      </c>
      <c r="E125" s="48">
        <f t="shared" si="6"/>
        <v>189.9</v>
      </c>
      <c r="F125" s="41">
        <f t="shared" si="7"/>
        <v>569.70000000000005</v>
      </c>
      <c r="G125" s="53">
        <f t="shared" si="8"/>
        <v>427.27500000000003</v>
      </c>
      <c r="H125" s="54">
        <f t="shared" si="9"/>
        <v>189.9</v>
      </c>
      <c r="I125" s="55">
        <f t="shared" si="10"/>
        <v>759.6</v>
      </c>
      <c r="J125" s="56">
        <f t="shared" si="11"/>
        <v>569.70000000000005</v>
      </c>
      <c r="K125" s="177"/>
    </row>
    <row r="126" spans="1:11" x14ac:dyDescent="0.25">
      <c r="A126" s="24" t="s">
        <v>1093</v>
      </c>
      <c r="B126" s="30" t="s">
        <v>1241</v>
      </c>
      <c r="C126" s="266">
        <v>4</v>
      </c>
      <c r="D126" s="108">
        <v>379.8</v>
      </c>
      <c r="E126" s="48">
        <f t="shared" si="6"/>
        <v>189.9</v>
      </c>
      <c r="F126" s="41">
        <f t="shared" si="7"/>
        <v>569.70000000000005</v>
      </c>
      <c r="G126" s="53">
        <f t="shared" si="8"/>
        <v>427.27500000000003</v>
      </c>
      <c r="H126" s="54">
        <f t="shared" si="9"/>
        <v>189.9</v>
      </c>
      <c r="I126" s="55">
        <f t="shared" si="10"/>
        <v>759.6</v>
      </c>
      <c r="J126" s="56">
        <f t="shared" si="11"/>
        <v>569.70000000000005</v>
      </c>
      <c r="K126" s="177"/>
    </row>
    <row r="127" spans="1:11" x14ac:dyDescent="0.25">
      <c r="A127" s="24" t="s">
        <v>1094</v>
      </c>
      <c r="B127" s="30" t="s">
        <v>1241</v>
      </c>
      <c r="C127" s="266">
        <v>4</v>
      </c>
      <c r="D127" s="108">
        <v>379.8</v>
      </c>
      <c r="E127" s="48">
        <f t="shared" si="6"/>
        <v>189.9</v>
      </c>
      <c r="F127" s="41">
        <f t="shared" si="7"/>
        <v>569.70000000000005</v>
      </c>
      <c r="G127" s="53">
        <f t="shared" si="8"/>
        <v>427.27500000000003</v>
      </c>
      <c r="H127" s="54">
        <f t="shared" si="9"/>
        <v>189.9</v>
      </c>
      <c r="I127" s="55">
        <f t="shared" si="10"/>
        <v>759.6</v>
      </c>
      <c r="J127" s="56">
        <f t="shared" si="11"/>
        <v>569.70000000000005</v>
      </c>
      <c r="K127" s="177"/>
    </row>
    <row r="128" spans="1:11" x14ac:dyDescent="0.25">
      <c r="A128" s="24" t="s">
        <v>1095</v>
      </c>
      <c r="B128" s="30" t="s">
        <v>1239</v>
      </c>
      <c r="C128" s="266">
        <v>4</v>
      </c>
      <c r="D128" s="108">
        <v>379.8</v>
      </c>
      <c r="E128" s="48">
        <f t="shared" si="6"/>
        <v>189.9</v>
      </c>
      <c r="F128" s="41">
        <f t="shared" si="7"/>
        <v>569.70000000000005</v>
      </c>
      <c r="G128" s="53">
        <f t="shared" si="8"/>
        <v>427.27500000000003</v>
      </c>
      <c r="H128" s="54">
        <f t="shared" si="9"/>
        <v>189.9</v>
      </c>
      <c r="I128" s="55">
        <f t="shared" si="10"/>
        <v>759.6</v>
      </c>
      <c r="J128" s="56">
        <f t="shared" si="11"/>
        <v>569.70000000000005</v>
      </c>
      <c r="K128" s="177"/>
    </row>
    <row r="129" spans="1:11" x14ac:dyDescent="0.25">
      <c r="A129" s="159"/>
      <c r="B129" s="30"/>
      <c r="C129" s="267"/>
      <c r="D129" s="108"/>
      <c r="E129" s="48"/>
      <c r="F129" s="41"/>
      <c r="G129" s="53"/>
      <c r="H129" s="54"/>
      <c r="I129" s="55"/>
      <c r="J129" s="56"/>
      <c r="K129" s="177"/>
    </row>
    <row r="130" spans="1:11" x14ac:dyDescent="0.25">
      <c r="A130" s="24" t="s">
        <v>173</v>
      </c>
      <c r="B130" s="30" t="s">
        <v>1656</v>
      </c>
      <c r="C130" s="266">
        <v>4</v>
      </c>
      <c r="D130" s="108">
        <v>356.4</v>
      </c>
      <c r="E130" s="48">
        <f t="shared" si="6"/>
        <v>178.2</v>
      </c>
      <c r="F130" s="41">
        <f t="shared" si="7"/>
        <v>534.59999999999991</v>
      </c>
      <c r="G130" s="53">
        <f t="shared" si="8"/>
        <v>400.94999999999993</v>
      </c>
      <c r="H130" s="54">
        <f t="shared" si="9"/>
        <v>178.2</v>
      </c>
      <c r="I130" s="55">
        <f t="shared" si="10"/>
        <v>712.8</v>
      </c>
      <c r="J130" s="56">
        <f t="shared" si="11"/>
        <v>534.59999999999991</v>
      </c>
      <c r="K130" s="177"/>
    </row>
    <row r="131" spans="1:11" x14ac:dyDescent="0.25">
      <c r="A131" s="24" t="s">
        <v>174</v>
      </c>
      <c r="B131" s="30" t="s">
        <v>2107</v>
      </c>
      <c r="C131" s="266">
        <v>4</v>
      </c>
      <c r="D131" s="108">
        <v>356.4</v>
      </c>
      <c r="E131" s="48">
        <f t="shared" ref="E131:E194" si="12">D131*50%</f>
        <v>178.2</v>
      </c>
      <c r="F131" s="41">
        <f t="shared" ref="F131:F194" si="13">D131+E131</f>
        <v>534.59999999999991</v>
      </c>
      <c r="G131" s="53">
        <f t="shared" ref="G131:G194" si="14">F131-(F131*25%)</f>
        <v>400.94999999999993</v>
      </c>
      <c r="H131" s="54">
        <f t="shared" ref="H131:H194" si="15">D131*50%</f>
        <v>178.2</v>
      </c>
      <c r="I131" s="55">
        <f t="shared" ref="I131:I194" si="16">D131+(H131*2)</f>
        <v>712.8</v>
      </c>
      <c r="J131" s="56">
        <f t="shared" ref="J131:J194" si="17">I131-(I131*25%)</f>
        <v>534.59999999999991</v>
      </c>
      <c r="K131" s="177"/>
    </row>
    <row r="132" spans="1:11" x14ac:dyDescent="0.25">
      <c r="A132" s="24" t="s">
        <v>176</v>
      </c>
      <c r="B132" s="30" t="s">
        <v>1242</v>
      </c>
      <c r="C132" s="266">
        <v>4</v>
      </c>
      <c r="D132" s="108">
        <v>356.4</v>
      </c>
      <c r="E132" s="48">
        <f t="shared" si="12"/>
        <v>178.2</v>
      </c>
      <c r="F132" s="41">
        <f t="shared" si="13"/>
        <v>534.59999999999991</v>
      </c>
      <c r="G132" s="53">
        <f t="shared" si="14"/>
        <v>400.94999999999993</v>
      </c>
      <c r="H132" s="54">
        <f t="shared" si="15"/>
        <v>178.2</v>
      </c>
      <c r="I132" s="55">
        <f t="shared" si="16"/>
        <v>712.8</v>
      </c>
      <c r="J132" s="56">
        <f t="shared" si="17"/>
        <v>534.59999999999991</v>
      </c>
      <c r="K132" s="177"/>
    </row>
    <row r="133" spans="1:11" x14ac:dyDescent="0.25">
      <c r="A133" s="24" t="s">
        <v>177</v>
      </c>
      <c r="B133" s="30" t="s">
        <v>1242</v>
      </c>
      <c r="C133" s="266">
        <v>4</v>
      </c>
      <c r="D133" s="108">
        <v>356.4</v>
      </c>
      <c r="E133" s="48">
        <f t="shared" si="12"/>
        <v>178.2</v>
      </c>
      <c r="F133" s="41">
        <f t="shared" si="13"/>
        <v>534.59999999999991</v>
      </c>
      <c r="G133" s="53">
        <f t="shared" si="14"/>
        <v>400.94999999999993</v>
      </c>
      <c r="H133" s="54">
        <f t="shared" si="15"/>
        <v>178.2</v>
      </c>
      <c r="I133" s="55">
        <f t="shared" si="16"/>
        <v>712.8</v>
      </c>
      <c r="J133" s="56">
        <f t="shared" si="17"/>
        <v>534.59999999999991</v>
      </c>
      <c r="K133" s="177"/>
    </row>
    <row r="134" spans="1:11" x14ac:dyDescent="0.25">
      <c r="A134" s="24" t="s">
        <v>178</v>
      </c>
      <c r="B134" s="30" t="s">
        <v>1242</v>
      </c>
      <c r="C134" s="266">
        <v>4</v>
      </c>
      <c r="D134" s="108">
        <v>356.4</v>
      </c>
      <c r="E134" s="48">
        <f t="shared" si="12"/>
        <v>178.2</v>
      </c>
      <c r="F134" s="41">
        <f t="shared" si="13"/>
        <v>534.59999999999991</v>
      </c>
      <c r="G134" s="53">
        <f t="shared" si="14"/>
        <v>400.94999999999993</v>
      </c>
      <c r="H134" s="54">
        <f t="shared" si="15"/>
        <v>178.2</v>
      </c>
      <c r="I134" s="55">
        <f t="shared" si="16"/>
        <v>712.8</v>
      </c>
      <c r="J134" s="56">
        <f t="shared" si="17"/>
        <v>534.59999999999991</v>
      </c>
      <c r="K134" s="177"/>
    </row>
    <row r="135" spans="1:11" x14ac:dyDescent="0.25">
      <c r="A135" s="24" t="s">
        <v>179</v>
      </c>
      <c r="B135" s="30" t="s">
        <v>1242</v>
      </c>
      <c r="C135" s="266">
        <v>4</v>
      </c>
      <c r="D135" s="108">
        <v>356.4</v>
      </c>
      <c r="E135" s="48">
        <f t="shared" si="12"/>
        <v>178.2</v>
      </c>
      <c r="F135" s="41">
        <f t="shared" si="13"/>
        <v>534.59999999999991</v>
      </c>
      <c r="G135" s="53">
        <f t="shared" si="14"/>
        <v>400.94999999999993</v>
      </c>
      <c r="H135" s="54">
        <f t="shared" si="15"/>
        <v>178.2</v>
      </c>
      <c r="I135" s="55">
        <f t="shared" si="16"/>
        <v>712.8</v>
      </c>
      <c r="J135" s="56">
        <f t="shared" si="17"/>
        <v>534.59999999999991</v>
      </c>
      <c r="K135" s="177"/>
    </row>
    <row r="136" spans="1:11" x14ac:dyDescent="0.25">
      <c r="A136" s="24" t="s">
        <v>1096</v>
      </c>
      <c r="B136" s="30" t="s">
        <v>2063</v>
      </c>
      <c r="C136" s="266">
        <v>4</v>
      </c>
      <c r="D136" s="108">
        <v>356.4</v>
      </c>
      <c r="E136" s="48">
        <f t="shared" si="12"/>
        <v>178.2</v>
      </c>
      <c r="F136" s="41">
        <f t="shared" si="13"/>
        <v>534.59999999999991</v>
      </c>
      <c r="G136" s="53">
        <f t="shared" si="14"/>
        <v>400.94999999999993</v>
      </c>
      <c r="H136" s="54">
        <f t="shared" si="15"/>
        <v>178.2</v>
      </c>
      <c r="I136" s="55">
        <f t="shared" si="16"/>
        <v>712.8</v>
      </c>
      <c r="J136" s="56">
        <f t="shared" si="17"/>
        <v>534.59999999999991</v>
      </c>
      <c r="K136" s="177"/>
    </row>
    <row r="137" spans="1:11" x14ac:dyDescent="0.25">
      <c r="A137" s="24" t="s">
        <v>1097</v>
      </c>
      <c r="B137" s="30" t="s">
        <v>1656</v>
      </c>
      <c r="C137" s="266">
        <v>4</v>
      </c>
      <c r="D137" s="108">
        <v>356.4</v>
      </c>
      <c r="E137" s="48">
        <f t="shared" si="12"/>
        <v>178.2</v>
      </c>
      <c r="F137" s="41">
        <f t="shared" si="13"/>
        <v>534.59999999999991</v>
      </c>
      <c r="G137" s="53">
        <f t="shared" si="14"/>
        <v>400.94999999999993</v>
      </c>
      <c r="H137" s="54">
        <f t="shared" si="15"/>
        <v>178.2</v>
      </c>
      <c r="I137" s="55">
        <f t="shared" si="16"/>
        <v>712.8</v>
      </c>
      <c r="J137" s="56">
        <f t="shared" si="17"/>
        <v>534.59999999999991</v>
      </c>
      <c r="K137" s="177"/>
    </row>
    <row r="138" spans="1:11" x14ac:dyDescent="0.25">
      <c r="A138" s="159"/>
      <c r="B138" s="30"/>
      <c r="C138" s="267"/>
      <c r="D138" s="108"/>
      <c r="E138" s="48"/>
      <c r="F138" s="41"/>
      <c r="G138" s="53"/>
      <c r="H138" s="54"/>
      <c r="I138" s="55"/>
      <c r="J138" s="56"/>
      <c r="K138" s="177"/>
    </row>
    <row r="139" spans="1:11" x14ac:dyDescent="0.25">
      <c r="A139" s="24" t="s">
        <v>180</v>
      </c>
      <c r="B139" s="30" t="s">
        <v>1700</v>
      </c>
      <c r="C139" s="266">
        <v>4</v>
      </c>
      <c r="D139" s="108">
        <v>356.4</v>
      </c>
      <c r="E139" s="48">
        <f t="shared" si="12"/>
        <v>178.2</v>
      </c>
      <c r="F139" s="41">
        <f t="shared" si="13"/>
        <v>534.59999999999991</v>
      </c>
      <c r="G139" s="53">
        <f t="shared" si="14"/>
        <v>400.94999999999993</v>
      </c>
      <c r="H139" s="54">
        <f t="shared" si="15"/>
        <v>178.2</v>
      </c>
      <c r="I139" s="55">
        <f t="shared" si="16"/>
        <v>712.8</v>
      </c>
      <c r="J139" s="56">
        <f t="shared" si="17"/>
        <v>534.59999999999991</v>
      </c>
      <c r="K139" s="177"/>
    </row>
    <row r="140" spans="1:11" x14ac:dyDescent="0.25">
      <c r="A140" s="24" t="s">
        <v>181</v>
      </c>
      <c r="B140" s="30" t="s">
        <v>1698</v>
      </c>
      <c r="C140" s="266">
        <v>4</v>
      </c>
      <c r="D140" s="108">
        <v>356.4</v>
      </c>
      <c r="E140" s="48">
        <f t="shared" si="12"/>
        <v>178.2</v>
      </c>
      <c r="F140" s="41">
        <f t="shared" si="13"/>
        <v>534.59999999999991</v>
      </c>
      <c r="G140" s="53">
        <f t="shared" si="14"/>
        <v>400.94999999999993</v>
      </c>
      <c r="H140" s="54">
        <f t="shared" si="15"/>
        <v>178.2</v>
      </c>
      <c r="I140" s="55">
        <f t="shared" si="16"/>
        <v>712.8</v>
      </c>
      <c r="J140" s="56">
        <f t="shared" si="17"/>
        <v>534.59999999999991</v>
      </c>
      <c r="K140" s="177"/>
    </row>
    <row r="141" spans="1:11" x14ac:dyDescent="0.25">
      <c r="A141" s="24" t="s">
        <v>182</v>
      </c>
      <c r="B141" s="30" t="s">
        <v>1723</v>
      </c>
      <c r="C141" s="266">
        <v>4</v>
      </c>
      <c r="D141" s="108">
        <v>356.4</v>
      </c>
      <c r="E141" s="48">
        <f t="shared" si="12"/>
        <v>178.2</v>
      </c>
      <c r="F141" s="41">
        <f t="shared" si="13"/>
        <v>534.59999999999991</v>
      </c>
      <c r="G141" s="53">
        <f t="shared" si="14"/>
        <v>400.94999999999993</v>
      </c>
      <c r="H141" s="54">
        <f t="shared" si="15"/>
        <v>178.2</v>
      </c>
      <c r="I141" s="55">
        <f t="shared" si="16"/>
        <v>712.8</v>
      </c>
      <c r="J141" s="56">
        <f t="shared" si="17"/>
        <v>534.59999999999991</v>
      </c>
      <c r="K141" s="177"/>
    </row>
    <row r="142" spans="1:11" x14ac:dyDescent="0.25">
      <c r="A142" s="24" t="s">
        <v>183</v>
      </c>
      <c r="B142" s="30" t="s">
        <v>1751</v>
      </c>
      <c r="C142" s="266">
        <v>4</v>
      </c>
      <c r="D142" s="108">
        <v>356.4</v>
      </c>
      <c r="E142" s="48">
        <f t="shared" si="12"/>
        <v>178.2</v>
      </c>
      <c r="F142" s="41">
        <f t="shared" si="13"/>
        <v>534.59999999999991</v>
      </c>
      <c r="G142" s="53">
        <f t="shared" si="14"/>
        <v>400.94999999999993</v>
      </c>
      <c r="H142" s="54">
        <f t="shared" si="15"/>
        <v>178.2</v>
      </c>
      <c r="I142" s="55">
        <f t="shared" si="16"/>
        <v>712.8</v>
      </c>
      <c r="J142" s="56">
        <f t="shared" si="17"/>
        <v>534.59999999999991</v>
      </c>
      <c r="K142" s="177"/>
    </row>
    <row r="143" spans="1:11" x14ac:dyDescent="0.25">
      <c r="A143" s="24" t="s">
        <v>185</v>
      </c>
      <c r="B143" s="30" t="s">
        <v>1390</v>
      </c>
      <c r="C143" s="266">
        <v>4</v>
      </c>
      <c r="D143" s="108">
        <v>356.4</v>
      </c>
      <c r="E143" s="48">
        <f t="shared" si="12"/>
        <v>178.2</v>
      </c>
      <c r="F143" s="41">
        <f t="shared" si="13"/>
        <v>534.59999999999991</v>
      </c>
      <c r="G143" s="53">
        <f t="shared" si="14"/>
        <v>400.94999999999993</v>
      </c>
      <c r="H143" s="54">
        <f t="shared" si="15"/>
        <v>178.2</v>
      </c>
      <c r="I143" s="55">
        <f t="shared" si="16"/>
        <v>712.8</v>
      </c>
      <c r="J143" s="56">
        <f t="shared" si="17"/>
        <v>534.59999999999991</v>
      </c>
      <c r="K143" s="177"/>
    </row>
    <row r="144" spans="1:11" x14ac:dyDescent="0.25">
      <c r="A144" s="24" t="s">
        <v>186</v>
      </c>
      <c r="B144" s="30" t="s">
        <v>1699</v>
      </c>
      <c r="C144" s="266">
        <v>4</v>
      </c>
      <c r="D144" s="108">
        <v>356.4</v>
      </c>
      <c r="E144" s="48">
        <f t="shared" si="12"/>
        <v>178.2</v>
      </c>
      <c r="F144" s="41">
        <f t="shared" si="13"/>
        <v>534.59999999999991</v>
      </c>
      <c r="G144" s="53">
        <f t="shared" si="14"/>
        <v>400.94999999999993</v>
      </c>
      <c r="H144" s="54">
        <f t="shared" si="15"/>
        <v>178.2</v>
      </c>
      <c r="I144" s="55">
        <f t="shared" si="16"/>
        <v>712.8</v>
      </c>
      <c r="J144" s="56">
        <f t="shared" si="17"/>
        <v>534.59999999999991</v>
      </c>
      <c r="K144" s="177"/>
    </row>
    <row r="145" spans="1:11" x14ac:dyDescent="0.25">
      <c r="A145" s="24" t="s">
        <v>188</v>
      </c>
      <c r="B145" s="30" t="s">
        <v>1699</v>
      </c>
      <c r="C145" s="266">
        <v>4</v>
      </c>
      <c r="D145" s="108">
        <v>356.4</v>
      </c>
      <c r="E145" s="48">
        <f t="shared" si="12"/>
        <v>178.2</v>
      </c>
      <c r="F145" s="41">
        <f t="shared" si="13"/>
        <v>534.59999999999991</v>
      </c>
      <c r="G145" s="53">
        <f t="shared" si="14"/>
        <v>400.94999999999993</v>
      </c>
      <c r="H145" s="54">
        <f t="shared" si="15"/>
        <v>178.2</v>
      </c>
      <c r="I145" s="55">
        <f t="shared" si="16"/>
        <v>712.8</v>
      </c>
      <c r="J145" s="56">
        <f t="shared" si="17"/>
        <v>534.59999999999991</v>
      </c>
      <c r="K145" s="177"/>
    </row>
    <row r="146" spans="1:11" x14ac:dyDescent="0.25">
      <c r="A146" s="24" t="s">
        <v>189</v>
      </c>
      <c r="B146" s="30" t="s">
        <v>1700</v>
      </c>
      <c r="C146" s="266">
        <v>4</v>
      </c>
      <c r="D146" s="108">
        <v>356.4</v>
      </c>
      <c r="E146" s="48">
        <f t="shared" si="12"/>
        <v>178.2</v>
      </c>
      <c r="F146" s="41">
        <f t="shared" si="13"/>
        <v>534.59999999999991</v>
      </c>
      <c r="G146" s="53">
        <f t="shared" si="14"/>
        <v>400.94999999999993</v>
      </c>
      <c r="H146" s="54">
        <f t="shared" si="15"/>
        <v>178.2</v>
      </c>
      <c r="I146" s="55">
        <f t="shared" si="16"/>
        <v>712.8</v>
      </c>
      <c r="J146" s="56">
        <f t="shared" si="17"/>
        <v>534.59999999999991</v>
      </c>
      <c r="K146" s="177"/>
    </row>
    <row r="147" spans="1:11" x14ac:dyDescent="0.25">
      <c r="A147" s="163"/>
      <c r="B147" s="164"/>
      <c r="C147" s="267"/>
      <c r="D147" s="108"/>
      <c r="E147" s="48"/>
      <c r="F147" s="41"/>
      <c r="G147" s="53"/>
      <c r="H147" s="54"/>
      <c r="I147" s="55"/>
      <c r="J147" s="56"/>
      <c r="K147" s="177"/>
    </row>
    <row r="148" spans="1:11" x14ac:dyDescent="0.25">
      <c r="A148" s="24" t="s">
        <v>190</v>
      </c>
      <c r="B148" s="30" t="s">
        <v>1966</v>
      </c>
      <c r="C148" s="266">
        <v>4</v>
      </c>
      <c r="D148" s="108">
        <v>332.88</v>
      </c>
      <c r="E148" s="48">
        <f t="shared" si="12"/>
        <v>166.44</v>
      </c>
      <c r="F148" s="41">
        <f t="shared" si="13"/>
        <v>499.32</v>
      </c>
      <c r="G148" s="53">
        <f t="shared" si="14"/>
        <v>374.49</v>
      </c>
      <c r="H148" s="54">
        <f t="shared" si="15"/>
        <v>166.44</v>
      </c>
      <c r="I148" s="55">
        <f t="shared" si="16"/>
        <v>665.76</v>
      </c>
      <c r="J148" s="56">
        <f t="shared" si="17"/>
        <v>499.32</v>
      </c>
      <c r="K148" s="177"/>
    </row>
    <row r="149" spans="1:11" x14ac:dyDescent="0.25">
      <c r="A149" s="24" t="s">
        <v>191</v>
      </c>
      <c r="B149" s="30" t="s">
        <v>1966</v>
      </c>
      <c r="C149" s="266">
        <v>4</v>
      </c>
      <c r="D149" s="108">
        <v>332.88</v>
      </c>
      <c r="E149" s="48">
        <f t="shared" si="12"/>
        <v>166.44</v>
      </c>
      <c r="F149" s="41">
        <f t="shared" si="13"/>
        <v>499.32</v>
      </c>
      <c r="G149" s="53">
        <f t="shared" si="14"/>
        <v>374.49</v>
      </c>
      <c r="H149" s="54">
        <f t="shared" si="15"/>
        <v>166.44</v>
      </c>
      <c r="I149" s="55">
        <f t="shared" si="16"/>
        <v>665.76</v>
      </c>
      <c r="J149" s="56">
        <f t="shared" si="17"/>
        <v>499.32</v>
      </c>
      <c r="K149" s="177"/>
    </row>
    <row r="150" spans="1:11" x14ac:dyDescent="0.25">
      <c r="A150" s="24" t="s">
        <v>192</v>
      </c>
      <c r="B150" s="30" t="s">
        <v>1243</v>
      </c>
      <c r="C150" s="266">
        <v>4</v>
      </c>
      <c r="D150" s="108">
        <v>332.88</v>
      </c>
      <c r="E150" s="48">
        <f t="shared" si="12"/>
        <v>166.44</v>
      </c>
      <c r="F150" s="41">
        <f t="shared" si="13"/>
        <v>499.32</v>
      </c>
      <c r="G150" s="53">
        <f t="shared" si="14"/>
        <v>374.49</v>
      </c>
      <c r="H150" s="54">
        <f t="shared" si="15"/>
        <v>166.44</v>
      </c>
      <c r="I150" s="55">
        <f t="shared" si="16"/>
        <v>665.76</v>
      </c>
      <c r="J150" s="56">
        <f t="shared" si="17"/>
        <v>499.32</v>
      </c>
      <c r="K150" s="177"/>
    </row>
    <row r="151" spans="1:11" x14ac:dyDescent="0.25">
      <c r="A151" s="24" t="s">
        <v>193</v>
      </c>
      <c r="B151" s="30" t="s">
        <v>1244</v>
      </c>
      <c r="C151" s="266">
        <v>4</v>
      </c>
      <c r="D151" s="108">
        <v>332.88</v>
      </c>
      <c r="E151" s="48">
        <f t="shared" si="12"/>
        <v>166.44</v>
      </c>
      <c r="F151" s="41">
        <f t="shared" si="13"/>
        <v>499.32</v>
      </c>
      <c r="G151" s="53">
        <f t="shared" si="14"/>
        <v>374.49</v>
      </c>
      <c r="H151" s="54">
        <f t="shared" si="15"/>
        <v>166.44</v>
      </c>
      <c r="I151" s="55">
        <f t="shared" si="16"/>
        <v>665.76</v>
      </c>
      <c r="J151" s="56">
        <f t="shared" si="17"/>
        <v>499.32</v>
      </c>
      <c r="K151" s="177"/>
    </row>
    <row r="152" spans="1:11" x14ac:dyDescent="0.25">
      <c r="A152" s="24" t="s">
        <v>194</v>
      </c>
      <c r="B152" s="30" t="s">
        <v>1245</v>
      </c>
      <c r="C152" s="266">
        <v>4</v>
      </c>
      <c r="D152" s="108">
        <v>332.88</v>
      </c>
      <c r="E152" s="48">
        <f t="shared" si="12"/>
        <v>166.44</v>
      </c>
      <c r="F152" s="41">
        <f t="shared" si="13"/>
        <v>499.32</v>
      </c>
      <c r="G152" s="53">
        <f t="shared" si="14"/>
        <v>374.49</v>
      </c>
      <c r="H152" s="54">
        <f t="shared" si="15"/>
        <v>166.44</v>
      </c>
      <c r="I152" s="55">
        <f t="shared" si="16"/>
        <v>665.76</v>
      </c>
      <c r="J152" s="56">
        <f t="shared" si="17"/>
        <v>499.32</v>
      </c>
      <c r="K152" s="177"/>
    </row>
    <row r="153" spans="1:11" x14ac:dyDescent="0.25">
      <c r="A153" s="24" t="s">
        <v>195</v>
      </c>
      <c r="B153" s="30" t="s">
        <v>1246</v>
      </c>
      <c r="C153" s="266">
        <v>4</v>
      </c>
      <c r="D153" s="108">
        <v>332.88</v>
      </c>
      <c r="E153" s="48">
        <f t="shared" si="12"/>
        <v>166.44</v>
      </c>
      <c r="F153" s="41">
        <f t="shared" si="13"/>
        <v>499.32</v>
      </c>
      <c r="G153" s="53">
        <f t="shared" si="14"/>
        <v>374.49</v>
      </c>
      <c r="H153" s="54">
        <f t="shared" si="15"/>
        <v>166.44</v>
      </c>
      <c r="I153" s="55">
        <f t="shared" si="16"/>
        <v>665.76</v>
      </c>
      <c r="J153" s="56">
        <f t="shared" si="17"/>
        <v>499.32</v>
      </c>
      <c r="K153" s="177"/>
    </row>
    <row r="154" spans="1:11" x14ac:dyDescent="0.25">
      <c r="A154" s="24" t="s">
        <v>196</v>
      </c>
      <c r="B154" s="30" t="s">
        <v>1247</v>
      </c>
      <c r="C154" s="266">
        <v>4</v>
      </c>
      <c r="D154" s="108">
        <v>332.88</v>
      </c>
      <c r="E154" s="48">
        <f t="shared" si="12"/>
        <v>166.44</v>
      </c>
      <c r="F154" s="41">
        <f t="shared" si="13"/>
        <v>499.32</v>
      </c>
      <c r="G154" s="53">
        <f t="shared" si="14"/>
        <v>374.49</v>
      </c>
      <c r="H154" s="54">
        <f t="shared" si="15"/>
        <v>166.44</v>
      </c>
      <c r="I154" s="55">
        <f t="shared" si="16"/>
        <v>665.76</v>
      </c>
      <c r="J154" s="56">
        <f t="shared" si="17"/>
        <v>499.32</v>
      </c>
      <c r="K154" s="177"/>
    </row>
    <row r="155" spans="1:11" x14ac:dyDescent="0.25">
      <c r="A155" s="24" t="s">
        <v>197</v>
      </c>
      <c r="B155" s="30" t="s">
        <v>2212</v>
      </c>
      <c r="C155" s="266">
        <v>4</v>
      </c>
      <c r="D155" s="108">
        <v>332.88</v>
      </c>
      <c r="E155" s="48">
        <f t="shared" si="12"/>
        <v>166.44</v>
      </c>
      <c r="F155" s="41">
        <f t="shared" si="13"/>
        <v>499.32</v>
      </c>
      <c r="G155" s="53">
        <f t="shared" si="14"/>
        <v>374.49</v>
      </c>
      <c r="H155" s="54">
        <f t="shared" si="15"/>
        <v>166.44</v>
      </c>
      <c r="I155" s="55">
        <f t="shared" si="16"/>
        <v>665.76</v>
      </c>
      <c r="J155" s="56">
        <f t="shared" si="17"/>
        <v>499.32</v>
      </c>
      <c r="K155" s="177"/>
    </row>
    <row r="156" spans="1:11" x14ac:dyDescent="0.25">
      <c r="A156" s="24" t="s">
        <v>1098</v>
      </c>
      <c r="B156" s="30" t="s">
        <v>1247</v>
      </c>
      <c r="C156" s="266">
        <v>4</v>
      </c>
      <c r="D156" s="108">
        <v>332.88</v>
      </c>
      <c r="E156" s="48">
        <f t="shared" si="12"/>
        <v>166.44</v>
      </c>
      <c r="F156" s="41">
        <f t="shared" si="13"/>
        <v>499.32</v>
      </c>
      <c r="G156" s="53">
        <f t="shared" si="14"/>
        <v>374.49</v>
      </c>
      <c r="H156" s="54">
        <f t="shared" si="15"/>
        <v>166.44</v>
      </c>
      <c r="I156" s="55">
        <f t="shared" si="16"/>
        <v>665.76</v>
      </c>
      <c r="J156" s="56">
        <f t="shared" si="17"/>
        <v>499.32</v>
      </c>
      <c r="K156" s="177"/>
    </row>
    <row r="157" spans="1:11" x14ac:dyDescent="0.25">
      <c r="A157" s="24" t="s">
        <v>1099</v>
      </c>
      <c r="B157" s="30" t="s">
        <v>2212</v>
      </c>
      <c r="C157" s="266">
        <v>4</v>
      </c>
      <c r="D157" s="108">
        <v>332.88</v>
      </c>
      <c r="E157" s="48">
        <f t="shared" si="12"/>
        <v>166.44</v>
      </c>
      <c r="F157" s="41">
        <f t="shared" si="13"/>
        <v>499.32</v>
      </c>
      <c r="G157" s="53">
        <f t="shared" si="14"/>
        <v>374.49</v>
      </c>
      <c r="H157" s="54">
        <f t="shared" si="15"/>
        <v>166.44</v>
      </c>
      <c r="I157" s="55">
        <f t="shared" si="16"/>
        <v>665.76</v>
      </c>
      <c r="J157" s="56">
        <f t="shared" si="17"/>
        <v>499.32</v>
      </c>
      <c r="K157" s="177"/>
    </row>
    <row r="158" spans="1:11" x14ac:dyDescent="0.25">
      <c r="A158" s="24" t="s">
        <v>1100</v>
      </c>
      <c r="B158" s="30" t="s">
        <v>1956</v>
      </c>
      <c r="C158" s="266">
        <v>4</v>
      </c>
      <c r="D158" s="108">
        <v>332.88</v>
      </c>
      <c r="E158" s="48">
        <f t="shared" si="12"/>
        <v>166.44</v>
      </c>
      <c r="F158" s="41">
        <f t="shared" si="13"/>
        <v>499.32</v>
      </c>
      <c r="G158" s="53">
        <f t="shared" si="14"/>
        <v>374.49</v>
      </c>
      <c r="H158" s="54">
        <f t="shared" si="15"/>
        <v>166.44</v>
      </c>
      <c r="I158" s="55">
        <f t="shared" si="16"/>
        <v>665.76</v>
      </c>
      <c r="J158" s="56">
        <f t="shared" si="17"/>
        <v>499.32</v>
      </c>
      <c r="K158" s="177"/>
    </row>
    <row r="159" spans="1:11" x14ac:dyDescent="0.25">
      <c r="A159" s="24" t="s">
        <v>1101</v>
      </c>
      <c r="B159" s="30" t="s">
        <v>1248</v>
      </c>
      <c r="C159" s="266">
        <v>4</v>
      </c>
      <c r="D159" s="108">
        <v>332.88</v>
      </c>
      <c r="E159" s="48">
        <f t="shared" si="12"/>
        <v>166.44</v>
      </c>
      <c r="F159" s="41">
        <f t="shared" si="13"/>
        <v>499.32</v>
      </c>
      <c r="G159" s="53">
        <f t="shared" si="14"/>
        <v>374.49</v>
      </c>
      <c r="H159" s="54">
        <f t="shared" si="15"/>
        <v>166.44</v>
      </c>
      <c r="I159" s="55">
        <f t="shared" si="16"/>
        <v>665.76</v>
      </c>
      <c r="J159" s="56">
        <f t="shared" si="17"/>
        <v>499.32</v>
      </c>
      <c r="K159" s="177"/>
    </row>
    <row r="160" spans="1:11" x14ac:dyDescent="0.25">
      <c r="A160" s="24" t="s">
        <v>1102</v>
      </c>
      <c r="B160" s="30" t="s">
        <v>1248</v>
      </c>
      <c r="C160" s="266">
        <v>4</v>
      </c>
      <c r="D160" s="108">
        <v>332.88</v>
      </c>
      <c r="E160" s="48">
        <f t="shared" si="12"/>
        <v>166.44</v>
      </c>
      <c r="F160" s="41">
        <f t="shared" si="13"/>
        <v>499.32</v>
      </c>
      <c r="G160" s="53">
        <f t="shared" si="14"/>
        <v>374.49</v>
      </c>
      <c r="H160" s="54">
        <f t="shared" si="15"/>
        <v>166.44</v>
      </c>
      <c r="I160" s="55">
        <f t="shared" si="16"/>
        <v>665.76</v>
      </c>
      <c r="J160" s="56">
        <f t="shared" si="17"/>
        <v>499.32</v>
      </c>
      <c r="K160" s="177"/>
    </row>
    <row r="161" spans="1:11" x14ac:dyDescent="0.25">
      <c r="A161" s="24" t="s">
        <v>1103</v>
      </c>
      <c r="B161" s="30" t="s">
        <v>1957</v>
      </c>
      <c r="C161" s="266">
        <v>4</v>
      </c>
      <c r="D161" s="108">
        <v>332.88</v>
      </c>
      <c r="E161" s="48">
        <f t="shared" si="12"/>
        <v>166.44</v>
      </c>
      <c r="F161" s="41">
        <f t="shared" si="13"/>
        <v>499.32</v>
      </c>
      <c r="G161" s="53">
        <f t="shared" si="14"/>
        <v>374.49</v>
      </c>
      <c r="H161" s="54">
        <f t="shared" si="15"/>
        <v>166.44</v>
      </c>
      <c r="I161" s="55">
        <f t="shared" si="16"/>
        <v>665.76</v>
      </c>
      <c r="J161" s="56">
        <f t="shared" si="17"/>
        <v>499.32</v>
      </c>
      <c r="K161" s="177"/>
    </row>
    <row r="162" spans="1:11" x14ac:dyDescent="0.25">
      <c r="A162" s="24" t="s">
        <v>1104</v>
      </c>
      <c r="B162" s="30" t="s">
        <v>1957</v>
      </c>
      <c r="C162" s="266">
        <v>4</v>
      </c>
      <c r="D162" s="108">
        <v>332.88</v>
      </c>
      <c r="E162" s="48">
        <f t="shared" si="12"/>
        <v>166.44</v>
      </c>
      <c r="F162" s="41">
        <f t="shared" si="13"/>
        <v>499.32</v>
      </c>
      <c r="G162" s="53">
        <f t="shared" si="14"/>
        <v>374.49</v>
      </c>
      <c r="H162" s="54">
        <f t="shared" si="15"/>
        <v>166.44</v>
      </c>
      <c r="I162" s="55">
        <f t="shared" si="16"/>
        <v>665.76</v>
      </c>
      <c r="J162" s="56">
        <f t="shared" si="17"/>
        <v>499.32</v>
      </c>
      <c r="K162" s="177"/>
    </row>
    <row r="163" spans="1:11" x14ac:dyDescent="0.25">
      <c r="A163" s="24" t="s">
        <v>1105</v>
      </c>
      <c r="B163" s="30" t="s">
        <v>2064</v>
      </c>
      <c r="C163" s="266">
        <v>4</v>
      </c>
      <c r="D163" s="108">
        <v>332.88</v>
      </c>
      <c r="E163" s="48">
        <f t="shared" si="12"/>
        <v>166.44</v>
      </c>
      <c r="F163" s="41">
        <f t="shared" si="13"/>
        <v>499.32</v>
      </c>
      <c r="G163" s="53">
        <f t="shared" si="14"/>
        <v>374.49</v>
      </c>
      <c r="H163" s="54">
        <f t="shared" si="15"/>
        <v>166.44</v>
      </c>
      <c r="I163" s="55">
        <f t="shared" si="16"/>
        <v>665.76</v>
      </c>
      <c r="J163" s="56">
        <f t="shared" si="17"/>
        <v>499.32</v>
      </c>
      <c r="K163" s="177"/>
    </row>
    <row r="164" spans="1:11" x14ac:dyDescent="0.25">
      <c r="A164" s="24"/>
      <c r="B164" s="30"/>
      <c r="C164" s="266"/>
      <c r="D164" s="108"/>
      <c r="E164" s="48"/>
      <c r="F164" s="41"/>
      <c r="G164" s="53"/>
      <c r="H164" s="54"/>
      <c r="I164" s="55"/>
      <c r="J164" s="56"/>
      <c r="K164" s="177"/>
    </row>
    <row r="165" spans="1:11" x14ac:dyDescent="0.25">
      <c r="A165" s="24" t="s">
        <v>198</v>
      </c>
      <c r="B165" s="30" t="s">
        <v>2302</v>
      </c>
      <c r="C165" s="266">
        <v>4</v>
      </c>
      <c r="D165" s="108">
        <v>332.88</v>
      </c>
      <c r="E165" s="48">
        <f t="shared" si="12"/>
        <v>166.44</v>
      </c>
      <c r="F165" s="41">
        <f t="shared" si="13"/>
        <v>499.32</v>
      </c>
      <c r="G165" s="53">
        <f t="shared" si="14"/>
        <v>374.49</v>
      </c>
      <c r="H165" s="54">
        <f t="shared" si="15"/>
        <v>166.44</v>
      </c>
      <c r="I165" s="55">
        <f t="shared" si="16"/>
        <v>665.76</v>
      </c>
      <c r="J165" s="56">
        <f t="shared" si="17"/>
        <v>499.32</v>
      </c>
      <c r="K165" s="177"/>
    </row>
    <row r="166" spans="1:11" x14ac:dyDescent="0.25">
      <c r="A166" s="24" t="s">
        <v>199</v>
      </c>
      <c r="B166" s="30" t="s">
        <v>1604</v>
      </c>
      <c r="C166" s="266">
        <v>4</v>
      </c>
      <c r="D166" s="108">
        <v>332.88</v>
      </c>
      <c r="E166" s="48">
        <f t="shared" si="12"/>
        <v>166.44</v>
      </c>
      <c r="F166" s="41">
        <f t="shared" si="13"/>
        <v>499.32</v>
      </c>
      <c r="G166" s="53">
        <f t="shared" si="14"/>
        <v>374.49</v>
      </c>
      <c r="H166" s="54">
        <f t="shared" si="15"/>
        <v>166.44</v>
      </c>
      <c r="I166" s="55">
        <f t="shared" si="16"/>
        <v>665.76</v>
      </c>
      <c r="J166" s="56">
        <f t="shared" si="17"/>
        <v>499.32</v>
      </c>
      <c r="K166" s="177"/>
    </row>
    <row r="167" spans="1:11" x14ac:dyDescent="0.25">
      <c r="A167" s="24" t="s">
        <v>200</v>
      </c>
      <c r="B167" s="30" t="s">
        <v>2226</v>
      </c>
      <c r="C167" s="266">
        <v>4</v>
      </c>
      <c r="D167" s="108">
        <v>332.88</v>
      </c>
      <c r="E167" s="48">
        <f t="shared" si="12"/>
        <v>166.44</v>
      </c>
      <c r="F167" s="41">
        <f t="shared" si="13"/>
        <v>499.32</v>
      </c>
      <c r="G167" s="53">
        <f t="shared" si="14"/>
        <v>374.49</v>
      </c>
      <c r="H167" s="54">
        <f t="shared" si="15"/>
        <v>166.44</v>
      </c>
      <c r="I167" s="55">
        <f t="shared" si="16"/>
        <v>665.76</v>
      </c>
      <c r="J167" s="56">
        <f t="shared" si="17"/>
        <v>499.32</v>
      </c>
      <c r="K167" s="177"/>
    </row>
    <row r="168" spans="1:11" x14ac:dyDescent="0.25">
      <c r="A168" s="24" t="s">
        <v>202</v>
      </c>
      <c r="B168" s="30" t="s">
        <v>2269</v>
      </c>
      <c r="C168" s="266">
        <v>4</v>
      </c>
      <c r="D168" s="108">
        <v>332.88</v>
      </c>
      <c r="E168" s="48">
        <f t="shared" si="12"/>
        <v>166.44</v>
      </c>
      <c r="F168" s="41">
        <f t="shared" si="13"/>
        <v>499.32</v>
      </c>
      <c r="G168" s="53">
        <f t="shared" si="14"/>
        <v>374.49</v>
      </c>
      <c r="H168" s="54">
        <f t="shared" si="15"/>
        <v>166.44</v>
      </c>
      <c r="I168" s="55">
        <f t="shared" si="16"/>
        <v>665.76</v>
      </c>
      <c r="J168" s="56">
        <f t="shared" si="17"/>
        <v>499.32</v>
      </c>
      <c r="K168" s="177"/>
    </row>
    <row r="169" spans="1:11" x14ac:dyDescent="0.25">
      <c r="A169" s="24" t="s">
        <v>204</v>
      </c>
      <c r="B169" s="30" t="s">
        <v>1249</v>
      </c>
      <c r="C169" s="266">
        <v>4</v>
      </c>
      <c r="D169" s="108">
        <v>332.88</v>
      </c>
      <c r="E169" s="48">
        <f t="shared" si="12"/>
        <v>166.44</v>
      </c>
      <c r="F169" s="41">
        <f t="shared" si="13"/>
        <v>499.32</v>
      </c>
      <c r="G169" s="53">
        <f t="shared" si="14"/>
        <v>374.49</v>
      </c>
      <c r="H169" s="54">
        <f t="shared" si="15"/>
        <v>166.44</v>
      </c>
      <c r="I169" s="55">
        <f t="shared" si="16"/>
        <v>665.76</v>
      </c>
      <c r="J169" s="56">
        <f t="shared" si="17"/>
        <v>499.32</v>
      </c>
      <c r="K169" s="177"/>
    </row>
    <row r="170" spans="1:11" x14ac:dyDescent="0.25">
      <c r="A170" s="24" t="s">
        <v>205</v>
      </c>
      <c r="B170" s="30" t="s">
        <v>1249</v>
      </c>
      <c r="C170" s="266">
        <v>4</v>
      </c>
      <c r="D170" s="108">
        <v>332.88</v>
      </c>
      <c r="E170" s="48">
        <f t="shared" si="12"/>
        <v>166.44</v>
      </c>
      <c r="F170" s="41">
        <f t="shared" si="13"/>
        <v>499.32</v>
      </c>
      <c r="G170" s="53">
        <f t="shared" si="14"/>
        <v>374.49</v>
      </c>
      <c r="H170" s="54">
        <f t="shared" si="15"/>
        <v>166.44</v>
      </c>
      <c r="I170" s="55">
        <f t="shared" si="16"/>
        <v>665.76</v>
      </c>
      <c r="J170" s="56">
        <f t="shared" si="17"/>
        <v>499.32</v>
      </c>
      <c r="K170" s="177"/>
    </row>
    <row r="171" spans="1:11" x14ac:dyDescent="0.25">
      <c r="A171" s="24" t="s">
        <v>206</v>
      </c>
      <c r="B171" s="30" t="s">
        <v>1250</v>
      </c>
      <c r="C171" s="266">
        <v>4</v>
      </c>
      <c r="D171" s="108">
        <v>332.88</v>
      </c>
      <c r="E171" s="48">
        <f t="shared" si="12"/>
        <v>166.44</v>
      </c>
      <c r="F171" s="41">
        <f t="shared" si="13"/>
        <v>499.32</v>
      </c>
      <c r="G171" s="53">
        <f t="shared" si="14"/>
        <v>374.49</v>
      </c>
      <c r="H171" s="54">
        <f t="shared" si="15"/>
        <v>166.44</v>
      </c>
      <c r="I171" s="55">
        <f t="shared" si="16"/>
        <v>665.76</v>
      </c>
      <c r="J171" s="56">
        <f t="shared" si="17"/>
        <v>499.32</v>
      </c>
      <c r="K171" s="177"/>
    </row>
    <row r="172" spans="1:11" x14ac:dyDescent="0.25">
      <c r="A172" s="24" t="s">
        <v>207</v>
      </c>
      <c r="B172" s="30" t="s">
        <v>1250</v>
      </c>
      <c r="C172" s="266">
        <v>4</v>
      </c>
      <c r="D172" s="108">
        <v>332.88</v>
      </c>
      <c r="E172" s="48">
        <f t="shared" si="12"/>
        <v>166.44</v>
      </c>
      <c r="F172" s="41">
        <f t="shared" si="13"/>
        <v>499.32</v>
      </c>
      <c r="G172" s="53">
        <f t="shared" si="14"/>
        <v>374.49</v>
      </c>
      <c r="H172" s="54">
        <f t="shared" si="15"/>
        <v>166.44</v>
      </c>
      <c r="I172" s="55">
        <f t="shared" si="16"/>
        <v>665.76</v>
      </c>
      <c r="J172" s="56">
        <f t="shared" si="17"/>
        <v>499.32</v>
      </c>
      <c r="K172" s="177"/>
    </row>
    <row r="173" spans="1:11" x14ac:dyDescent="0.25">
      <c r="A173" s="24" t="s">
        <v>208</v>
      </c>
      <c r="B173" s="30" t="s">
        <v>1250</v>
      </c>
      <c r="C173" s="266">
        <v>4</v>
      </c>
      <c r="D173" s="108">
        <v>332.88</v>
      </c>
      <c r="E173" s="48">
        <f t="shared" si="12"/>
        <v>166.44</v>
      </c>
      <c r="F173" s="41">
        <f t="shared" si="13"/>
        <v>499.32</v>
      </c>
      <c r="G173" s="53">
        <f t="shared" si="14"/>
        <v>374.49</v>
      </c>
      <c r="H173" s="54">
        <f t="shared" si="15"/>
        <v>166.44</v>
      </c>
      <c r="I173" s="55">
        <f t="shared" si="16"/>
        <v>665.76</v>
      </c>
      <c r="J173" s="56">
        <f t="shared" si="17"/>
        <v>499.32</v>
      </c>
      <c r="K173" s="177"/>
    </row>
    <row r="174" spans="1:11" x14ac:dyDescent="0.25">
      <c r="A174" s="24" t="s">
        <v>1106</v>
      </c>
      <c r="B174" s="30" t="s">
        <v>1251</v>
      </c>
      <c r="C174" s="266">
        <v>4</v>
      </c>
      <c r="D174" s="108">
        <v>332.88</v>
      </c>
      <c r="E174" s="48">
        <f t="shared" si="12"/>
        <v>166.44</v>
      </c>
      <c r="F174" s="41">
        <f t="shared" si="13"/>
        <v>499.32</v>
      </c>
      <c r="G174" s="53">
        <f t="shared" si="14"/>
        <v>374.49</v>
      </c>
      <c r="H174" s="54">
        <f t="shared" si="15"/>
        <v>166.44</v>
      </c>
      <c r="I174" s="55">
        <f t="shared" si="16"/>
        <v>665.76</v>
      </c>
      <c r="J174" s="56">
        <f t="shared" si="17"/>
        <v>499.32</v>
      </c>
      <c r="K174" s="177"/>
    </row>
    <row r="175" spans="1:11" x14ac:dyDescent="0.25">
      <c r="A175" s="24" t="s">
        <v>1107</v>
      </c>
      <c r="B175" s="30" t="s">
        <v>1251</v>
      </c>
      <c r="C175" s="266">
        <v>4</v>
      </c>
      <c r="D175" s="108">
        <v>332.88</v>
      </c>
      <c r="E175" s="48">
        <f t="shared" si="12"/>
        <v>166.44</v>
      </c>
      <c r="F175" s="41">
        <f t="shared" si="13"/>
        <v>499.32</v>
      </c>
      <c r="G175" s="53">
        <f t="shared" si="14"/>
        <v>374.49</v>
      </c>
      <c r="H175" s="54">
        <f t="shared" si="15"/>
        <v>166.44</v>
      </c>
      <c r="I175" s="55">
        <f t="shared" si="16"/>
        <v>665.76</v>
      </c>
      <c r="J175" s="56">
        <f t="shared" si="17"/>
        <v>499.32</v>
      </c>
      <c r="K175" s="177"/>
    </row>
    <row r="176" spans="1:11" x14ac:dyDescent="0.25">
      <c r="A176" s="24" t="s">
        <v>1108</v>
      </c>
      <c r="B176" s="30" t="s">
        <v>1423</v>
      </c>
      <c r="C176" s="266">
        <v>4</v>
      </c>
      <c r="D176" s="108">
        <v>332.88</v>
      </c>
      <c r="E176" s="48">
        <f t="shared" si="12"/>
        <v>166.44</v>
      </c>
      <c r="F176" s="41">
        <f t="shared" si="13"/>
        <v>499.32</v>
      </c>
      <c r="G176" s="53">
        <f t="shared" si="14"/>
        <v>374.49</v>
      </c>
      <c r="H176" s="54">
        <f t="shared" si="15"/>
        <v>166.44</v>
      </c>
      <c r="I176" s="55">
        <f t="shared" si="16"/>
        <v>665.76</v>
      </c>
      <c r="J176" s="56">
        <f t="shared" si="17"/>
        <v>499.32</v>
      </c>
      <c r="K176" s="177"/>
    </row>
    <row r="177" spans="1:11" x14ac:dyDescent="0.25">
      <c r="A177" s="24" t="s">
        <v>1109</v>
      </c>
      <c r="B177" s="30" t="s">
        <v>1557</v>
      </c>
      <c r="C177" s="266">
        <v>4</v>
      </c>
      <c r="D177" s="108">
        <v>332.88</v>
      </c>
      <c r="E177" s="48">
        <f t="shared" si="12"/>
        <v>166.44</v>
      </c>
      <c r="F177" s="41">
        <f t="shared" si="13"/>
        <v>499.32</v>
      </c>
      <c r="G177" s="53">
        <f t="shared" si="14"/>
        <v>374.49</v>
      </c>
      <c r="H177" s="54">
        <f t="shared" si="15"/>
        <v>166.44</v>
      </c>
      <c r="I177" s="55">
        <f t="shared" si="16"/>
        <v>665.76</v>
      </c>
      <c r="J177" s="56">
        <f t="shared" si="17"/>
        <v>499.32</v>
      </c>
      <c r="K177" s="177"/>
    </row>
    <row r="178" spans="1:11" x14ac:dyDescent="0.25">
      <c r="A178" s="24" t="s">
        <v>1110</v>
      </c>
      <c r="B178" s="30" t="s">
        <v>1243</v>
      </c>
      <c r="C178" s="266">
        <v>4</v>
      </c>
      <c r="D178" s="108">
        <v>332.88</v>
      </c>
      <c r="E178" s="48">
        <f t="shared" si="12"/>
        <v>166.44</v>
      </c>
      <c r="F178" s="41">
        <f t="shared" si="13"/>
        <v>499.32</v>
      </c>
      <c r="G178" s="53">
        <f t="shared" si="14"/>
        <v>374.49</v>
      </c>
      <c r="H178" s="54">
        <f t="shared" si="15"/>
        <v>166.44</v>
      </c>
      <c r="I178" s="55">
        <f t="shared" si="16"/>
        <v>665.76</v>
      </c>
      <c r="J178" s="56">
        <f t="shared" si="17"/>
        <v>499.32</v>
      </c>
      <c r="K178" s="177"/>
    </row>
    <row r="179" spans="1:11" x14ac:dyDescent="0.25">
      <c r="A179" s="24" t="s">
        <v>1111</v>
      </c>
      <c r="B179" s="30" t="s">
        <v>2182</v>
      </c>
      <c r="C179" s="266">
        <v>4</v>
      </c>
      <c r="D179" s="108">
        <v>332.88</v>
      </c>
      <c r="E179" s="48">
        <f t="shared" si="12"/>
        <v>166.44</v>
      </c>
      <c r="F179" s="41">
        <f t="shared" si="13"/>
        <v>499.32</v>
      </c>
      <c r="G179" s="53">
        <f t="shared" si="14"/>
        <v>374.49</v>
      </c>
      <c r="H179" s="54">
        <f t="shared" si="15"/>
        <v>166.44</v>
      </c>
      <c r="I179" s="55">
        <f t="shared" si="16"/>
        <v>665.76</v>
      </c>
      <c r="J179" s="56">
        <f t="shared" si="17"/>
        <v>499.32</v>
      </c>
      <c r="K179" s="177"/>
    </row>
    <row r="180" spans="1:11" x14ac:dyDescent="0.25">
      <c r="A180" s="24" t="s">
        <v>1112</v>
      </c>
      <c r="B180" s="30" t="s">
        <v>2302</v>
      </c>
      <c r="C180" s="266">
        <v>4</v>
      </c>
      <c r="D180" s="108">
        <v>332.88</v>
      </c>
      <c r="E180" s="48">
        <f t="shared" si="12"/>
        <v>166.44</v>
      </c>
      <c r="F180" s="41">
        <f t="shared" si="13"/>
        <v>499.32</v>
      </c>
      <c r="G180" s="53">
        <f t="shared" si="14"/>
        <v>374.49</v>
      </c>
      <c r="H180" s="54">
        <f t="shared" si="15"/>
        <v>166.44</v>
      </c>
      <c r="I180" s="55">
        <f t="shared" si="16"/>
        <v>665.76</v>
      </c>
      <c r="J180" s="56">
        <f t="shared" si="17"/>
        <v>499.32</v>
      </c>
      <c r="K180" s="177"/>
    </row>
    <row r="181" spans="1:11" x14ac:dyDescent="0.25">
      <c r="A181" s="37"/>
      <c r="B181" s="30"/>
      <c r="C181" s="267"/>
      <c r="D181" s="30"/>
      <c r="E181" s="48"/>
      <c r="F181" s="41"/>
      <c r="G181" s="53"/>
      <c r="H181" s="54"/>
      <c r="I181" s="55"/>
      <c r="J181" s="56"/>
      <c r="K181" s="177"/>
    </row>
    <row r="182" spans="1:11" x14ac:dyDescent="0.25">
      <c r="A182" s="24" t="s">
        <v>209</v>
      </c>
      <c r="B182" s="30" t="s">
        <v>1426</v>
      </c>
      <c r="C182" s="266">
        <v>4</v>
      </c>
      <c r="D182" s="108">
        <v>332.88</v>
      </c>
      <c r="E182" s="48">
        <f t="shared" si="12"/>
        <v>166.44</v>
      </c>
      <c r="F182" s="41">
        <f t="shared" si="13"/>
        <v>499.32</v>
      </c>
      <c r="G182" s="53">
        <f t="shared" si="14"/>
        <v>374.49</v>
      </c>
      <c r="H182" s="54">
        <f t="shared" si="15"/>
        <v>166.44</v>
      </c>
      <c r="I182" s="55">
        <f t="shared" si="16"/>
        <v>665.76</v>
      </c>
      <c r="J182" s="56">
        <f t="shared" si="17"/>
        <v>499.32</v>
      </c>
      <c r="K182" s="177"/>
    </row>
    <row r="183" spans="1:11" x14ac:dyDescent="0.25">
      <c r="A183" s="24" t="s">
        <v>211</v>
      </c>
      <c r="B183" s="30" t="s">
        <v>1253</v>
      </c>
      <c r="C183" s="266">
        <v>4</v>
      </c>
      <c r="D183" s="108">
        <v>332.88</v>
      </c>
      <c r="E183" s="48">
        <f t="shared" si="12"/>
        <v>166.44</v>
      </c>
      <c r="F183" s="41">
        <f t="shared" si="13"/>
        <v>499.32</v>
      </c>
      <c r="G183" s="53">
        <f t="shared" si="14"/>
        <v>374.49</v>
      </c>
      <c r="H183" s="54">
        <f t="shared" si="15"/>
        <v>166.44</v>
      </c>
      <c r="I183" s="55">
        <f t="shared" si="16"/>
        <v>665.76</v>
      </c>
      <c r="J183" s="56">
        <f t="shared" si="17"/>
        <v>499.32</v>
      </c>
      <c r="K183" s="177"/>
    </row>
    <row r="184" spans="1:11" x14ac:dyDescent="0.25">
      <c r="A184" s="24" t="s">
        <v>212</v>
      </c>
      <c r="B184" s="30" t="s">
        <v>1253</v>
      </c>
      <c r="C184" s="266">
        <v>4</v>
      </c>
      <c r="D184" s="108">
        <v>332.88</v>
      </c>
      <c r="E184" s="48">
        <f t="shared" si="12"/>
        <v>166.44</v>
      </c>
      <c r="F184" s="41">
        <f t="shared" si="13"/>
        <v>499.32</v>
      </c>
      <c r="G184" s="53">
        <f t="shared" si="14"/>
        <v>374.49</v>
      </c>
      <c r="H184" s="54">
        <f t="shared" si="15"/>
        <v>166.44</v>
      </c>
      <c r="I184" s="55">
        <f t="shared" si="16"/>
        <v>665.76</v>
      </c>
      <c r="J184" s="56">
        <f t="shared" si="17"/>
        <v>499.32</v>
      </c>
      <c r="K184" s="177"/>
    </row>
    <row r="185" spans="1:11" x14ac:dyDescent="0.25">
      <c r="A185" s="24" t="s">
        <v>213</v>
      </c>
      <c r="B185" s="30" t="s">
        <v>2246</v>
      </c>
      <c r="C185" s="266">
        <v>4</v>
      </c>
      <c r="D185" s="108">
        <v>332.88</v>
      </c>
      <c r="E185" s="48">
        <f t="shared" si="12"/>
        <v>166.44</v>
      </c>
      <c r="F185" s="41">
        <f t="shared" si="13"/>
        <v>499.32</v>
      </c>
      <c r="G185" s="53">
        <f t="shared" si="14"/>
        <v>374.49</v>
      </c>
      <c r="H185" s="54">
        <f t="shared" si="15"/>
        <v>166.44</v>
      </c>
      <c r="I185" s="55">
        <f t="shared" si="16"/>
        <v>665.76</v>
      </c>
      <c r="J185" s="56">
        <f t="shared" si="17"/>
        <v>499.32</v>
      </c>
      <c r="K185" s="177"/>
    </row>
    <row r="186" spans="1:11" x14ac:dyDescent="0.25">
      <c r="A186" s="24" t="s">
        <v>214</v>
      </c>
      <c r="B186" s="30" t="s">
        <v>1254</v>
      </c>
      <c r="C186" s="266">
        <v>4</v>
      </c>
      <c r="D186" s="108">
        <v>332.88</v>
      </c>
      <c r="E186" s="48">
        <f t="shared" si="12"/>
        <v>166.44</v>
      </c>
      <c r="F186" s="41">
        <f t="shared" si="13"/>
        <v>499.32</v>
      </c>
      <c r="G186" s="53">
        <f t="shared" si="14"/>
        <v>374.49</v>
      </c>
      <c r="H186" s="54">
        <f t="shared" si="15"/>
        <v>166.44</v>
      </c>
      <c r="I186" s="55">
        <f t="shared" si="16"/>
        <v>665.76</v>
      </c>
      <c r="J186" s="56">
        <f t="shared" si="17"/>
        <v>499.32</v>
      </c>
      <c r="K186" s="177"/>
    </row>
    <row r="187" spans="1:11" x14ac:dyDescent="0.25">
      <c r="A187" s="24" t="s">
        <v>215</v>
      </c>
      <c r="B187" s="30" t="s">
        <v>2065</v>
      </c>
      <c r="C187" s="266">
        <v>4</v>
      </c>
      <c r="D187" s="108">
        <v>332.88</v>
      </c>
      <c r="E187" s="48">
        <f t="shared" si="12"/>
        <v>166.44</v>
      </c>
      <c r="F187" s="41">
        <f t="shared" si="13"/>
        <v>499.32</v>
      </c>
      <c r="G187" s="53">
        <f t="shared" si="14"/>
        <v>374.49</v>
      </c>
      <c r="H187" s="54">
        <f t="shared" si="15"/>
        <v>166.44</v>
      </c>
      <c r="I187" s="55">
        <f t="shared" si="16"/>
        <v>665.76</v>
      </c>
      <c r="J187" s="56">
        <f t="shared" si="17"/>
        <v>499.32</v>
      </c>
      <c r="K187" s="177"/>
    </row>
    <row r="188" spans="1:11" x14ac:dyDescent="0.25">
      <c r="A188" s="24" t="s">
        <v>216</v>
      </c>
      <c r="B188" s="30" t="s">
        <v>1942</v>
      </c>
      <c r="C188" s="266">
        <v>4</v>
      </c>
      <c r="D188" s="108">
        <v>332.88</v>
      </c>
      <c r="E188" s="48">
        <f t="shared" si="12"/>
        <v>166.44</v>
      </c>
      <c r="F188" s="41">
        <f t="shared" si="13"/>
        <v>499.32</v>
      </c>
      <c r="G188" s="53">
        <f t="shared" si="14"/>
        <v>374.49</v>
      </c>
      <c r="H188" s="54">
        <f t="shared" si="15"/>
        <v>166.44</v>
      </c>
      <c r="I188" s="55">
        <f t="shared" si="16"/>
        <v>665.76</v>
      </c>
      <c r="J188" s="56">
        <f t="shared" si="17"/>
        <v>499.32</v>
      </c>
      <c r="K188" s="177"/>
    </row>
    <row r="189" spans="1:11" x14ac:dyDescent="0.25">
      <c r="A189" s="24" t="s">
        <v>217</v>
      </c>
      <c r="B189" s="30" t="s">
        <v>1942</v>
      </c>
      <c r="C189" s="266">
        <v>4</v>
      </c>
      <c r="D189" s="108">
        <v>332.88</v>
      </c>
      <c r="E189" s="48">
        <f t="shared" si="12"/>
        <v>166.44</v>
      </c>
      <c r="F189" s="41">
        <f t="shared" si="13"/>
        <v>499.32</v>
      </c>
      <c r="G189" s="53">
        <f t="shared" si="14"/>
        <v>374.49</v>
      </c>
      <c r="H189" s="54">
        <f t="shared" si="15"/>
        <v>166.44</v>
      </c>
      <c r="I189" s="55">
        <f t="shared" si="16"/>
        <v>665.76</v>
      </c>
      <c r="J189" s="56">
        <f t="shared" si="17"/>
        <v>499.32</v>
      </c>
      <c r="K189" s="177"/>
    </row>
    <row r="190" spans="1:11" x14ac:dyDescent="0.25">
      <c r="A190" s="24" t="s">
        <v>218</v>
      </c>
      <c r="B190" s="30" t="s">
        <v>1943</v>
      </c>
      <c r="C190" s="266">
        <v>4</v>
      </c>
      <c r="D190" s="108">
        <v>332.88</v>
      </c>
      <c r="E190" s="48">
        <f t="shared" si="12"/>
        <v>166.44</v>
      </c>
      <c r="F190" s="41">
        <f t="shared" si="13"/>
        <v>499.32</v>
      </c>
      <c r="G190" s="53">
        <f t="shared" si="14"/>
        <v>374.49</v>
      </c>
      <c r="H190" s="54">
        <f t="shared" si="15"/>
        <v>166.44</v>
      </c>
      <c r="I190" s="55">
        <f t="shared" si="16"/>
        <v>665.76</v>
      </c>
      <c r="J190" s="56">
        <f t="shared" si="17"/>
        <v>499.32</v>
      </c>
      <c r="K190" s="177"/>
    </row>
    <row r="191" spans="1:11" x14ac:dyDescent="0.25">
      <c r="A191" s="24" t="s">
        <v>219</v>
      </c>
      <c r="B191" s="30" t="s">
        <v>2252</v>
      </c>
      <c r="C191" s="266">
        <v>4</v>
      </c>
      <c r="D191" s="108">
        <v>332.88</v>
      </c>
      <c r="E191" s="48">
        <f t="shared" si="12"/>
        <v>166.44</v>
      </c>
      <c r="F191" s="41">
        <f t="shared" si="13"/>
        <v>499.32</v>
      </c>
      <c r="G191" s="53">
        <f t="shared" si="14"/>
        <v>374.49</v>
      </c>
      <c r="H191" s="54">
        <f t="shared" si="15"/>
        <v>166.44</v>
      </c>
      <c r="I191" s="55">
        <f t="shared" si="16"/>
        <v>665.76</v>
      </c>
      <c r="J191" s="56">
        <f t="shared" si="17"/>
        <v>499.32</v>
      </c>
      <c r="K191" s="177"/>
    </row>
    <row r="192" spans="1:11" x14ac:dyDescent="0.25">
      <c r="A192" s="24" t="s">
        <v>221</v>
      </c>
      <c r="B192" s="30" t="s">
        <v>2252</v>
      </c>
      <c r="C192" s="266">
        <v>4</v>
      </c>
      <c r="D192" s="108">
        <v>332.88</v>
      </c>
      <c r="E192" s="48">
        <f t="shared" si="12"/>
        <v>166.44</v>
      </c>
      <c r="F192" s="41">
        <f t="shared" si="13"/>
        <v>499.32</v>
      </c>
      <c r="G192" s="53">
        <f t="shared" si="14"/>
        <v>374.49</v>
      </c>
      <c r="H192" s="54">
        <f t="shared" si="15"/>
        <v>166.44</v>
      </c>
      <c r="I192" s="55">
        <f t="shared" si="16"/>
        <v>665.76</v>
      </c>
      <c r="J192" s="56">
        <f t="shared" si="17"/>
        <v>499.32</v>
      </c>
      <c r="K192" s="177"/>
    </row>
    <row r="193" spans="1:11" x14ac:dyDescent="0.25">
      <c r="A193" s="24" t="s">
        <v>223</v>
      </c>
      <c r="B193" s="30" t="s">
        <v>1255</v>
      </c>
      <c r="C193" s="266">
        <v>4</v>
      </c>
      <c r="D193" s="108">
        <v>332.88</v>
      </c>
      <c r="E193" s="48">
        <f t="shared" si="12"/>
        <v>166.44</v>
      </c>
      <c r="F193" s="41">
        <f t="shared" si="13"/>
        <v>499.32</v>
      </c>
      <c r="G193" s="53">
        <f t="shared" si="14"/>
        <v>374.49</v>
      </c>
      <c r="H193" s="54">
        <f t="shared" si="15"/>
        <v>166.44</v>
      </c>
      <c r="I193" s="55">
        <f t="shared" si="16"/>
        <v>665.76</v>
      </c>
      <c r="J193" s="56">
        <f t="shared" si="17"/>
        <v>499.32</v>
      </c>
      <c r="K193" s="177"/>
    </row>
    <row r="194" spans="1:11" x14ac:dyDescent="0.25">
      <c r="A194" s="24" t="s">
        <v>224</v>
      </c>
      <c r="B194" s="30" t="s">
        <v>2127</v>
      </c>
      <c r="C194" s="266">
        <v>4</v>
      </c>
      <c r="D194" s="108">
        <v>332.88</v>
      </c>
      <c r="E194" s="48">
        <f t="shared" si="12"/>
        <v>166.44</v>
      </c>
      <c r="F194" s="41">
        <f t="shared" si="13"/>
        <v>499.32</v>
      </c>
      <c r="G194" s="53">
        <f t="shared" si="14"/>
        <v>374.49</v>
      </c>
      <c r="H194" s="54">
        <f t="shared" si="15"/>
        <v>166.44</v>
      </c>
      <c r="I194" s="55">
        <f t="shared" si="16"/>
        <v>665.76</v>
      </c>
      <c r="J194" s="56">
        <f t="shared" si="17"/>
        <v>499.32</v>
      </c>
      <c r="K194" s="177"/>
    </row>
    <row r="195" spans="1:11" x14ac:dyDescent="0.25">
      <c r="A195" s="24" t="s">
        <v>225</v>
      </c>
      <c r="B195" s="30" t="s">
        <v>1837</v>
      </c>
      <c r="C195" s="266">
        <v>4</v>
      </c>
      <c r="D195" s="108">
        <v>332.88</v>
      </c>
      <c r="E195" s="48">
        <f t="shared" ref="E195:E258" si="18">D195*50%</f>
        <v>166.44</v>
      </c>
      <c r="F195" s="41">
        <f t="shared" ref="F195:F258" si="19">D195+E195</f>
        <v>499.32</v>
      </c>
      <c r="G195" s="53">
        <f t="shared" ref="G195:G258" si="20">F195-(F195*25%)</f>
        <v>374.49</v>
      </c>
      <c r="H195" s="54">
        <f t="shared" ref="H195:H258" si="21">D195*50%</f>
        <v>166.44</v>
      </c>
      <c r="I195" s="55">
        <f t="shared" ref="I195:I258" si="22">D195+(H195*2)</f>
        <v>665.76</v>
      </c>
      <c r="J195" s="56">
        <f t="shared" ref="J195:J258" si="23">I195-(I195*25%)</f>
        <v>499.32</v>
      </c>
      <c r="K195" s="177"/>
    </row>
    <row r="196" spans="1:11" x14ac:dyDescent="0.25">
      <c r="A196" s="24" t="s">
        <v>226</v>
      </c>
      <c r="B196" s="30" t="s">
        <v>1974</v>
      </c>
      <c r="C196" s="266">
        <v>4</v>
      </c>
      <c r="D196" s="108">
        <v>332.88</v>
      </c>
      <c r="E196" s="48">
        <f t="shared" si="18"/>
        <v>166.44</v>
      </c>
      <c r="F196" s="41">
        <f t="shared" si="19"/>
        <v>499.32</v>
      </c>
      <c r="G196" s="53">
        <f t="shared" si="20"/>
        <v>374.49</v>
      </c>
      <c r="H196" s="54">
        <f t="shared" si="21"/>
        <v>166.44</v>
      </c>
      <c r="I196" s="55">
        <f t="shared" si="22"/>
        <v>665.76</v>
      </c>
      <c r="J196" s="56">
        <f t="shared" si="23"/>
        <v>499.32</v>
      </c>
      <c r="K196" s="177"/>
    </row>
    <row r="197" spans="1:11" x14ac:dyDescent="0.25">
      <c r="A197" s="24" t="s">
        <v>227</v>
      </c>
      <c r="B197" s="30" t="s">
        <v>1252</v>
      </c>
      <c r="C197" s="266">
        <v>4</v>
      </c>
      <c r="D197" s="108">
        <v>332.88</v>
      </c>
      <c r="E197" s="48">
        <f t="shared" si="18"/>
        <v>166.44</v>
      </c>
      <c r="F197" s="41">
        <f t="shared" si="19"/>
        <v>499.32</v>
      </c>
      <c r="G197" s="53">
        <f t="shared" si="20"/>
        <v>374.49</v>
      </c>
      <c r="H197" s="54">
        <f t="shared" si="21"/>
        <v>166.44</v>
      </c>
      <c r="I197" s="55">
        <f t="shared" si="22"/>
        <v>665.76</v>
      </c>
      <c r="J197" s="56">
        <f t="shared" si="23"/>
        <v>499.32</v>
      </c>
      <c r="K197" s="177"/>
    </row>
    <row r="198" spans="1:11" x14ac:dyDescent="0.25">
      <c r="A198" s="159"/>
      <c r="B198" s="30"/>
      <c r="C198" s="267"/>
      <c r="D198" s="108"/>
      <c r="E198" s="48"/>
      <c r="F198" s="41"/>
      <c r="G198" s="53"/>
      <c r="H198" s="54"/>
      <c r="I198" s="55"/>
      <c r="J198" s="56"/>
      <c r="K198" s="177"/>
    </row>
    <row r="199" spans="1:11" x14ac:dyDescent="0.25">
      <c r="A199" s="24" t="s">
        <v>250</v>
      </c>
      <c r="B199" s="30" t="s">
        <v>1256</v>
      </c>
      <c r="C199" s="266">
        <v>4</v>
      </c>
      <c r="D199" s="108">
        <v>379.8</v>
      </c>
      <c r="E199" s="48">
        <f t="shared" si="18"/>
        <v>189.9</v>
      </c>
      <c r="F199" s="41">
        <f t="shared" si="19"/>
        <v>569.70000000000005</v>
      </c>
      <c r="G199" s="53">
        <f t="shared" si="20"/>
        <v>427.27500000000003</v>
      </c>
      <c r="H199" s="54">
        <f t="shared" si="21"/>
        <v>189.9</v>
      </c>
      <c r="I199" s="55">
        <f t="shared" si="22"/>
        <v>759.6</v>
      </c>
      <c r="J199" s="56">
        <f t="shared" si="23"/>
        <v>569.70000000000005</v>
      </c>
      <c r="K199" s="177"/>
    </row>
    <row r="200" spans="1:11" x14ac:dyDescent="0.25">
      <c r="A200" s="24" t="s">
        <v>251</v>
      </c>
      <c r="B200" s="30" t="s">
        <v>1256</v>
      </c>
      <c r="C200" s="266">
        <v>4</v>
      </c>
      <c r="D200" s="108">
        <v>379.8</v>
      </c>
      <c r="E200" s="48">
        <f t="shared" si="18"/>
        <v>189.9</v>
      </c>
      <c r="F200" s="41">
        <f t="shared" si="19"/>
        <v>569.70000000000005</v>
      </c>
      <c r="G200" s="53">
        <f t="shared" si="20"/>
        <v>427.27500000000003</v>
      </c>
      <c r="H200" s="54">
        <f t="shared" si="21"/>
        <v>189.9</v>
      </c>
      <c r="I200" s="55">
        <f t="shared" si="22"/>
        <v>759.6</v>
      </c>
      <c r="J200" s="56">
        <f t="shared" si="23"/>
        <v>569.70000000000005</v>
      </c>
      <c r="K200" s="177"/>
    </row>
    <row r="201" spans="1:11" x14ac:dyDescent="0.25">
      <c r="A201" s="24" t="s">
        <v>252</v>
      </c>
      <c r="B201" s="30" t="s">
        <v>2066</v>
      </c>
      <c r="C201" s="266">
        <v>4</v>
      </c>
      <c r="D201" s="108">
        <v>379.8</v>
      </c>
      <c r="E201" s="48">
        <f t="shared" si="18"/>
        <v>189.9</v>
      </c>
      <c r="F201" s="41">
        <f t="shared" si="19"/>
        <v>569.70000000000005</v>
      </c>
      <c r="G201" s="53">
        <f t="shared" si="20"/>
        <v>427.27500000000003</v>
      </c>
      <c r="H201" s="54">
        <f t="shared" si="21"/>
        <v>189.9</v>
      </c>
      <c r="I201" s="55">
        <f t="shared" si="22"/>
        <v>759.6</v>
      </c>
      <c r="J201" s="56">
        <f t="shared" si="23"/>
        <v>569.70000000000005</v>
      </c>
      <c r="K201" s="177"/>
    </row>
    <row r="202" spans="1:11" x14ac:dyDescent="0.25">
      <c r="A202" s="24" t="s">
        <v>253</v>
      </c>
      <c r="B202" s="30" t="s">
        <v>1741</v>
      </c>
      <c r="C202" s="266">
        <v>4</v>
      </c>
      <c r="D202" s="108">
        <v>379.8</v>
      </c>
      <c r="E202" s="48">
        <f t="shared" si="18"/>
        <v>189.9</v>
      </c>
      <c r="F202" s="41">
        <f t="shared" si="19"/>
        <v>569.70000000000005</v>
      </c>
      <c r="G202" s="53">
        <f t="shared" si="20"/>
        <v>427.27500000000003</v>
      </c>
      <c r="H202" s="54">
        <f t="shared" si="21"/>
        <v>189.9</v>
      </c>
      <c r="I202" s="55">
        <f t="shared" si="22"/>
        <v>759.6</v>
      </c>
      <c r="J202" s="56">
        <f t="shared" si="23"/>
        <v>569.70000000000005</v>
      </c>
      <c r="K202" s="177"/>
    </row>
    <row r="203" spans="1:11" x14ac:dyDescent="0.25">
      <c r="A203" s="24" t="s">
        <v>255</v>
      </c>
      <c r="B203" s="30" t="s">
        <v>1741</v>
      </c>
      <c r="C203" s="266">
        <v>4</v>
      </c>
      <c r="D203" s="108">
        <v>379.8</v>
      </c>
      <c r="E203" s="48">
        <f t="shared" si="18"/>
        <v>189.9</v>
      </c>
      <c r="F203" s="41">
        <f t="shared" si="19"/>
        <v>569.70000000000005</v>
      </c>
      <c r="G203" s="53">
        <f t="shared" si="20"/>
        <v>427.27500000000003</v>
      </c>
      <c r="H203" s="54">
        <f t="shared" si="21"/>
        <v>189.9</v>
      </c>
      <c r="I203" s="55">
        <f t="shared" si="22"/>
        <v>759.6</v>
      </c>
      <c r="J203" s="56">
        <f t="shared" si="23"/>
        <v>569.70000000000005</v>
      </c>
      <c r="K203" s="177"/>
    </row>
    <row r="204" spans="1:11" x14ac:dyDescent="0.25">
      <c r="A204" s="24" t="s">
        <v>256</v>
      </c>
      <c r="B204" s="30" t="s">
        <v>1713</v>
      </c>
      <c r="C204" s="266">
        <v>4</v>
      </c>
      <c r="D204" s="108">
        <v>379.8</v>
      </c>
      <c r="E204" s="48">
        <f t="shared" si="18"/>
        <v>189.9</v>
      </c>
      <c r="F204" s="41">
        <f t="shared" si="19"/>
        <v>569.70000000000005</v>
      </c>
      <c r="G204" s="53">
        <f t="shared" si="20"/>
        <v>427.27500000000003</v>
      </c>
      <c r="H204" s="54">
        <f t="shared" si="21"/>
        <v>189.9</v>
      </c>
      <c r="I204" s="55">
        <f t="shared" si="22"/>
        <v>759.6</v>
      </c>
      <c r="J204" s="56">
        <f t="shared" si="23"/>
        <v>569.70000000000005</v>
      </c>
      <c r="K204" s="177"/>
    </row>
    <row r="205" spans="1:11" x14ac:dyDescent="0.25">
      <c r="A205" s="24" t="s">
        <v>257</v>
      </c>
      <c r="B205" s="30" t="s">
        <v>1256</v>
      </c>
      <c r="C205" s="266">
        <v>4</v>
      </c>
      <c r="D205" s="108">
        <v>379.8</v>
      </c>
      <c r="E205" s="48">
        <f t="shared" si="18"/>
        <v>189.9</v>
      </c>
      <c r="F205" s="41">
        <f t="shared" si="19"/>
        <v>569.70000000000005</v>
      </c>
      <c r="G205" s="53">
        <f t="shared" si="20"/>
        <v>427.27500000000003</v>
      </c>
      <c r="H205" s="54">
        <f t="shared" si="21"/>
        <v>189.9</v>
      </c>
      <c r="I205" s="55">
        <f t="shared" si="22"/>
        <v>759.6</v>
      </c>
      <c r="J205" s="56">
        <f t="shared" si="23"/>
        <v>569.70000000000005</v>
      </c>
      <c r="K205" s="177"/>
    </row>
    <row r="206" spans="1:11" x14ac:dyDescent="0.25">
      <c r="A206" s="24" t="s">
        <v>258</v>
      </c>
      <c r="B206" s="30" t="s">
        <v>1256</v>
      </c>
      <c r="C206" s="266">
        <v>4</v>
      </c>
      <c r="D206" s="108">
        <v>379.8</v>
      </c>
      <c r="E206" s="48">
        <f t="shared" si="18"/>
        <v>189.9</v>
      </c>
      <c r="F206" s="41">
        <f t="shared" si="19"/>
        <v>569.70000000000005</v>
      </c>
      <c r="G206" s="53">
        <f t="shared" si="20"/>
        <v>427.27500000000003</v>
      </c>
      <c r="H206" s="54">
        <f t="shared" si="21"/>
        <v>189.9</v>
      </c>
      <c r="I206" s="55">
        <f t="shared" si="22"/>
        <v>759.6</v>
      </c>
      <c r="J206" s="56">
        <f t="shared" si="23"/>
        <v>569.70000000000005</v>
      </c>
      <c r="K206" s="177"/>
    </row>
    <row r="207" spans="1:11" x14ac:dyDescent="0.25">
      <c r="A207" s="37"/>
      <c r="B207" s="30"/>
      <c r="C207" s="267"/>
      <c r="D207" s="30"/>
      <c r="E207" s="48"/>
      <c r="F207" s="41"/>
      <c r="G207" s="53"/>
      <c r="H207" s="54"/>
      <c r="I207" s="55"/>
      <c r="J207" s="56"/>
      <c r="K207" s="177"/>
    </row>
    <row r="208" spans="1:11" x14ac:dyDescent="0.25">
      <c r="A208" s="24" t="s">
        <v>259</v>
      </c>
      <c r="B208" s="30" t="s">
        <v>1975</v>
      </c>
      <c r="C208" s="266">
        <v>4</v>
      </c>
      <c r="D208" s="108">
        <v>379.8</v>
      </c>
      <c r="E208" s="48">
        <f t="shared" si="18"/>
        <v>189.9</v>
      </c>
      <c r="F208" s="41">
        <f t="shared" si="19"/>
        <v>569.70000000000005</v>
      </c>
      <c r="G208" s="53">
        <f t="shared" si="20"/>
        <v>427.27500000000003</v>
      </c>
      <c r="H208" s="54">
        <f t="shared" si="21"/>
        <v>189.9</v>
      </c>
      <c r="I208" s="55">
        <f t="shared" si="22"/>
        <v>759.6</v>
      </c>
      <c r="J208" s="56">
        <f t="shared" si="23"/>
        <v>569.70000000000005</v>
      </c>
      <c r="K208" s="177"/>
    </row>
    <row r="209" spans="1:11" x14ac:dyDescent="0.25">
      <c r="A209" s="24" t="s">
        <v>261</v>
      </c>
      <c r="B209" s="30" t="s">
        <v>1975</v>
      </c>
      <c r="C209" s="266">
        <v>4</v>
      </c>
      <c r="D209" s="108">
        <v>379.8</v>
      </c>
      <c r="E209" s="48">
        <f t="shared" si="18"/>
        <v>189.9</v>
      </c>
      <c r="F209" s="41">
        <f t="shared" si="19"/>
        <v>569.70000000000005</v>
      </c>
      <c r="G209" s="53">
        <f t="shared" si="20"/>
        <v>427.27500000000003</v>
      </c>
      <c r="H209" s="54">
        <f t="shared" si="21"/>
        <v>189.9</v>
      </c>
      <c r="I209" s="55">
        <f t="shared" si="22"/>
        <v>759.6</v>
      </c>
      <c r="J209" s="56">
        <f t="shared" si="23"/>
        <v>569.70000000000005</v>
      </c>
      <c r="K209" s="177"/>
    </row>
    <row r="210" spans="1:11" x14ac:dyDescent="0.25">
      <c r="A210" s="24" t="s">
        <v>263</v>
      </c>
      <c r="B210" s="30" t="s">
        <v>2238</v>
      </c>
      <c r="C210" s="266">
        <v>4</v>
      </c>
      <c r="D210" s="108">
        <v>379.8</v>
      </c>
      <c r="E210" s="48">
        <f t="shared" si="18"/>
        <v>189.9</v>
      </c>
      <c r="F210" s="41">
        <f t="shared" si="19"/>
        <v>569.70000000000005</v>
      </c>
      <c r="G210" s="53">
        <f t="shared" si="20"/>
        <v>427.27500000000003</v>
      </c>
      <c r="H210" s="54">
        <f t="shared" si="21"/>
        <v>189.9</v>
      </c>
      <c r="I210" s="55">
        <f t="shared" si="22"/>
        <v>759.6</v>
      </c>
      <c r="J210" s="56">
        <f t="shared" si="23"/>
        <v>569.70000000000005</v>
      </c>
      <c r="K210" s="177"/>
    </row>
    <row r="211" spans="1:11" x14ac:dyDescent="0.25">
      <c r="A211" s="24" t="s">
        <v>264</v>
      </c>
      <c r="B211" s="30" t="s">
        <v>2238</v>
      </c>
      <c r="C211" s="266">
        <v>4</v>
      </c>
      <c r="D211" s="108">
        <v>379.8</v>
      </c>
      <c r="E211" s="48">
        <f t="shared" si="18"/>
        <v>189.9</v>
      </c>
      <c r="F211" s="41">
        <f t="shared" si="19"/>
        <v>569.70000000000005</v>
      </c>
      <c r="G211" s="53">
        <f t="shared" si="20"/>
        <v>427.27500000000003</v>
      </c>
      <c r="H211" s="54">
        <f t="shared" si="21"/>
        <v>189.9</v>
      </c>
      <c r="I211" s="55">
        <f t="shared" si="22"/>
        <v>759.6</v>
      </c>
      <c r="J211" s="56">
        <f t="shared" si="23"/>
        <v>569.70000000000005</v>
      </c>
      <c r="K211" s="177"/>
    </row>
    <row r="212" spans="1:11" x14ac:dyDescent="0.25">
      <c r="A212" s="24" t="s">
        <v>265</v>
      </c>
      <c r="B212" s="30" t="s">
        <v>1257</v>
      </c>
      <c r="C212" s="266">
        <v>4</v>
      </c>
      <c r="D212" s="108">
        <v>379.8</v>
      </c>
      <c r="E212" s="48">
        <f t="shared" si="18"/>
        <v>189.9</v>
      </c>
      <c r="F212" s="41">
        <f t="shared" si="19"/>
        <v>569.70000000000005</v>
      </c>
      <c r="G212" s="53">
        <f t="shared" si="20"/>
        <v>427.27500000000003</v>
      </c>
      <c r="H212" s="54">
        <f t="shared" si="21"/>
        <v>189.9</v>
      </c>
      <c r="I212" s="55">
        <f t="shared" si="22"/>
        <v>759.6</v>
      </c>
      <c r="J212" s="56">
        <f t="shared" si="23"/>
        <v>569.70000000000005</v>
      </c>
      <c r="K212" s="177"/>
    </row>
    <row r="213" spans="1:11" x14ac:dyDescent="0.25">
      <c r="A213" s="24" t="s">
        <v>1113</v>
      </c>
      <c r="B213" s="30" t="s">
        <v>1258</v>
      </c>
      <c r="C213" s="266">
        <v>4</v>
      </c>
      <c r="D213" s="108">
        <v>379.8</v>
      </c>
      <c r="E213" s="48">
        <f t="shared" si="18"/>
        <v>189.9</v>
      </c>
      <c r="F213" s="41">
        <f t="shared" si="19"/>
        <v>569.70000000000005</v>
      </c>
      <c r="G213" s="53">
        <f t="shared" si="20"/>
        <v>427.27500000000003</v>
      </c>
      <c r="H213" s="54">
        <f t="shared" si="21"/>
        <v>189.9</v>
      </c>
      <c r="I213" s="55">
        <f t="shared" si="22"/>
        <v>759.6</v>
      </c>
      <c r="J213" s="56">
        <f t="shared" si="23"/>
        <v>569.70000000000005</v>
      </c>
      <c r="K213" s="177"/>
    </row>
    <row r="214" spans="1:11" x14ac:dyDescent="0.25">
      <c r="A214" s="163"/>
      <c r="B214" s="164"/>
      <c r="C214" s="267"/>
      <c r="D214" s="108"/>
      <c r="E214" s="48"/>
      <c r="F214" s="41"/>
      <c r="G214" s="53"/>
      <c r="H214" s="54"/>
      <c r="I214" s="55"/>
      <c r="J214" s="56"/>
      <c r="K214" s="177"/>
    </row>
    <row r="215" spans="1:11" x14ac:dyDescent="0.25">
      <c r="A215" s="24" t="s">
        <v>266</v>
      </c>
      <c r="B215" s="30" t="s">
        <v>1946</v>
      </c>
      <c r="C215" s="266">
        <v>4</v>
      </c>
      <c r="D215" s="108">
        <v>356.4</v>
      </c>
      <c r="E215" s="48">
        <f t="shared" si="18"/>
        <v>178.2</v>
      </c>
      <c r="F215" s="41">
        <f t="shared" si="19"/>
        <v>534.59999999999991</v>
      </c>
      <c r="G215" s="53">
        <f t="shared" si="20"/>
        <v>400.94999999999993</v>
      </c>
      <c r="H215" s="54">
        <f t="shared" si="21"/>
        <v>178.2</v>
      </c>
      <c r="I215" s="55">
        <f t="shared" si="22"/>
        <v>712.8</v>
      </c>
      <c r="J215" s="56">
        <f t="shared" si="23"/>
        <v>534.59999999999991</v>
      </c>
      <c r="K215" s="177"/>
    </row>
    <row r="216" spans="1:11" x14ac:dyDescent="0.25">
      <c r="A216" s="24" t="s">
        <v>268</v>
      </c>
      <c r="B216" s="30" t="s">
        <v>2244</v>
      </c>
      <c r="C216" s="266">
        <v>4</v>
      </c>
      <c r="D216" s="108">
        <v>356.4</v>
      </c>
      <c r="E216" s="48">
        <f t="shared" si="18"/>
        <v>178.2</v>
      </c>
      <c r="F216" s="41">
        <f t="shared" si="19"/>
        <v>534.59999999999991</v>
      </c>
      <c r="G216" s="53">
        <f t="shared" si="20"/>
        <v>400.94999999999993</v>
      </c>
      <c r="H216" s="54">
        <f t="shared" si="21"/>
        <v>178.2</v>
      </c>
      <c r="I216" s="55">
        <f t="shared" si="22"/>
        <v>712.8</v>
      </c>
      <c r="J216" s="56">
        <f t="shared" si="23"/>
        <v>534.59999999999991</v>
      </c>
      <c r="K216" s="177"/>
    </row>
    <row r="217" spans="1:11" x14ac:dyDescent="0.25">
      <c r="A217" s="24" t="s">
        <v>269</v>
      </c>
      <c r="B217" s="30" t="s">
        <v>1260</v>
      </c>
      <c r="C217" s="266">
        <v>4</v>
      </c>
      <c r="D217" s="108">
        <v>356.4</v>
      </c>
      <c r="E217" s="48">
        <f t="shared" si="18"/>
        <v>178.2</v>
      </c>
      <c r="F217" s="41">
        <f t="shared" si="19"/>
        <v>534.59999999999991</v>
      </c>
      <c r="G217" s="53">
        <f t="shared" si="20"/>
        <v>400.94999999999993</v>
      </c>
      <c r="H217" s="54">
        <f t="shared" si="21"/>
        <v>178.2</v>
      </c>
      <c r="I217" s="55">
        <f t="shared" si="22"/>
        <v>712.8</v>
      </c>
      <c r="J217" s="56">
        <f t="shared" si="23"/>
        <v>534.59999999999991</v>
      </c>
      <c r="K217" s="177"/>
    </row>
    <row r="218" spans="1:11" x14ac:dyDescent="0.25">
      <c r="A218" s="24" t="s">
        <v>270</v>
      </c>
      <c r="B218" s="30" t="s">
        <v>1391</v>
      </c>
      <c r="C218" s="266">
        <v>4</v>
      </c>
      <c r="D218" s="108">
        <v>356.4</v>
      </c>
      <c r="E218" s="48">
        <f t="shared" si="18"/>
        <v>178.2</v>
      </c>
      <c r="F218" s="41">
        <f t="shared" si="19"/>
        <v>534.59999999999991</v>
      </c>
      <c r="G218" s="53">
        <f t="shared" si="20"/>
        <v>400.94999999999993</v>
      </c>
      <c r="H218" s="54">
        <f t="shared" si="21"/>
        <v>178.2</v>
      </c>
      <c r="I218" s="55">
        <f t="shared" si="22"/>
        <v>712.8</v>
      </c>
      <c r="J218" s="56">
        <f t="shared" si="23"/>
        <v>534.59999999999991</v>
      </c>
      <c r="K218" s="177"/>
    </row>
    <row r="219" spans="1:11" x14ac:dyDescent="0.25">
      <c r="A219" s="24" t="s">
        <v>271</v>
      </c>
      <c r="B219" s="30" t="s">
        <v>1261</v>
      </c>
      <c r="C219" s="266">
        <v>4</v>
      </c>
      <c r="D219" s="108">
        <v>356.4</v>
      </c>
      <c r="E219" s="48">
        <f t="shared" si="18"/>
        <v>178.2</v>
      </c>
      <c r="F219" s="41">
        <f t="shared" si="19"/>
        <v>534.59999999999991</v>
      </c>
      <c r="G219" s="53">
        <f t="shared" si="20"/>
        <v>400.94999999999993</v>
      </c>
      <c r="H219" s="54">
        <f t="shared" si="21"/>
        <v>178.2</v>
      </c>
      <c r="I219" s="55">
        <f t="shared" si="22"/>
        <v>712.8</v>
      </c>
      <c r="J219" s="56">
        <f t="shared" si="23"/>
        <v>534.59999999999991</v>
      </c>
      <c r="K219" s="177"/>
    </row>
    <row r="220" spans="1:11" x14ac:dyDescent="0.25">
      <c r="A220" s="24" t="s">
        <v>273</v>
      </c>
      <c r="B220" s="30" t="s">
        <v>1262</v>
      </c>
      <c r="C220" s="266">
        <v>4</v>
      </c>
      <c r="D220" s="108">
        <v>356.4</v>
      </c>
      <c r="E220" s="48">
        <f t="shared" si="18"/>
        <v>178.2</v>
      </c>
      <c r="F220" s="41">
        <f t="shared" si="19"/>
        <v>534.59999999999991</v>
      </c>
      <c r="G220" s="53">
        <f t="shared" si="20"/>
        <v>400.94999999999993</v>
      </c>
      <c r="H220" s="54">
        <f t="shared" si="21"/>
        <v>178.2</v>
      </c>
      <c r="I220" s="55">
        <f t="shared" si="22"/>
        <v>712.8</v>
      </c>
      <c r="J220" s="56">
        <f t="shared" si="23"/>
        <v>534.59999999999991</v>
      </c>
      <c r="K220" s="177"/>
    </row>
    <row r="221" spans="1:11" x14ac:dyDescent="0.25">
      <c r="A221" s="24" t="s">
        <v>274</v>
      </c>
      <c r="B221" s="30" t="s">
        <v>1262</v>
      </c>
      <c r="C221" s="266">
        <v>4</v>
      </c>
      <c r="D221" s="108">
        <v>356.4</v>
      </c>
      <c r="E221" s="48">
        <f t="shared" si="18"/>
        <v>178.2</v>
      </c>
      <c r="F221" s="41">
        <f t="shared" si="19"/>
        <v>534.59999999999991</v>
      </c>
      <c r="G221" s="53">
        <f t="shared" si="20"/>
        <v>400.94999999999993</v>
      </c>
      <c r="H221" s="54">
        <f t="shared" si="21"/>
        <v>178.2</v>
      </c>
      <c r="I221" s="55">
        <f t="shared" si="22"/>
        <v>712.8</v>
      </c>
      <c r="J221" s="56">
        <f t="shared" si="23"/>
        <v>534.59999999999991</v>
      </c>
      <c r="K221" s="177"/>
    </row>
    <row r="222" spans="1:11" x14ac:dyDescent="0.25">
      <c r="A222" s="24" t="s">
        <v>275</v>
      </c>
      <c r="B222" s="30" t="s">
        <v>1262</v>
      </c>
      <c r="C222" s="266">
        <v>4</v>
      </c>
      <c r="D222" s="108">
        <v>356.4</v>
      </c>
      <c r="E222" s="48">
        <f t="shared" si="18"/>
        <v>178.2</v>
      </c>
      <c r="F222" s="41">
        <f t="shared" si="19"/>
        <v>534.59999999999991</v>
      </c>
      <c r="G222" s="53">
        <f t="shared" si="20"/>
        <v>400.94999999999993</v>
      </c>
      <c r="H222" s="54">
        <f t="shared" si="21"/>
        <v>178.2</v>
      </c>
      <c r="I222" s="55">
        <f t="shared" si="22"/>
        <v>712.8</v>
      </c>
      <c r="J222" s="56">
        <f t="shared" si="23"/>
        <v>534.59999999999991</v>
      </c>
      <c r="K222" s="177"/>
    </row>
    <row r="223" spans="1:11" x14ac:dyDescent="0.25">
      <c r="A223" s="24" t="s">
        <v>276</v>
      </c>
      <c r="B223" s="30" t="s">
        <v>1373</v>
      </c>
      <c r="C223" s="266">
        <v>4</v>
      </c>
      <c r="D223" s="108">
        <v>356.4</v>
      </c>
      <c r="E223" s="48">
        <f t="shared" si="18"/>
        <v>178.2</v>
      </c>
      <c r="F223" s="41">
        <f t="shared" si="19"/>
        <v>534.59999999999991</v>
      </c>
      <c r="G223" s="53">
        <f t="shared" si="20"/>
        <v>400.94999999999993</v>
      </c>
      <c r="H223" s="54">
        <f t="shared" si="21"/>
        <v>178.2</v>
      </c>
      <c r="I223" s="55">
        <f t="shared" si="22"/>
        <v>712.8</v>
      </c>
      <c r="J223" s="56">
        <f t="shared" si="23"/>
        <v>534.59999999999991</v>
      </c>
      <c r="K223" s="177"/>
    </row>
    <row r="224" spans="1:11" x14ac:dyDescent="0.25">
      <c r="A224" s="24" t="s">
        <v>277</v>
      </c>
      <c r="B224" s="30" t="s">
        <v>1337</v>
      </c>
      <c r="C224" s="266">
        <v>4</v>
      </c>
      <c r="D224" s="108">
        <v>356.4</v>
      </c>
      <c r="E224" s="48">
        <f t="shared" si="18"/>
        <v>178.2</v>
      </c>
      <c r="F224" s="41">
        <f t="shared" si="19"/>
        <v>534.59999999999991</v>
      </c>
      <c r="G224" s="53">
        <f t="shared" si="20"/>
        <v>400.94999999999993</v>
      </c>
      <c r="H224" s="54">
        <f t="shared" si="21"/>
        <v>178.2</v>
      </c>
      <c r="I224" s="55">
        <f t="shared" si="22"/>
        <v>712.8</v>
      </c>
      <c r="J224" s="56">
        <f t="shared" si="23"/>
        <v>534.59999999999991</v>
      </c>
      <c r="K224" s="177"/>
    </row>
    <row r="225" spans="1:11" x14ac:dyDescent="0.25">
      <c r="A225" s="24" t="s">
        <v>278</v>
      </c>
      <c r="B225" s="30" t="s">
        <v>1830</v>
      </c>
      <c r="C225" s="266">
        <v>4</v>
      </c>
      <c r="D225" s="108">
        <v>356.4</v>
      </c>
      <c r="E225" s="48">
        <f t="shared" si="18"/>
        <v>178.2</v>
      </c>
      <c r="F225" s="41">
        <f t="shared" si="19"/>
        <v>534.59999999999991</v>
      </c>
      <c r="G225" s="53">
        <f t="shared" si="20"/>
        <v>400.94999999999993</v>
      </c>
      <c r="H225" s="54">
        <f t="shared" si="21"/>
        <v>178.2</v>
      </c>
      <c r="I225" s="55">
        <f t="shared" si="22"/>
        <v>712.8</v>
      </c>
      <c r="J225" s="56">
        <f t="shared" si="23"/>
        <v>534.59999999999991</v>
      </c>
      <c r="K225" s="177"/>
    </row>
    <row r="226" spans="1:11" x14ac:dyDescent="0.25">
      <c r="A226" s="24" t="s">
        <v>279</v>
      </c>
      <c r="B226" s="30" t="s">
        <v>1827</v>
      </c>
      <c r="C226" s="266">
        <v>4</v>
      </c>
      <c r="D226" s="108">
        <v>356.4</v>
      </c>
      <c r="E226" s="48">
        <f t="shared" si="18"/>
        <v>178.2</v>
      </c>
      <c r="F226" s="41">
        <f t="shared" si="19"/>
        <v>534.59999999999991</v>
      </c>
      <c r="G226" s="53">
        <f t="shared" si="20"/>
        <v>400.94999999999993</v>
      </c>
      <c r="H226" s="54">
        <f t="shared" si="21"/>
        <v>178.2</v>
      </c>
      <c r="I226" s="55">
        <f t="shared" si="22"/>
        <v>712.8</v>
      </c>
      <c r="J226" s="56">
        <f t="shared" si="23"/>
        <v>534.59999999999991</v>
      </c>
      <c r="K226" s="177"/>
    </row>
    <row r="227" spans="1:11" x14ac:dyDescent="0.25">
      <c r="A227" s="159"/>
      <c r="B227" s="30"/>
      <c r="C227" s="267"/>
      <c r="D227" s="108"/>
      <c r="E227" s="48"/>
      <c r="F227" s="41"/>
      <c r="G227" s="53"/>
      <c r="H227" s="54"/>
      <c r="I227" s="55"/>
      <c r="J227" s="56"/>
      <c r="K227" s="177"/>
    </row>
    <row r="228" spans="1:11" x14ac:dyDescent="0.25">
      <c r="A228" s="24" t="s">
        <v>281</v>
      </c>
      <c r="B228" s="30" t="s">
        <v>1263</v>
      </c>
      <c r="C228" s="266">
        <v>4</v>
      </c>
      <c r="D228" s="108">
        <v>356.4</v>
      </c>
      <c r="E228" s="48">
        <f t="shared" si="18"/>
        <v>178.2</v>
      </c>
      <c r="F228" s="41">
        <f t="shared" si="19"/>
        <v>534.59999999999991</v>
      </c>
      <c r="G228" s="53">
        <f t="shared" si="20"/>
        <v>400.94999999999993</v>
      </c>
      <c r="H228" s="54">
        <f t="shared" si="21"/>
        <v>178.2</v>
      </c>
      <c r="I228" s="55">
        <f t="shared" si="22"/>
        <v>712.8</v>
      </c>
      <c r="J228" s="56">
        <f t="shared" si="23"/>
        <v>534.59999999999991</v>
      </c>
      <c r="K228" s="177"/>
    </row>
    <row r="229" spans="1:11" x14ac:dyDescent="0.25">
      <c r="A229" s="24" t="s">
        <v>282</v>
      </c>
      <c r="B229" s="30" t="s">
        <v>1259</v>
      </c>
      <c r="C229" s="266">
        <v>4</v>
      </c>
      <c r="D229" s="108">
        <v>356.4</v>
      </c>
      <c r="E229" s="48">
        <f t="shared" si="18"/>
        <v>178.2</v>
      </c>
      <c r="F229" s="41">
        <f t="shared" si="19"/>
        <v>534.59999999999991</v>
      </c>
      <c r="G229" s="53">
        <f t="shared" si="20"/>
        <v>400.94999999999993</v>
      </c>
      <c r="H229" s="54">
        <f t="shared" si="21"/>
        <v>178.2</v>
      </c>
      <c r="I229" s="55">
        <f t="shared" si="22"/>
        <v>712.8</v>
      </c>
      <c r="J229" s="56">
        <f t="shared" si="23"/>
        <v>534.59999999999991</v>
      </c>
      <c r="K229" s="177"/>
    </row>
    <row r="230" spans="1:11" x14ac:dyDescent="0.25">
      <c r="A230" s="24" t="s">
        <v>284</v>
      </c>
      <c r="B230" s="30" t="s">
        <v>2117</v>
      </c>
      <c r="C230" s="266">
        <v>4</v>
      </c>
      <c r="D230" s="108">
        <v>356.4</v>
      </c>
      <c r="E230" s="48">
        <f t="shared" si="18"/>
        <v>178.2</v>
      </c>
      <c r="F230" s="41">
        <f t="shared" si="19"/>
        <v>534.59999999999991</v>
      </c>
      <c r="G230" s="53">
        <f t="shared" si="20"/>
        <v>400.94999999999993</v>
      </c>
      <c r="H230" s="54">
        <f t="shared" si="21"/>
        <v>178.2</v>
      </c>
      <c r="I230" s="55">
        <f t="shared" si="22"/>
        <v>712.8</v>
      </c>
      <c r="J230" s="56">
        <f t="shared" si="23"/>
        <v>534.59999999999991</v>
      </c>
      <c r="K230" s="177"/>
    </row>
    <row r="231" spans="1:11" x14ac:dyDescent="0.25">
      <c r="A231" s="24" t="s">
        <v>286</v>
      </c>
      <c r="B231" s="30" t="s">
        <v>1761</v>
      </c>
      <c r="C231" s="266">
        <v>4</v>
      </c>
      <c r="D231" s="108">
        <v>356.4</v>
      </c>
      <c r="E231" s="48">
        <f t="shared" si="18"/>
        <v>178.2</v>
      </c>
      <c r="F231" s="41">
        <f t="shared" si="19"/>
        <v>534.59999999999991</v>
      </c>
      <c r="G231" s="53">
        <f t="shared" si="20"/>
        <v>400.94999999999993</v>
      </c>
      <c r="H231" s="54">
        <f t="shared" si="21"/>
        <v>178.2</v>
      </c>
      <c r="I231" s="55">
        <f t="shared" si="22"/>
        <v>712.8</v>
      </c>
      <c r="J231" s="56">
        <f t="shared" si="23"/>
        <v>534.59999999999991</v>
      </c>
      <c r="K231" s="177"/>
    </row>
    <row r="232" spans="1:11" x14ac:dyDescent="0.25">
      <c r="A232" s="24" t="s">
        <v>287</v>
      </c>
      <c r="B232" s="30" t="s">
        <v>1761</v>
      </c>
      <c r="C232" s="266">
        <v>4</v>
      </c>
      <c r="D232" s="108">
        <v>356.4</v>
      </c>
      <c r="E232" s="48">
        <f t="shared" si="18"/>
        <v>178.2</v>
      </c>
      <c r="F232" s="41">
        <f t="shared" si="19"/>
        <v>534.59999999999991</v>
      </c>
      <c r="G232" s="53">
        <f t="shared" si="20"/>
        <v>400.94999999999993</v>
      </c>
      <c r="H232" s="54">
        <f t="shared" si="21"/>
        <v>178.2</v>
      </c>
      <c r="I232" s="55">
        <f t="shared" si="22"/>
        <v>712.8</v>
      </c>
      <c r="J232" s="56">
        <f t="shared" si="23"/>
        <v>534.59999999999991</v>
      </c>
      <c r="K232" s="177"/>
    </row>
    <row r="233" spans="1:11" x14ac:dyDescent="0.25">
      <c r="A233" s="24" t="s">
        <v>288</v>
      </c>
      <c r="B233" s="30" t="s">
        <v>2206</v>
      </c>
      <c r="C233" s="266">
        <v>4</v>
      </c>
      <c r="D233" s="108">
        <v>356.4</v>
      </c>
      <c r="E233" s="48">
        <f t="shared" si="18"/>
        <v>178.2</v>
      </c>
      <c r="F233" s="41">
        <f t="shared" si="19"/>
        <v>534.59999999999991</v>
      </c>
      <c r="G233" s="53">
        <f t="shared" si="20"/>
        <v>400.94999999999993</v>
      </c>
      <c r="H233" s="54">
        <f t="shared" si="21"/>
        <v>178.2</v>
      </c>
      <c r="I233" s="55">
        <f t="shared" si="22"/>
        <v>712.8</v>
      </c>
      <c r="J233" s="56">
        <f t="shared" si="23"/>
        <v>534.59999999999991</v>
      </c>
      <c r="K233" s="177"/>
    </row>
    <row r="234" spans="1:11" x14ac:dyDescent="0.25">
      <c r="A234" s="24" t="s">
        <v>290</v>
      </c>
      <c r="B234" s="30" t="s">
        <v>2206</v>
      </c>
      <c r="C234" s="266">
        <v>4</v>
      </c>
      <c r="D234" s="108">
        <v>356.4</v>
      </c>
      <c r="E234" s="48">
        <f t="shared" si="18"/>
        <v>178.2</v>
      </c>
      <c r="F234" s="41">
        <f t="shared" si="19"/>
        <v>534.59999999999991</v>
      </c>
      <c r="G234" s="53">
        <f t="shared" si="20"/>
        <v>400.94999999999993</v>
      </c>
      <c r="H234" s="54">
        <f t="shared" si="21"/>
        <v>178.2</v>
      </c>
      <c r="I234" s="55">
        <f t="shared" si="22"/>
        <v>712.8</v>
      </c>
      <c r="J234" s="56">
        <f t="shared" si="23"/>
        <v>534.59999999999991</v>
      </c>
      <c r="K234" s="177"/>
    </row>
    <row r="235" spans="1:11" x14ac:dyDescent="0.25">
      <c r="A235" s="24" t="s">
        <v>291</v>
      </c>
      <c r="B235" s="30" t="s">
        <v>1264</v>
      </c>
      <c r="C235" s="266">
        <v>4</v>
      </c>
      <c r="D235" s="108">
        <v>356.4</v>
      </c>
      <c r="E235" s="48">
        <f t="shared" si="18"/>
        <v>178.2</v>
      </c>
      <c r="F235" s="41">
        <f t="shared" si="19"/>
        <v>534.59999999999991</v>
      </c>
      <c r="G235" s="53">
        <f t="shared" si="20"/>
        <v>400.94999999999993</v>
      </c>
      <c r="H235" s="54">
        <f t="shared" si="21"/>
        <v>178.2</v>
      </c>
      <c r="I235" s="55">
        <f t="shared" si="22"/>
        <v>712.8</v>
      </c>
      <c r="J235" s="56">
        <f t="shared" si="23"/>
        <v>534.59999999999991</v>
      </c>
      <c r="K235" s="177"/>
    </row>
    <row r="236" spans="1:11" x14ac:dyDescent="0.25">
      <c r="A236" s="24" t="s">
        <v>292</v>
      </c>
      <c r="B236" s="30" t="s">
        <v>1264</v>
      </c>
      <c r="C236" s="266">
        <v>4</v>
      </c>
      <c r="D236" s="108">
        <v>356.4</v>
      </c>
      <c r="E236" s="48">
        <f t="shared" si="18"/>
        <v>178.2</v>
      </c>
      <c r="F236" s="41">
        <f t="shared" si="19"/>
        <v>534.59999999999991</v>
      </c>
      <c r="G236" s="53">
        <f t="shared" si="20"/>
        <v>400.94999999999993</v>
      </c>
      <c r="H236" s="54">
        <f t="shared" si="21"/>
        <v>178.2</v>
      </c>
      <c r="I236" s="55">
        <f t="shared" si="22"/>
        <v>712.8</v>
      </c>
      <c r="J236" s="56">
        <f t="shared" si="23"/>
        <v>534.59999999999991</v>
      </c>
      <c r="K236" s="177"/>
    </row>
    <row r="237" spans="1:11" x14ac:dyDescent="0.25">
      <c r="A237" s="24" t="s">
        <v>293</v>
      </c>
      <c r="B237" s="30" t="s">
        <v>2129</v>
      </c>
      <c r="C237" s="266">
        <v>4</v>
      </c>
      <c r="D237" s="108">
        <v>356.4</v>
      </c>
      <c r="E237" s="48">
        <f t="shared" si="18"/>
        <v>178.2</v>
      </c>
      <c r="F237" s="41">
        <f t="shared" si="19"/>
        <v>534.59999999999991</v>
      </c>
      <c r="G237" s="53">
        <f t="shared" si="20"/>
        <v>400.94999999999993</v>
      </c>
      <c r="H237" s="54">
        <f t="shared" si="21"/>
        <v>178.2</v>
      </c>
      <c r="I237" s="55">
        <f t="shared" si="22"/>
        <v>712.8</v>
      </c>
      <c r="J237" s="56">
        <f t="shared" si="23"/>
        <v>534.59999999999991</v>
      </c>
      <c r="K237" s="177"/>
    </row>
    <row r="238" spans="1:11" x14ac:dyDescent="0.25">
      <c r="A238" s="24" t="s">
        <v>1114</v>
      </c>
      <c r="B238" s="30" t="s">
        <v>1392</v>
      </c>
      <c r="C238" s="266">
        <v>4</v>
      </c>
      <c r="D238" s="108">
        <v>356.4</v>
      </c>
      <c r="E238" s="48">
        <f t="shared" si="18"/>
        <v>178.2</v>
      </c>
      <c r="F238" s="41">
        <f t="shared" si="19"/>
        <v>534.59999999999991</v>
      </c>
      <c r="G238" s="53">
        <f t="shared" si="20"/>
        <v>400.94999999999993</v>
      </c>
      <c r="H238" s="54">
        <f t="shared" si="21"/>
        <v>178.2</v>
      </c>
      <c r="I238" s="55">
        <f t="shared" si="22"/>
        <v>712.8</v>
      </c>
      <c r="J238" s="56">
        <f t="shared" si="23"/>
        <v>534.59999999999991</v>
      </c>
      <c r="K238" s="177"/>
    </row>
    <row r="239" spans="1:11" x14ac:dyDescent="0.25">
      <c r="A239" s="24" t="s">
        <v>1115</v>
      </c>
      <c r="B239" s="30" t="s">
        <v>1392</v>
      </c>
      <c r="C239" s="266">
        <v>4</v>
      </c>
      <c r="D239" s="108">
        <v>356.4</v>
      </c>
      <c r="E239" s="48">
        <f t="shared" si="18"/>
        <v>178.2</v>
      </c>
      <c r="F239" s="41">
        <f t="shared" si="19"/>
        <v>534.59999999999991</v>
      </c>
      <c r="G239" s="53">
        <f t="shared" si="20"/>
        <v>400.94999999999993</v>
      </c>
      <c r="H239" s="54">
        <f t="shared" si="21"/>
        <v>178.2</v>
      </c>
      <c r="I239" s="55">
        <f t="shared" si="22"/>
        <v>712.8</v>
      </c>
      <c r="J239" s="56">
        <f t="shared" si="23"/>
        <v>534.59999999999991</v>
      </c>
      <c r="K239" s="177"/>
    </row>
    <row r="240" spans="1:11" x14ac:dyDescent="0.25">
      <c r="A240" s="24" t="s">
        <v>1116</v>
      </c>
      <c r="B240" s="30" t="s">
        <v>1265</v>
      </c>
      <c r="C240" s="266">
        <v>4</v>
      </c>
      <c r="D240" s="108">
        <v>356.4</v>
      </c>
      <c r="E240" s="48">
        <f t="shared" si="18"/>
        <v>178.2</v>
      </c>
      <c r="F240" s="41">
        <f t="shared" si="19"/>
        <v>534.59999999999991</v>
      </c>
      <c r="G240" s="53">
        <f t="shared" si="20"/>
        <v>400.94999999999993</v>
      </c>
      <c r="H240" s="54">
        <f t="shared" si="21"/>
        <v>178.2</v>
      </c>
      <c r="I240" s="55">
        <f t="shared" si="22"/>
        <v>712.8</v>
      </c>
      <c r="J240" s="56">
        <f t="shared" si="23"/>
        <v>534.59999999999991</v>
      </c>
      <c r="K240" s="177"/>
    </row>
    <row r="241" spans="1:11" x14ac:dyDescent="0.25">
      <c r="A241" s="24" t="s">
        <v>1117</v>
      </c>
      <c r="B241" s="30" t="s">
        <v>1266</v>
      </c>
      <c r="C241" s="266">
        <v>4</v>
      </c>
      <c r="D241" s="108">
        <v>356.4</v>
      </c>
      <c r="E241" s="48">
        <f t="shared" si="18"/>
        <v>178.2</v>
      </c>
      <c r="F241" s="41">
        <f t="shared" si="19"/>
        <v>534.59999999999991</v>
      </c>
      <c r="G241" s="53">
        <f t="shared" si="20"/>
        <v>400.94999999999993</v>
      </c>
      <c r="H241" s="54">
        <f t="shared" si="21"/>
        <v>178.2</v>
      </c>
      <c r="I241" s="55">
        <f t="shared" si="22"/>
        <v>712.8</v>
      </c>
      <c r="J241" s="56">
        <f t="shared" si="23"/>
        <v>534.59999999999991</v>
      </c>
      <c r="K241" s="177"/>
    </row>
    <row r="242" spans="1:11" x14ac:dyDescent="0.25">
      <c r="A242" s="159"/>
      <c r="B242" s="30"/>
      <c r="C242" s="267"/>
      <c r="D242" s="108"/>
      <c r="E242" s="48"/>
      <c r="F242" s="41"/>
      <c r="G242" s="53"/>
      <c r="H242" s="54"/>
      <c r="I242" s="55"/>
      <c r="J242" s="56"/>
      <c r="K242" s="177"/>
    </row>
    <row r="243" spans="1:11" x14ac:dyDescent="0.25">
      <c r="A243" s="24" t="s">
        <v>294</v>
      </c>
      <c r="B243" s="30" t="s">
        <v>2141</v>
      </c>
      <c r="C243" s="266">
        <v>4</v>
      </c>
      <c r="D243" s="108">
        <v>356.4</v>
      </c>
      <c r="E243" s="48">
        <f t="shared" si="18"/>
        <v>178.2</v>
      </c>
      <c r="F243" s="41">
        <f t="shared" si="19"/>
        <v>534.59999999999991</v>
      </c>
      <c r="G243" s="53">
        <f t="shared" si="20"/>
        <v>400.94999999999993</v>
      </c>
      <c r="H243" s="54">
        <f t="shared" si="21"/>
        <v>178.2</v>
      </c>
      <c r="I243" s="55">
        <f t="shared" si="22"/>
        <v>712.8</v>
      </c>
      <c r="J243" s="56">
        <f t="shared" si="23"/>
        <v>534.59999999999991</v>
      </c>
      <c r="K243" s="177"/>
    </row>
    <row r="244" spans="1:11" x14ac:dyDescent="0.25">
      <c r="A244" s="24" t="s">
        <v>295</v>
      </c>
      <c r="B244" s="30" t="s">
        <v>1267</v>
      </c>
      <c r="C244" s="266">
        <v>4</v>
      </c>
      <c r="D244" s="108">
        <v>356.4</v>
      </c>
      <c r="E244" s="48">
        <f t="shared" si="18"/>
        <v>178.2</v>
      </c>
      <c r="F244" s="41">
        <f t="shared" si="19"/>
        <v>534.59999999999991</v>
      </c>
      <c r="G244" s="53">
        <f t="shared" si="20"/>
        <v>400.94999999999993</v>
      </c>
      <c r="H244" s="54">
        <f t="shared" si="21"/>
        <v>178.2</v>
      </c>
      <c r="I244" s="55">
        <f t="shared" si="22"/>
        <v>712.8</v>
      </c>
      <c r="J244" s="56">
        <f t="shared" si="23"/>
        <v>534.59999999999991</v>
      </c>
      <c r="K244" s="177"/>
    </row>
    <row r="245" spans="1:11" x14ac:dyDescent="0.25">
      <c r="A245" s="24" t="s">
        <v>296</v>
      </c>
      <c r="B245" s="30" t="s">
        <v>1268</v>
      </c>
      <c r="C245" s="266">
        <v>4</v>
      </c>
      <c r="D245" s="108">
        <v>356.4</v>
      </c>
      <c r="E245" s="48">
        <f t="shared" si="18"/>
        <v>178.2</v>
      </c>
      <c r="F245" s="41">
        <f t="shared" si="19"/>
        <v>534.59999999999991</v>
      </c>
      <c r="G245" s="53">
        <f t="shared" si="20"/>
        <v>400.94999999999993</v>
      </c>
      <c r="H245" s="54">
        <f t="shared" si="21"/>
        <v>178.2</v>
      </c>
      <c r="I245" s="55">
        <f t="shared" si="22"/>
        <v>712.8</v>
      </c>
      <c r="J245" s="56">
        <f t="shared" si="23"/>
        <v>534.59999999999991</v>
      </c>
      <c r="K245" s="177"/>
    </row>
    <row r="246" spans="1:11" x14ac:dyDescent="0.25">
      <c r="A246" s="24" t="s">
        <v>297</v>
      </c>
      <c r="B246" s="30" t="s">
        <v>1906</v>
      </c>
      <c r="C246" s="266">
        <v>4</v>
      </c>
      <c r="D246" s="108">
        <v>356.4</v>
      </c>
      <c r="E246" s="48">
        <f t="shared" si="18"/>
        <v>178.2</v>
      </c>
      <c r="F246" s="41">
        <f t="shared" si="19"/>
        <v>534.59999999999991</v>
      </c>
      <c r="G246" s="53">
        <f t="shared" si="20"/>
        <v>400.94999999999993</v>
      </c>
      <c r="H246" s="54">
        <f t="shared" si="21"/>
        <v>178.2</v>
      </c>
      <c r="I246" s="55">
        <f t="shared" si="22"/>
        <v>712.8</v>
      </c>
      <c r="J246" s="56">
        <f t="shared" si="23"/>
        <v>534.59999999999991</v>
      </c>
      <c r="K246" s="177"/>
    </row>
    <row r="247" spans="1:11" x14ac:dyDescent="0.25">
      <c r="A247" s="24" t="s">
        <v>298</v>
      </c>
      <c r="B247" s="30" t="s">
        <v>1807</v>
      </c>
      <c r="C247" s="266">
        <v>4</v>
      </c>
      <c r="D247" s="108">
        <v>356.4</v>
      </c>
      <c r="E247" s="48">
        <f t="shared" si="18"/>
        <v>178.2</v>
      </c>
      <c r="F247" s="41">
        <f t="shared" si="19"/>
        <v>534.59999999999991</v>
      </c>
      <c r="G247" s="53">
        <f t="shared" si="20"/>
        <v>400.94999999999993</v>
      </c>
      <c r="H247" s="54">
        <f t="shared" si="21"/>
        <v>178.2</v>
      </c>
      <c r="I247" s="55">
        <f t="shared" si="22"/>
        <v>712.8</v>
      </c>
      <c r="J247" s="56">
        <f t="shared" si="23"/>
        <v>534.59999999999991</v>
      </c>
      <c r="K247" s="177"/>
    </row>
    <row r="248" spans="1:11" x14ac:dyDescent="0.25">
      <c r="A248" s="24" t="s">
        <v>300</v>
      </c>
      <c r="B248" s="30" t="s">
        <v>1807</v>
      </c>
      <c r="C248" s="266">
        <v>4</v>
      </c>
      <c r="D248" s="108">
        <v>356.4</v>
      </c>
      <c r="E248" s="48">
        <f t="shared" si="18"/>
        <v>178.2</v>
      </c>
      <c r="F248" s="41">
        <f t="shared" si="19"/>
        <v>534.59999999999991</v>
      </c>
      <c r="G248" s="53">
        <f t="shared" si="20"/>
        <v>400.94999999999993</v>
      </c>
      <c r="H248" s="54">
        <f t="shared" si="21"/>
        <v>178.2</v>
      </c>
      <c r="I248" s="55">
        <f t="shared" si="22"/>
        <v>712.8</v>
      </c>
      <c r="J248" s="56">
        <f t="shared" si="23"/>
        <v>534.59999999999991</v>
      </c>
      <c r="K248" s="177"/>
    </row>
    <row r="249" spans="1:11" x14ac:dyDescent="0.25">
      <c r="A249" s="24" t="s">
        <v>301</v>
      </c>
      <c r="B249" s="30" t="s">
        <v>2198</v>
      </c>
      <c r="C249" s="266">
        <v>4</v>
      </c>
      <c r="D249" s="108">
        <v>356.4</v>
      </c>
      <c r="E249" s="48">
        <f t="shared" si="18"/>
        <v>178.2</v>
      </c>
      <c r="F249" s="41">
        <f t="shared" si="19"/>
        <v>534.59999999999991</v>
      </c>
      <c r="G249" s="53">
        <f t="shared" si="20"/>
        <v>400.94999999999993</v>
      </c>
      <c r="H249" s="54">
        <f t="shared" si="21"/>
        <v>178.2</v>
      </c>
      <c r="I249" s="55">
        <f t="shared" si="22"/>
        <v>712.8</v>
      </c>
      <c r="J249" s="56">
        <f t="shared" si="23"/>
        <v>534.59999999999991</v>
      </c>
      <c r="K249" s="177"/>
    </row>
    <row r="250" spans="1:11" x14ac:dyDescent="0.25">
      <c r="A250" s="24" t="s">
        <v>302</v>
      </c>
      <c r="B250" s="30" t="s">
        <v>1269</v>
      </c>
      <c r="C250" s="266">
        <v>4</v>
      </c>
      <c r="D250" s="108">
        <v>356.4</v>
      </c>
      <c r="E250" s="48">
        <f t="shared" si="18"/>
        <v>178.2</v>
      </c>
      <c r="F250" s="41">
        <f t="shared" si="19"/>
        <v>534.59999999999991</v>
      </c>
      <c r="G250" s="53">
        <f t="shared" si="20"/>
        <v>400.94999999999993</v>
      </c>
      <c r="H250" s="54">
        <f t="shared" si="21"/>
        <v>178.2</v>
      </c>
      <c r="I250" s="55">
        <f t="shared" si="22"/>
        <v>712.8</v>
      </c>
      <c r="J250" s="56">
        <f t="shared" si="23"/>
        <v>534.59999999999991</v>
      </c>
      <c r="K250" s="177"/>
    </row>
    <row r="251" spans="1:11" x14ac:dyDescent="0.25">
      <c r="A251" s="24" t="s">
        <v>303</v>
      </c>
      <c r="B251" s="30" t="s">
        <v>1270</v>
      </c>
      <c r="C251" s="266">
        <v>4</v>
      </c>
      <c r="D251" s="108">
        <v>356.4</v>
      </c>
      <c r="E251" s="48">
        <f t="shared" si="18"/>
        <v>178.2</v>
      </c>
      <c r="F251" s="41">
        <f t="shared" si="19"/>
        <v>534.59999999999991</v>
      </c>
      <c r="G251" s="53">
        <f t="shared" si="20"/>
        <v>400.94999999999993</v>
      </c>
      <c r="H251" s="54">
        <f t="shared" si="21"/>
        <v>178.2</v>
      </c>
      <c r="I251" s="55">
        <f t="shared" si="22"/>
        <v>712.8</v>
      </c>
      <c r="J251" s="56">
        <f t="shared" si="23"/>
        <v>534.59999999999991</v>
      </c>
      <c r="K251" s="177"/>
    </row>
    <row r="252" spans="1:11" x14ac:dyDescent="0.25">
      <c r="A252" s="24" t="s">
        <v>304</v>
      </c>
      <c r="B252" s="30" t="s">
        <v>1270</v>
      </c>
      <c r="C252" s="266">
        <v>4</v>
      </c>
      <c r="D252" s="108">
        <v>356.4</v>
      </c>
      <c r="E252" s="48">
        <f t="shared" si="18"/>
        <v>178.2</v>
      </c>
      <c r="F252" s="41">
        <f t="shared" si="19"/>
        <v>534.59999999999991</v>
      </c>
      <c r="G252" s="53">
        <f t="shared" si="20"/>
        <v>400.94999999999993</v>
      </c>
      <c r="H252" s="54">
        <f t="shared" si="21"/>
        <v>178.2</v>
      </c>
      <c r="I252" s="55">
        <f t="shared" si="22"/>
        <v>712.8</v>
      </c>
      <c r="J252" s="56">
        <f t="shared" si="23"/>
        <v>534.59999999999991</v>
      </c>
      <c r="K252" s="177"/>
    </row>
    <row r="253" spans="1:11" x14ac:dyDescent="0.25">
      <c r="A253" s="24" t="s">
        <v>305</v>
      </c>
      <c r="B253" s="30" t="s">
        <v>1271</v>
      </c>
      <c r="C253" s="266">
        <v>4</v>
      </c>
      <c r="D253" s="108">
        <v>356.4</v>
      </c>
      <c r="E253" s="48">
        <f t="shared" si="18"/>
        <v>178.2</v>
      </c>
      <c r="F253" s="41">
        <f t="shared" si="19"/>
        <v>534.59999999999991</v>
      </c>
      <c r="G253" s="53">
        <f t="shared" si="20"/>
        <v>400.94999999999993</v>
      </c>
      <c r="H253" s="54">
        <f t="shared" si="21"/>
        <v>178.2</v>
      </c>
      <c r="I253" s="55">
        <f t="shared" si="22"/>
        <v>712.8</v>
      </c>
      <c r="J253" s="56">
        <f t="shared" si="23"/>
        <v>534.59999999999991</v>
      </c>
      <c r="K253" s="177"/>
    </row>
    <row r="254" spans="1:11" x14ac:dyDescent="0.25">
      <c r="A254" s="24" t="s">
        <v>1118</v>
      </c>
      <c r="B254" s="30" t="s">
        <v>1271</v>
      </c>
      <c r="C254" s="266">
        <v>4</v>
      </c>
      <c r="D254" s="108">
        <v>356.4</v>
      </c>
      <c r="E254" s="48">
        <f t="shared" si="18"/>
        <v>178.2</v>
      </c>
      <c r="F254" s="41">
        <f t="shared" si="19"/>
        <v>534.59999999999991</v>
      </c>
      <c r="G254" s="53">
        <f t="shared" si="20"/>
        <v>400.94999999999993</v>
      </c>
      <c r="H254" s="54">
        <f t="shared" si="21"/>
        <v>178.2</v>
      </c>
      <c r="I254" s="55">
        <f t="shared" si="22"/>
        <v>712.8</v>
      </c>
      <c r="J254" s="56">
        <f t="shared" si="23"/>
        <v>534.59999999999991</v>
      </c>
      <c r="K254" s="177"/>
    </row>
    <row r="255" spans="1:11" x14ac:dyDescent="0.25">
      <c r="A255" s="24" t="s">
        <v>1119</v>
      </c>
      <c r="B255" s="30" t="s">
        <v>1490</v>
      </c>
      <c r="C255" s="266">
        <v>4</v>
      </c>
      <c r="D255" s="108">
        <v>356.4</v>
      </c>
      <c r="E255" s="48">
        <f t="shared" si="18"/>
        <v>178.2</v>
      </c>
      <c r="F255" s="41">
        <f t="shared" si="19"/>
        <v>534.59999999999991</v>
      </c>
      <c r="G255" s="53">
        <f t="shared" si="20"/>
        <v>400.94999999999993</v>
      </c>
      <c r="H255" s="54">
        <f t="shared" si="21"/>
        <v>178.2</v>
      </c>
      <c r="I255" s="55">
        <f t="shared" si="22"/>
        <v>712.8</v>
      </c>
      <c r="J255" s="56">
        <f t="shared" si="23"/>
        <v>534.59999999999991</v>
      </c>
      <c r="K255" s="177"/>
    </row>
    <row r="256" spans="1:11" x14ac:dyDescent="0.25">
      <c r="A256" s="24" t="s">
        <v>1120</v>
      </c>
      <c r="B256" s="30" t="s">
        <v>2142</v>
      </c>
      <c r="C256" s="266">
        <v>4</v>
      </c>
      <c r="D256" s="108">
        <v>356.4</v>
      </c>
      <c r="E256" s="48">
        <f t="shared" si="18"/>
        <v>178.2</v>
      </c>
      <c r="F256" s="41">
        <f t="shared" si="19"/>
        <v>534.59999999999991</v>
      </c>
      <c r="G256" s="53">
        <f t="shared" si="20"/>
        <v>400.94999999999993</v>
      </c>
      <c r="H256" s="54">
        <f t="shared" si="21"/>
        <v>178.2</v>
      </c>
      <c r="I256" s="55">
        <f t="shared" si="22"/>
        <v>712.8</v>
      </c>
      <c r="J256" s="56">
        <f t="shared" si="23"/>
        <v>534.59999999999991</v>
      </c>
      <c r="K256" s="177"/>
    </row>
    <row r="257" spans="1:11" x14ac:dyDescent="0.25">
      <c r="A257" s="37"/>
      <c r="B257" s="30"/>
      <c r="C257" s="267"/>
      <c r="D257" s="30"/>
      <c r="E257" s="48"/>
      <c r="F257" s="41"/>
      <c r="G257" s="53"/>
      <c r="H257" s="54"/>
      <c r="I257" s="55"/>
      <c r="J257" s="56"/>
      <c r="K257" s="177"/>
    </row>
    <row r="258" spans="1:11" x14ac:dyDescent="0.25">
      <c r="A258" s="24" t="s">
        <v>306</v>
      </c>
      <c r="B258" s="30" t="s">
        <v>1272</v>
      </c>
      <c r="C258" s="266">
        <v>4</v>
      </c>
      <c r="D258" s="108">
        <v>356.4</v>
      </c>
      <c r="E258" s="48">
        <f t="shared" si="18"/>
        <v>178.2</v>
      </c>
      <c r="F258" s="41">
        <f t="shared" si="19"/>
        <v>534.59999999999991</v>
      </c>
      <c r="G258" s="53">
        <f t="shared" si="20"/>
        <v>400.94999999999993</v>
      </c>
      <c r="H258" s="54">
        <f t="shared" si="21"/>
        <v>178.2</v>
      </c>
      <c r="I258" s="55">
        <f t="shared" si="22"/>
        <v>712.8</v>
      </c>
      <c r="J258" s="56">
        <f t="shared" si="23"/>
        <v>534.59999999999991</v>
      </c>
      <c r="K258" s="177"/>
    </row>
    <row r="259" spans="1:11" x14ac:dyDescent="0.25">
      <c r="A259" s="24" t="s">
        <v>307</v>
      </c>
      <c r="B259" s="30" t="s">
        <v>1787</v>
      </c>
      <c r="C259" s="266">
        <v>4</v>
      </c>
      <c r="D259" s="108">
        <v>356.4</v>
      </c>
      <c r="E259" s="48">
        <f t="shared" ref="E259:E322" si="24">D259*50%</f>
        <v>178.2</v>
      </c>
      <c r="F259" s="41">
        <f t="shared" ref="F259:F322" si="25">D259+E259</f>
        <v>534.59999999999991</v>
      </c>
      <c r="G259" s="53">
        <f t="shared" ref="G259:G322" si="26">F259-(F259*25%)</f>
        <v>400.94999999999993</v>
      </c>
      <c r="H259" s="54">
        <f t="shared" ref="H259:H322" si="27">D259*50%</f>
        <v>178.2</v>
      </c>
      <c r="I259" s="55">
        <f t="shared" ref="I259:I322" si="28">D259+(H259*2)</f>
        <v>712.8</v>
      </c>
      <c r="J259" s="56">
        <f t="shared" ref="J259:J322" si="29">I259-(I259*25%)</f>
        <v>534.59999999999991</v>
      </c>
      <c r="K259" s="177"/>
    </row>
    <row r="260" spans="1:11" x14ac:dyDescent="0.25">
      <c r="A260" s="24" t="s">
        <v>308</v>
      </c>
      <c r="B260" s="30" t="s">
        <v>1542</v>
      </c>
      <c r="C260" s="266">
        <v>4</v>
      </c>
      <c r="D260" s="108">
        <v>356.4</v>
      </c>
      <c r="E260" s="48">
        <f t="shared" si="24"/>
        <v>178.2</v>
      </c>
      <c r="F260" s="41">
        <f t="shared" si="25"/>
        <v>534.59999999999991</v>
      </c>
      <c r="G260" s="53">
        <f t="shared" si="26"/>
        <v>400.94999999999993</v>
      </c>
      <c r="H260" s="54">
        <f t="shared" si="27"/>
        <v>178.2</v>
      </c>
      <c r="I260" s="55">
        <f t="shared" si="28"/>
        <v>712.8</v>
      </c>
      <c r="J260" s="56">
        <f t="shared" si="29"/>
        <v>534.59999999999991</v>
      </c>
      <c r="K260" s="177"/>
    </row>
    <row r="261" spans="1:11" x14ac:dyDescent="0.25">
      <c r="A261" s="24" t="s">
        <v>309</v>
      </c>
      <c r="B261" s="30" t="s">
        <v>1559</v>
      </c>
      <c r="C261" s="266">
        <v>4</v>
      </c>
      <c r="D261" s="108">
        <v>356.4</v>
      </c>
      <c r="E261" s="48">
        <f t="shared" si="24"/>
        <v>178.2</v>
      </c>
      <c r="F261" s="41">
        <f t="shared" si="25"/>
        <v>534.59999999999991</v>
      </c>
      <c r="G261" s="53">
        <f t="shared" si="26"/>
        <v>400.94999999999993</v>
      </c>
      <c r="H261" s="54">
        <f t="shared" si="27"/>
        <v>178.2</v>
      </c>
      <c r="I261" s="55">
        <f t="shared" si="28"/>
        <v>712.8</v>
      </c>
      <c r="J261" s="56">
        <f t="shared" si="29"/>
        <v>534.59999999999991</v>
      </c>
      <c r="K261" s="177"/>
    </row>
    <row r="262" spans="1:11" x14ac:dyDescent="0.25">
      <c r="A262" s="24" t="s">
        <v>310</v>
      </c>
      <c r="B262" s="30" t="s">
        <v>2236</v>
      </c>
      <c r="C262" s="266">
        <v>4</v>
      </c>
      <c r="D262" s="108">
        <v>356.4</v>
      </c>
      <c r="E262" s="48">
        <f t="shared" si="24"/>
        <v>178.2</v>
      </c>
      <c r="F262" s="41">
        <f t="shared" si="25"/>
        <v>534.59999999999991</v>
      </c>
      <c r="G262" s="53">
        <f t="shared" si="26"/>
        <v>400.94999999999993</v>
      </c>
      <c r="H262" s="54">
        <f t="shared" si="27"/>
        <v>178.2</v>
      </c>
      <c r="I262" s="55">
        <f t="shared" si="28"/>
        <v>712.8</v>
      </c>
      <c r="J262" s="56">
        <f t="shared" si="29"/>
        <v>534.59999999999991</v>
      </c>
      <c r="K262" s="177"/>
    </row>
    <row r="263" spans="1:11" x14ac:dyDescent="0.25">
      <c r="A263" s="24" t="s">
        <v>311</v>
      </c>
      <c r="B263" s="30" t="s">
        <v>1907</v>
      </c>
      <c r="C263" s="266">
        <v>4</v>
      </c>
      <c r="D263" s="108">
        <v>356.4</v>
      </c>
      <c r="E263" s="48">
        <f t="shared" si="24"/>
        <v>178.2</v>
      </c>
      <c r="F263" s="41">
        <f t="shared" si="25"/>
        <v>534.59999999999991</v>
      </c>
      <c r="G263" s="53">
        <f t="shared" si="26"/>
        <v>400.94999999999993</v>
      </c>
      <c r="H263" s="54">
        <f t="shared" si="27"/>
        <v>178.2</v>
      </c>
      <c r="I263" s="55">
        <f t="shared" si="28"/>
        <v>712.8</v>
      </c>
      <c r="J263" s="56">
        <f t="shared" si="29"/>
        <v>534.59999999999991</v>
      </c>
      <c r="K263" s="177"/>
    </row>
    <row r="264" spans="1:11" x14ac:dyDescent="0.25">
      <c r="A264" s="24" t="s">
        <v>312</v>
      </c>
      <c r="B264" s="30" t="s">
        <v>1273</v>
      </c>
      <c r="C264" s="266">
        <v>4</v>
      </c>
      <c r="D264" s="108">
        <v>356.4</v>
      </c>
      <c r="E264" s="48">
        <f t="shared" si="24"/>
        <v>178.2</v>
      </c>
      <c r="F264" s="41">
        <f t="shared" si="25"/>
        <v>534.59999999999991</v>
      </c>
      <c r="G264" s="53">
        <f t="shared" si="26"/>
        <v>400.94999999999993</v>
      </c>
      <c r="H264" s="54">
        <f t="shared" si="27"/>
        <v>178.2</v>
      </c>
      <c r="I264" s="55">
        <f t="shared" si="28"/>
        <v>712.8</v>
      </c>
      <c r="J264" s="56">
        <f t="shared" si="29"/>
        <v>534.59999999999991</v>
      </c>
      <c r="K264" s="177"/>
    </row>
    <row r="265" spans="1:11" x14ac:dyDescent="0.25">
      <c r="A265" s="24" t="s">
        <v>313</v>
      </c>
      <c r="B265" s="30" t="s">
        <v>1273</v>
      </c>
      <c r="C265" s="266">
        <v>4</v>
      </c>
      <c r="D265" s="108">
        <v>356.4</v>
      </c>
      <c r="E265" s="48">
        <f t="shared" si="24"/>
        <v>178.2</v>
      </c>
      <c r="F265" s="41">
        <f t="shared" si="25"/>
        <v>534.59999999999991</v>
      </c>
      <c r="G265" s="53">
        <f t="shared" si="26"/>
        <v>400.94999999999993</v>
      </c>
      <c r="H265" s="54">
        <f t="shared" si="27"/>
        <v>178.2</v>
      </c>
      <c r="I265" s="55">
        <f t="shared" si="28"/>
        <v>712.8</v>
      </c>
      <c r="J265" s="56">
        <f t="shared" si="29"/>
        <v>534.59999999999991</v>
      </c>
      <c r="K265" s="177"/>
    </row>
    <row r="266" spans="1:11" x14ac:dyDescent="0.25">
      <c r="A266" s="24" t="s">
        <v>314</v>
      </c>
      <c r="B266" s="30" t="s">
        <v>1273</v>
      </c>
      <c r="C266" s="266">
        <v>4</v>
      </c>
      <c r="D266" s="108">
        <v>356.4</v>
      </c>
      <c r="E266" s="48">
        <f t="shared" si="24"/>
        <v>178.2</v>
      </c>
      <c r="F266" s="41">
        <f t="shared" si="25"/>
        <v>534.59999999999991</v>
      </c>
      <c r="G266" s="53">
        <f t="shared" si="26"/>
        <v>400.94999999999993</v>
      </c>
      <c r="H266" s="54">
        <f t="shared" si="27"/>
        <v>178.2</v>
      </c>
      <c r="I266" s="55">
        <f t="shared" si="28"/>
        <v>712.8</v>
      </c>
      <c r="J266" s="56">
        <f t="shared" si="29"/>
        <v>534.59999999999991</v>
      </c>
      <c r="K266" s="177"/>
    </row>
    <row r="267" spans="1:11" x14ac:dyDescent="0.25">
      <c r="A267" s="24" t="s">
        <v>315</v>
      </c>
      <c r="B267" s="30" t="s">
        <v>1273</v>
      </c>
      <c r="C267" s="266">
        <v>4</v>
      </c>
      <c r="D267" s="108">
        <v>356.4</v>
      </c>
      <c r="E267" s="48">
        <f t="shared" si="24"/>
        <v>178.2</v>
      </c>
      <c r="F267" s="41">
        <f t="shared" si="25"/>
        <v>534.59999999999991</v>
      </c>
      <c r="G267" s="53">
        <f t="shared" si="26"/>
        <v>400.94999999999993</v>
      </c>
      <c r="H267" s="54">
        <f t="shared" si="27"/>
        <v>178.2</v>
      </c>
      <c r="I267" s="55">
        <f t="shared" si="28"/>
        <v>712.8</v>
      </c>
      <c r="J267" s="56">
        <f t="shared" si="29"/>
        <v>534.59999999999991</v>
      </c>
      <c r="K267" s="177"/>
    </row>
    <row r="268" spans="1:11" x14ac:dyDescent="0.25">
      <c r="A268" s="24" t="s">
        <v>1121</v>
      </c>
      <c r="B268" s="30" t="s">
        <v>1275</v>
      </c>
      <c r="C268" s="266">
        <v>4</v>
      </c>
      <c r="D268" s="108">
        <v>356.4</v>
      </c>
      <c r="E268" s="48">
        <f t="shared" si="24"/>
        <v>178.2</v>
      </c>
      <c r="F268" s="41">
        <f t="shared" si="25"/>
        <v>534.59999999999991</v>
      </c>
      <c r="G268" s="53">
        <f t="shared" si="26"/>
        <v>400.94999999999993</v>
      </c>
      <c r="H268" s="54">
        <f t="shared" si="27"/>
        <v>178.2</v>
      </c>
      <c r="I268" s="55">
        <f t="shared" si="28"/>
        <v>712.8</v>
      </c>
      <c r="J268" s="56">
        <f t="shared" si="29"/>
        <v>534.59999999999991</v>
      </c>
      <c r="K268" s="177"/>
    </row>
    <row r="269" spans="1:11" x14ac:dyDescent="0.25">
      <c r="A269" s="24" t="s">
        <v>1122</v>
      </c>
      <c r="B269" s="30" t="s">
        <v>1754</v>
      </c>
      <c r="C269" s="266">
        <v>4</v>
      </c>
      <c r="D269" s="108">
        <v>356.4</v>
      </c>
      <c r="E269" s="48">
        <f t="shared" si="24"/>
        <v>178.2</v>
      </c>
      <c r="F269" s="41">
        <f t="shared" si="25"/>
        <v>534.59999999999991</v>
      </c>
      <c r="G269" s="53">
        <f t="shared" si="26"/>
        <v>400.94999999999993</v>
      </c>
      <c r="H269" s="54">
        <f t="shared" si="27"/>
        <v>178.2</v>
      </c>
      <c r="I269" s="55">
        <f t="shared" si="28"/>
        <v>712.8</v>
      </c>
      <c r="J269" s="56">
        <f t="shared" si="29"/>
        <v>534.59999999999991</v>
      </c>
      <c r="K269" s="177"/>
    </row>
    <row r="270" spans="1:11" x14ac:dyDescent="0.25">
      <c r="A270" s="24" t="s">
        <v>1123</v>
      </c>
      <c r="B270" s="30" t="s">
        <v>1607</v>
      </c>
      <c r="C270" s="266">
        <v>4</v>
      </c>
      <c r="D270" s="108">
        <v>356.4</v>
      </c>
      <c r="E270" s="48">
        <f t="shared" si="24"/>
        <v>178.2</v>
      </c>
      <c r="F270" s="41">
        <f t="shared" si="25"/>
        <v>534.59999999999991</v>
      </c>
      <c r="G270" s="53">
        <f t="shared" si="26"/>
        <v>400.94999999999993</v>
      </c>
      <c r="H270" s="54">
        <f t="shared" si="27"/>
        <v>178.2</v>
      </c>
      <c r="I270" s="55">
        <f t="shared" si="28"/>
        <v>712.8</v>
      </c>
      <c r="J270" s="56">
        <f t="shared" si="29"/>
        <v>534.59999999999991</v>
      </c>
      <c r="K270" s="177"/>
    </row>
    <row r="271" spans="1:11" x14ac:dyDescent="0.25">
      <c r="A271" s="24" t="s">
        <v>1124</v>
      </c>
      <c r="B271" s="30" t="s">
        <v>1607</v>
      </c>
      <c r="C271" s="266">
        <v>4</v>
      </c>
      <c r="D271" s="108">
        <v>356.4</v>
      </c>
      <c r="E271" s="48">
        <f t="shared" si="24"/>
        <v>178.2</v>
      </c>
      <c r="F271" s="41">
        <f t="shared" si="25"/>
        <v>534.59999999999991</v>
      </c>
      <c r="G271" s="53">
        <f t="shared" si="26"/>
        <v>400.94999999999993</v>
      </c>
      <c r="H271" s="54">
        <f t="shared" si="27"/>
        <v>178.2</v>
      </c>
      <c r="I271" s="55">
        <f t="shared" si="28"/>
        <v>712.8</v>
      </c>
      <c r="J271" s="56">
        <f t="shared" si="29"/>
        <v>534.59999999999991</v>
      </c>
      <c r="K271" s="177"/>
    </row>
    <row r="272" spans="1:11" x14ac:dyDescent="0.25">
      <c r="A272" s="24" t="s">
        <v>1125</v>
      </c>
      <c r="B272" s="30" t="s">
        <v>1697</v>
      </c>
      <c r="C272" s="266">
        <v>4</v>
      </c>
      <c r="D272" s="108">
        <v>356.4</v>
      </c>
      <c r="E272" s="48">
        <f t="shared" si="24"/>
        <v>178.2</v>
      </c>
      <c r="F272" s="41">
        <f t="shared" si="25"/>
        <v>534.59999999999991</v>
      </c>
      <c r="G272" s="53">
        <f t="shared" si="26"/>
        <v>400.94999999999993</v>
      </c>
      <c r="H272" s="54">
        <f t="shared" si="27"/>
        <v>178.2</v>
      </c>
      <c r="I272" s="55">
        <f t="shared" si="28"/>
        <v>712.8</v>
      </c>
      <c r="J272" s="56">
        <f t="shared" si="29"/>
        <v>534.59999999999991</v>
      </c>
      <c r="K272" s="177"/>
    </row>
    <row r="273" spans="1:11" x14ac:dyDescent="0.25">
      <c r="A273" s="24" t="s">
        <v>1126</v>
      </c>
      <c r="B273" s="30" t="s">
        <v>1272</v>
      </c>
      <c r="C273" s="266">
        <v>4</v>
      </c>
      <c r="D273" s="108">
        <v>356.4</v>
      </c>
      <c r="E273" s="48">
        <f t="shared" si="24"/>
        <v>178.2</v>
      </c>
      <c r="F273" s="41">
        <f t="shared" si="25"/>
        <v>534.59999999999991</v>
      </c>
      <c r="G273" s="53">
        <f t="shared" si="26"/>
        <v>400.94999999999993</v>
      </c>
      <c r="H273" s="54">
        <f t="shared" si="27"/>
        <v>178.2</v>
      </c>
      <c r="I273" s="55">
        <f t="shared" si="28"/>
        <v>712.8</v>
      </c>
      <c r="J273" s="56">
        <f t="shared" si="29"/>
        <v>534.59999999999991</v>
      </c>
      <c r="K273" s="177"/>
    </row>
    <row r="274" spans="1:11" x14ac:dyDescent="0.25">
      <c r="A274" s="159"/>
      <c r="B274" s="30"/>
      <c r="C274" s="267"/>
      <c r="D274" s="108"/>
      <c r="E274" s="48"/>
      <c r="F274" s="41"/>
      <c r="G274" s="53"/>
      <c r="H274" s="54"/>
      <c r="I274" s="55"/>
      <c r="J274" s="56"/>
      <c r="K274" s="177"/>
    </row>
    <row r="275" spans="1:11" x14ac:dyDescent="0.25">
      <c r="A275" s="24" t="s">
        <v>316</v>
      </c>
      <c r="B275" s="30" t="s">
        <v>1274</v>
      </c>
      <c r="C275" s="266">
        <v>4</v>
      </c>
      <c r="D275" s="108">
        <v>356.4</v>
      </c>
      <c r="E275" s="48">
        <f t="shared" si="24"/>
        <v>178.2</v>
      </c>
      <c r="F275" s="41">
        <f t="shared" si="25"/>
        <v>534.59999999999991</v>
      </c>
      <c r="G275" s="53">
        <f t="shared" si="26"/>
        <v>400.94999999999993</v>
      </c>
      <c r="H275" s="54">
        <f t="shared" si="27"/>
        <v>178.2</v>
      </c>
      <c r="I275" s="55">
        <f t="shared" si="28"/>
        <v>712.8</v>
      </c>
      <c r="J275" s="56">
        <f t="shared" si="29"/>
        <v>534.59999999999991</v>
      </c>
      <c r="K275" s="177"/>
    </row>
    <row r="276" spans="1:11" x14ac:dyDescent="0.25">
      <c r="A276" s="24" t="s">
        <v>317</v>
      </c>
      <c r="B276" s="30" t="s">
        <v>1494</v>
      </c>
      <c r="C276" s="266">
        <v>4</v>
      </c>
      <c r="D276" s="108">
        <v>356.4</v>
      </c>
      <c r="E276" s="48">
        <f t="shared" si="24"/>
        <v>178.2</v>
      </c>
      <c r="F276" s="41">
        <f t="shared" si="25"/>
        <v>534.59999999999991</v>
      </c>
      <c r="G276" s="53">
        <f t="shared" si="26"/>
        <v>400.94999999999993</v>
      </c>
      <c r="H276" s="54">
        <f t="shared" si="27"/>
        <v>178.2</v>
      </c>
      <c r="I276" s="55">
        <f t="shared" si="28"/>
        <v>712.8</v>
      </c>
      <c r="J276" s="56">
        <f t="shared" si="29"/>
        <v>534.59999999999991</v>
      </c>
      <c r="K276" s="177"/>
    </row>
    <row r="277" spans="1:11" x14ac:dyDescent="0.25">
      <c r="A277" s="24" t="s">
        <v>318</v>
      </c>
      <c r="B277" s="30" t="s">
        <v>1473</v>
      </c>
      <c r="C277" s="266">
        <v>4</v>
      </c>
      <c r="D277" s="108">
        <v>356.4</v>
      </c>
      <c r="E277" s="48">
        <f t="shared" si="24"/>
        <v>178.2</v>
      </c>
      <c r="F277" s="41">
        <f t="shared" si="25"/>
        <v>534.59999999999991</v>
      </c>
      <c r="G277" s="53">
        <f t="shared" si="26"/>
        <v>400.94999999999993</v>
      </c>
      <c r="H277" s="54">
        <f t="shared" si="27"/>
        <v>178.2</v>
      </c>
      <c r="I277" s="55">
        <f t="shared" si="28"/>
        <v>712.8</v>
      </c>
      <c r="J277" s="56">
        <f t="shared" si="29"/>
        <v>534.59999999999991</v>
      </c>
      <c r="K277" s="177"/>
    </row>
    <row r="278" spans="1:11" x14ac:dyDescent="0.25">
      <c r="A278" s="24" t="s">
        <v>319</v>
      </c>
      <c r="B278" s="30" t="s">
        <v>1275</v>
      </c>
      <c r="C278" s="266">
        <v>4</v>
      </c>
      <c r="D278" s="108">
        <v>356.4</v>
      </c>
      <c r="E278" s="48">
        <f t="shared" si="24"/>
        <v>178.2</v>
      </c>
      <c r="F278" s="41">
        <f t="shared" si="25"/>
        <v>534.59999999999991</v>
      </c>
      <c r="G278" s="53">
        <f t="shared" si="26"/>
        <v>400.94999999999993</v>
      </c>
      <c r="H278" s="54">
        <f t="shared" si="27"/>
        <v>178.2</v>
      </c>
      <c r="I278" s="55">
        <f t="shared" si="28"/>
        <v>712.8</v>
      </c>
      <c r="J278" s="56">
        <f t="shared" si="29"/>
        <v>534.59999999999991</v>
      </c>
      <c r="K278" s="177"/>
    </row>
    <row r="279" spans="1:11" x14ac:dyDescent="0.25">
      <c r="A279" s="24" t="s">
        <v>320</v>
      </c>
      <c r="B279" s="30" t="s">
        <v>1589</v>
      </c>
      <c r="C279" s="266">
        <v>4</v>
      </c>
      <c r="D279" s="108">
        <v>356.4</v>
      </c>
      <c r="E279" s="48">
        <f t="shared" si="24"/>
        <v>178.2</v>
      </c>
      <c r="F279" s="41">
        <f t="shared" si="25"/>
        <v>534.59999999999991</v>
      </c>
      <c r="G279" s="53">
        <f t="shared" si="26"/>
        <v>400.94999999999993</v>
      </c>
      <c r="H279" s="54">
        <f t="shared" si="27"/>
        <v>178.2</v>
      </c>
      <c r="I279" s="55">
        <f t="shared" si="28"/>
        <v>712.8</v>
      </c>
      <c r="J279" s="56">
        <f t="shared" si="29"/>
        <v>534.59999999999991</v>
      </c>
      <c r="K279" s="177"/>
    </row>
    <row r="280" spans="1:11" x14ac:dyDescent="0.25">
      <c r="A280" s="24" t="s">
        <v>321</v>
      </c>
      <c r="B280" s="30" t="s">
        <v>1574</v>
      </c>
      <c r="C280" s="266">
        <v>4</v>
      </c>
      <c r="D280" s="108">
        <v>356.4</v>
      </c>
      <c r="E280" s="48">
        <f t="shared" si="24"/>
        <v>178.2</v>
      </c>
      <c r="F280" s="41">
        <f t="shared" si="25"/>
        <v>534.59999999999991</v>
      </c>
      <c r="G280" s="53">
        <f t="shared" si="26"/>
        <v>400.94999999999993</v>
      </c>
      <c r="H280" s="54">
        <f t="shared" si="27"/>
        <v>178.2</v>
      </c>
      <c r="I280" s="55">
        <f t="shared" si="28"/>
        <v>712.8</v>
      </c>
      <c r="J280" s="56">
        <f t="shared" si="29"/>
        <v>534.59999999999991</v>
      </c>
      <c r="K280" s="177"/>
    </row>
    <row r="281" spans="1:11" x14ac:dyDescent="0.25">
      <c r="A281" s="24" t="s">
        <v>322</v>
      </c>
      <c r="B281" s="30" t="s">
        <v>1500</v>
      </c>
      <c r="C281" s="266">
        <v>4</v>
      </c>
      <c r="D281" s="108">
        <v>356.4</v>
      </c>
      <c r="E281" s="48">
        <f t="shared" si="24"/>
        <v>178.2</v>
      </c>
      <c r="F281" s="41">
        <f t="shared" si="25"/>
        <v>534.59999999999991</v>
      </c>
      <c r="G281" s="53">
        <f t="shared" si="26"/>
        <v>400.94999999999993</v>
      </c>
      <c r="H281" s="54">
        <f t="shared" si="27"/>
        <v>178.2</v>
      </c>
      <c r="I281" s="55">
        <f t="shared" si="28"/>
        <v>712.8</v>
      </c>
      <c r="J281" s="56">
        <f t="shared" si="29"/>
        <v>534.59999999999991</v>
      </c>
      <c r="K281" s="177"/>
    </row>
    <row r="282" spans="1:11" x14ac:dyDescent="0.25">
      <c r="A282" s="24" t="s">
        <v>323</v>
      </c>
      <c r="B282" s="30" t="s">
        <v>1500</v>
      </c>
      <c r="C282" s="266">
        <v>4</v>
      </c>
      <c r="D282" s="108">
        <v>356.4</v>
      </c>
      <c r="E282" s="48">
        <f t="shared" si="24"/>
        <v>178.2</v>
      </c>
      <c r="F282" s="41">
        <f t="shared" si="25"/>
        <v>534.59999999999991</v>
      </c>
      <c r="G282" s="53">
        <f t="shared" si="26"/>
        <v>400.94999999999993</v>
      </c>
      <c r="H282" s="54">
        <f t="shared" si="27"/>
        <v>178.2</v>
      </c>
      <c r="I282" s="55">
        <f t="shared" si="28"/>
        <v>712.8</v>
      </c>
      <c r="J282" s="56">
        <f t="shared" si="29"/>
        <v>534.59999999999991</v>
      </c>
      <c r="K282" s="177"/>
    </row>
    <row r="283" spans="1:11" x14ac:dyDescent="0.25">
      <c r="A283" s="24" t="s">
        <v>324</v>
      </c>
      <c r="B283" s="30" t="s">
        <v>1276</v>
      </c>
      <c r="C283" s="266">
        <v>4</v>
      </c>
      <c r="D283" s="108">
        <v>356.4</v>
      </c>
      <c r="E283" s="48">
        <f t="shared" si="24"/>
        <v>178.2</v>
      </c>
      <c r="F283" s="41">
        <f t="shared" si="25"/>
        <v>534.59999999999991</v>
      </c>
      <c r="G283" s="53">
        <f t="shared" si="26"/>
        <v>400.94999999999993</v>
      </c>
      <c r="H283" s="54">
        <f t="shared" si="27"/>
        <v>178.2</v>
      </c>
      <c r="I283" s="55">
        <f t="shared" si="28"/>
        <v>712.8</v>
      </c>
      <c r="J283" s="56">
        <f t="shared" si="29"/>
        <v>534.59999999999991</v>
      </c>
      <c r="K283" s="177"/>
    </row>
    <row r="284" spans="1:11" x14ac:dyDescent="0.25">
      <c r="A284" s="24" t="s">
        <v>325</v>
      </c>
      <c r="B284" s="30" t="s">
        <v>1276</v>
      </c>
      <c r="C284" s="266">
        <v>4</v>
      </c>
      <c r="D284" s="108">
        <v>356.4</v>
      </c>
      <c r="E284" s="48">
        <f t="shared" si="24"/>
        <v>178.2</v>
      </c>
      <c r="F284" s="41">
        <f t="shared" si="25"/>
        <v>534.59999999999991</v>
      </c>
      <c r="G284" s="53">
        <f t="shared" si="26"/>
        <v>400.94999999999993</v>
      </c>
      <c r="H284" s="54">
        <f t="shared" si="27"/>
        <v>178.2</v>
      </c>
      <c r="I284" s="55">
        <f t="shared" si="28"/>
        <v>712.8</v>
      </c>
      <c r="J284" s="56">
        <f t="shared" si="29"/>
        <v>534.59999999999991</v>
      </c>
      <c r="K284" s="177"/>
    </row>
    <row r="285" spans="1:11" x14ac:dyDescent="0.25">
      <c r="A285" s="24" t="s">
        <v>326</v>
      </c>
      <c r="B285" s="30" t="s">
        <v>2273</v>
      </c>
      <c r="C285" s="266">
        <v>4</v>
      </c>
      <c r="D285" s="108">
        <v>356.4</v>
      </c>
      <c r="E285" s="48">
        <f t="shared" si="24"/>
        <v>178.2</v>
      </c>
      <c r="F285" s="41">
        <f t="shared" si="25"/>
        <v>534.59999999999991</v>
      </c>
      <c r="G285" s="53">
        <f t="shared" si="26"/>
        <v>400.94999999999993</v>
      </c>
      <c r="H285" s="54">
        <f t="shared" si="27"/>
        <v>178.2</v>
      </c>
      <c r="I285" s="55">
        <f t="shared" si="28"/>
        <v>712.8</v>
      </c>
      <c r="J285" s="56">
        <f t="shared" si="29"/>
        <v>534.59999999999991</v>
      </c>
      <c r="K285" s="177"/>
    </row>
    <row r="286" spans="1:11" x14ac:dyDescent="0.25">
      <c r="A286" s="24" t="s">
        <v>327</v>
      </c>
      <c r="B286" s="30" t="s">
        <v>2273</v>
      </c>
      <c r="C286" s="266">
        <v>4</v>
      </c>
      <c r="D286" s="108">
        <v>356.4</v>
      </c>
      <c r="E286" s="48">
        <f t="shared" si="24"/>
        <v>178.2</v>
      </c>
      <c r="F286" s="41">
        <f t="shared" si="25"/>
        <v>534.59999999999991</v>
      </c>
      <c r="G286" s="53">
        <f t="shared" si="26"/>
        <v>400.94999999999993</v>
      </c>
      <c r="H286" s="54">
        <f t="shared" si="27"/>
        <v>178.2</v>
      </c>
      <c r="I286" s="55">
        <f t="shared" si="28"/>
        <v>712.8</v>
      </c>
      <c r="J286" s="56">
        <f t="shared" si="29"/>
        <v>534.59999999999991</v>
      </c>
      <c r="K286" s="177"/>
    </row>
    <row r="287" spans="1:11" x14ac:dyDescent="0.25">
      <c r="A287" s="24" t="s">
        <v>328</v>
      </c>
      <c r="B287" s="30" t="s">
        <v>2025</v>
      </c>
      <c r="C287" s="266">
        <v>4</v>
      </c>
      <c r="D287" s="108">
        <v>356.4</v>
      </c>
      <c r="E287" s="48">
        <f t="shared" si="24"/>
        <v>178.2</v>
      </c>
      <c r="F287" s="41">
        <f t="shared" si="25"/>
        <v>534.59999999999991</v>
      </c>
      <c r="G287" s="53">
        <f t="shared" si="26"/>
        <v>400.94999999999993</v>
      </c>
      <c r="H287" s="54">
        <f t="shared" si="27"/>
        <v>178.2</v>
      </c>
      <c r="I287" s="55">
        <f t="shared" si="28"/>
        <v>712.8</v>
      </c>
      <c r="J287" s="56">
        <f t="shared" si="29"/>
        <v>534.59999999999991</v>
      </c>
      <c r="K287" s="177"/>
    </row>
    <row r="288" spans="1:11" x14ac:dyDescent="0.25">
      <c r="A288" s="24" t="s">
        <v>329</v>
      </c>
      <c r="B288" s="30" t="s">
        <v>2067</v>
      </c>
      <c r="C288" s="266">
        <v>4</v>
      </c>
      <c r="D288" s="108">
        <v>356.4</v>
      </c>
      <c r="E288" s="48">
        <f t="shared" si="24"/>
        <v>178.2</v>
      </c>
      <c r="F288" s="41">
        <f t="shared" si="25"/>
        <v>534.59999999999991</v>
      </c>
      <c r="G288" s="53">
        <f t="shared" si="26"/>
        <v>400.94999999999993</v>
      </c>
      <c r="H288" s="54">
        <f t="shared" si="27"/>
        <v>178.2</v>
      </c>
      <c r="I288" s="55">
        <f t="shared" si="28"/>
        <v>712.8</v>
      </c>
      <c r="J288" s="56">
        <f t="shared" si="29"/>
        <v>534.59999999999991</v>
      </c>
      <c r="K288" s="177"/>
    </row>
    <row r="289" spans="1:11" x14ac:dyDescent="0.25">
      <c r="A289" s="24" t="s">
        <v>1127</v>
      </c>
      <c r="B289" s="30" t="s">
        <v>1751</v>
      </c>
      <c r="C289" s="266">
        <v>4</v>
      </c>
      <c r="D289" s="108">
        <v>356.4</v>
      </c>
      <c r="E289" s="48">
        <f t="shared" si="24"/>
        <v>178.2</v>
      </c>
      <c r="F289" s="41">
        <f t="shared" si="25"/>
        <v>534.59999999999991</v>
      </c>
      <c r="G289" s="53">
        <f t="shared" si="26"/>
        <v>400.94999999999993</v>
      </c>
      <c r="H289" s="54">
        <f t="shared" si="27"/>
        <v>178.2</v>
      </c>
      <c r="I289" s="55">
        <f t="shared" si="28"/>
        <v>712.8</v>
      </c>
      <c r="J289" s="56">
        <f t="shared" si="29"/>
        <v>534.59999999999991</v>
      </c>
      <c r="K289" s="177"/>
    </row>
    <row r="290" spans="1:11" x14ac:dyDescent="0.25">
      <c r="A290" s="24" t="s">
        <v>1128</v>
      </c>
      <c r="B290" s="30" t="s">
        <v>1277</v>
      </c>
      <c r="C290" s="266">
        <v>4</v>
      </c>
      <c r="D290" s="108">
        <v>356.4</v>
      </c>
      <c r="E290" s="48">
        <f t="shared" si="24"/>
        <v>178.2</v>
      </c>
      <c r="F290" s="41">
        <f t="shared" si="25"/>
        <v>534.59999999999991</v>
      </c>
      <c r="G290" s="53">
        <f t="shared" si="26"/>
        <v>400.94999999999993</v>
      </c>
      <c r="H290" s="54">
        <f t="shared" si="27"/>
        <v>178.2</v>
      </c>
      <c r="I290" s="55">
        <f t="shared" si="28"/>
        <v>712.8</v>
      </c>
      <c r="J290" s="56">
        <f t="shared" si="29"/>
        <v>534.59999999999991</v>
      </c>
      <c r="K290" s="177"/>
    </row>
    <row r="291" spans="1:11" x14ac:dyDescent="0.25">
      <c r="A291" s="163"/>
      <c r="B291" s="164"/>
      <c r="C291" s="267"/>
      <c r="D291" s="108"/>
      <c r="E291" s="48"/>
      <c r="F291" s="41"/>
      <c r="G291" s="53"/>
      <c r="H291" s="54"/>
      <c r="I291" s="55"/>
      <c r="J291" s="56"/>
      <c r="K291" s="177"/>
    </row>
    <row r="292" spans="1:11" x14ac:dyDescent="0.25">
      <c r="A292" s="24" t="s">
        <v>330</v>
      </c>
      <c r="B292" s="30" t="s">
        <v>1256</v>
      </c>
      <c r="C292" s="266">
        <v>4</v>
      </c>
      <c r="D292" s="108">
        <v>356.4</v>
      </c>
      <c r="E292" s="48">
        <f t="shared" si="24"/>
        <v>178.2</v>
      </c>
      <c r="F292" s="41">
        <f t="shared" si="25"/>
        <v>534.59999999999991</v>
      </c>
      <c r="G292" s="53">
        <f t="shared" si="26"/>
        <v>400.94999999999993</v>
      </c>
      <c r="H292" s="54">
        <f t="shared" si="27"/>
        <v>178.2</v>
      </c>
      <c r="I292" s="55">
        <f t="shared" si="28"/>
        <v>712.8</v>
      </c>
      <c r="J292" s="56">
        <f t="shared" si="29"/>
        <v>534.59999999999991</v>
      </c>
      <c r="K292" s="177"/>
    </row>
    <row r="293" spans="1:11" x14ac:dyDescent="0.25">
      <c r="A293" s="24" t="s">
        <v>331</v>
      </c>
      <c r="B293" s="30" t="s">
        <v>1278</v>
      </c>
      <c r="C293" s="266">
        <v>4</v>
      </c>
      <c r="D293" s="108">
        <v>356.4</v>
      </c>
      <c r="E293" s="48">
        <f t="shared" si="24"/>
        <v>178.2</v>
      </c>
      <c r="F293" s="41">
        <f t="shared" si="25"/>
        <v>534.59999999999991</v>
      </c>
      <c r="G293" s="53">
        <f t="shared" si="26"/>
        <v>400.94999999999993</v>
      </c>
      <c r="H293" s="54">
        <f t="shared" si="27"/>
        <v>178.2</v>
      </c>
      <c r="I293" s="55">
        <f t="shared" si="28"/>
        <v>712.8</v>
      </c>
      <c r="J293" s="56">
        <f t="shared" si="29"/>
        <v>534.59999999999991</v>
      </c>
      <c r="K293" s="177"/>
    </row>
    <row r="294" spans="1:11" x14ac:dyDescent="0.25">
      <c r="A294" s="24" t="s">
        <v>332</v>
      </c>
      <c r="B294" s="30" t="s">
        <v>1256</v>
      </c>
      <c r="C294" s="266">
        <v>4</v>
      </c>
      <c r="D294" s="108">
        <v>356.4</v>
      </c>
      <c r="E294" s="48">
        <f t="shared" si="24"/>
        <v>178.2</v>
      </c>
      <c r="F294" s="41">
        <f t="shared" si="25"/>
        <v>534.59999999999991</v>
      </c>
      <c r="G294" s="53">
        <f t="shared" si="26"/>
        <v>400.94999999999993</v>
      </c>
      <c r="H294" s="54">
        <f t="shared" si="27"/>
        <v>178.2</v>
      </c>
      <c r="I294" s="55">
        <f t="shared" si="28"/>
        <v>712.8</v>
      </c>
      <c r="J294" s="56">
        <f t="shared" si="29"/>
        <v>534.59999999999991</v>
      </c>
      <c r="K294" s="177"/>
    </row>
    <row r="295" spans="1:11" x14ac:dyDescent="0.25">
      <c r="A295" s="24" t="s">
        <v>333</v>
      </c>
      <c r="B295" s="30" t="s">
        <v>1279</v>
      </c>
      <c r="C295" s="266">
        <v>4</v>
      </c>
      <c r="D295" s="108">
        <v>356.4</v>
      </c>
      <c r="E295" s="48">
        <f t="shared" si="24"/>
        <v>178.2</v>
      </c>
      <c r="F295" s="41">
        <f t="shared" si="25"/>
        <v>534.59999999999991</v>
      </c>
      <c r="G295" s="53">
        <f t="shared" si="26"/>
        <v>400.94999999999993</v>
      </c>
      <c r="H295" s="54">
        <f t="shared" si="27"/>
        <v>178.2</v>
      </c>
      <c r="I295" s="55">
        <f t="shared" si="28"/>
        <v>712.8</v>
      </c>
      <c r="J295" s="56">
        <f t="shared" si="29"/>
        <v>534.59999999999991</v>
      </c>
      <c r="K295" s="177"/>
    </row>
    <row r="296" spans="1:11" x14ac:dyDescent="0.25">
      <c r="A296" s="24" t="s">
        <v>334</v>
      </c>
      <c r="B296" s="30" t="s">
        <v>1279</v>
      </c>
      <c r="C296" s="266">
        <v>4</v>
      </c>
      <c r="D296" s="108">
        <v>356.4</v>
      </c>
      <c r="E296" s="48">
        <f t="shared" si="24"/>
        <v>178.2</v>
      </c>
      <c r="F296" s="41">
        <f t="shared" si="25"/>
        <v>534.59999999999991</v>
      </c>
      <c r="G296" s="53">
        <f t="shared" si="26"/>
        <v>400.94999999999993</v>
      </c>
      <c r="H296" s="54">
        <f t="shared" si="27"/>
        <v>178.2</v>
      </c>
      <c r="I296" s="55">
        <f t="shared" si="28"/>
        <v>712.8</v>
      </c>
      <c r="J296" s="56">
        <f t="shared" si="29"/>
        <v>534.59999999999991</v>
      </c>
      <c r="K296" s="177"/>
    </row>
    <row r="297" spans="1:11" x14ac:dyDescent="0.25">
      <c r="A297" s="24" t="s">
        <v>335</v>
      </c>
      <c r="B297" s="30" t="s">
        <v>1280</v>
      </c>
      <c r="C297" s="266">
        <v>4</v>
      </c>
      <c r="D297" s="108">
        <v>356.4</v>
      </c>
      <c r="E297" s="48">
        <f t="shared" si="24"/>
        <v>178.2</v>
      </c>
      <c r="F297" s="41">
        <f t="shared" si="25"/>
        <v>534.59999999999991</v>
      </c>
      <c r="G297" s="53">
        <f t="shared" si="26"/>
        <v>400.94999999999993</v>
      </c>
      <c r="H297" s="54">
        <f t="shared" si="27"/>
        <v>178.2</v>
      </c>
      <c r="I297" s="55">
        <f t="shared" si="28"/>
        <v>712.8</v>
      </c>
      <c r="J297" s="56">
        <f t="shared" si="29"/>
        <v>534.59999999999991</v>
      </c>
      <c r="K297" s="177"/>
    </row>
    <row r="298" spans="1:11" x14ac:dyDescent="0.25">
      <c r="A298" s="24" t="s">
        <v>336</v>
      </c>
      <c r="B298" s="30" t="s">
        <v>2207</v>
      </c>
      <c r="C298" s="266">
        <v>4</v>
      </c>
      <c r="D298" s="108">
        <v>356.4</v>
      </c>
      <c r="E298" s="48">
        <f t="shared" si="24"/>
        <v>178.2</v>
      </c>
      <c r="F298" s="41">
        <f t="shared" si="25"/>
        <v>534.59999999999991</v>
      </c>
      <c r="G298" s="53">
        <f t="shared" si="26"/>
        <v>400.94999999999993</v>
      </c>
      <c r="H298" s="54">
        <f t="shared" si="27"/>
        <v>178.2</v>
      </c>
      <c r="I298" s="55">
        <f t="shared" si="28"/>
        <v>712.8</v>
      </c>
      <c r="J298" s="56">
        <f t="shared" si="29"/>
        <v>534.59999999999991</v>
      </c>
      <c r="K298" s="177"/>
    </row>
    <row r="299" spans="1:11" x14ac:dyDescent="0.25">
      <c r="A299" s="24" t="s">
        <v>1129</v>
      </c>
      <c r="B299" s="30" t="s">
        <v>2208</v>
      </c>
      <c r="C299" s="266">
        <v>4</v>
      </c>
      <c r="D299" s="108">
        <v>356.4</v>
      </c>
      <c r="E299" s="48">
        <f t="shared" si="24"/>
        <v>178.2</v>
      </c>
      <c r="F299" s="41">
        <f t="shared" si="25"/>
        <v>534.59999999999991</v>
      </c>
      <c r="G299" s="53">
        <f t="shared" si="26"/>
        <v>400.94999999999993</v>
      </c>
      <c r="H299" s="54">
        <f t="shared" si="27"/>
        <v>178.2</v>
      </c>
      <c r="I299" s="55">
        <f t="shared" si="28"/>
        <v>712.8</v>
      </c>
      <c r="J299" s="56">
        <f t="shared" si="29"/>
        <v>534.59999999999991</v>
      </c>
      <c r="K299" s="177"/>
    </row>
    <row r="300" spans="1:11" x14ac:dyDescent="0.25">
      <c r="A300" s="24" t="s">
        <v>1130</v>
      </c>
      <c r="B300" s="30" t="s">
        <v>2208</v>
      </c>
      <c r="C300" s="266">
        <v>4</v>
      </c>
      <c r="D300" s="108">
        <v>356.4</v>
      </c>
      <c r="E300" s="48">
        <f t="shared" si="24"/>
        <v>178.2</v>
      </c>
      <c r="F300" s="41">
        <f t="shared" si="25"/>
        <v>534.59999999999991</v>
      </c>
      <c r="G300" s="53">
        <f t="shared" si="26"/>
        <v>400.94999999999993</v>
      </c>
      <c r="H300" s="54">
        <f t="shared" si="27"/>
        <v>178.2</v>
      </c>
      <c r="I300" s="55">
        <f t="shared" si="28"/>
        <v>712.8</v>
      </c>
      <c r="J300" s="56">
        <f t="shared" si="29"/>
        <v>534.59999999999991</v>
      </c>
      <c r="K300" s="177"/>
    </row>
    <row r="301" spans="1:11" x14ac:dyDescent="0.25">
      <c r="A301" s="24" t="s">
        <v>1131</v>
      </c>
      <c r="B301" s="30" t="s">
        <v>1908</v>
      </c>
      <c r="C301" s="266">
        <v>4</v>
      </c>
      <c r="D301" s="108">
        <v>356.4</v>
      </c>
      <c r="E301" s="48">
        <f t="shared" si="24"/>
        <v>178.2</v>
      </c>
      <c r="F301" s="41">
        <f t="shared" si="25"/>
        <v>534.59999999999991</v>
      </c>
      <c r="G301" s="53">
        <f t="shared" si="26"/>
        <v>400.94999999999993</v>
      </c>
      <c r="H301" s="54">
        <f t="shared" si="27"/>
        <v>178.2</v>
      </c>
      <c r="I301" s="55">
        <f t="shared" si="28"/>
        <v>712.8</v>
      </c>
      <c r="J301" s="56">
        <f t="shared" si="29"/>
        <v>534.59999999999991</v>
      </c>
      <c r="K301" s="177"/>
    </row>
    <row r="302" spans="1:11" x14ac:dyDescent="0.25">
      <c r="A302" s="24" t="s">
        <v>1132</v>
      </c>
      <c r="B302" s="30" t="s">
        <v>2248</v>
      </c>
      <c r="C302" s="266">
        <v>4</v>
      </c>
      <c r="D302" s="108">
        <v>356.4</v>
      </c>
      <c r="E302" s="48">
        <f t="shared" si="24"/>
        <v>178.2</v>
      </c>
      <c r="F302" s="41">
        <f t="shared" si="25"/>
        <v>534.59999999999991</v>
      </c>
      <c r="G302" s="53">
        <f t="shared" si="26"/>
        <v>400.94999999999993</v>
      </c>
      <c r="H302" s="54">
        <f t="shared" si="27"/>
        <v>178.2</v>
      </c>
      <c r="I302" s="55">
        <f t="shared" si="28"/>
        <v>712.8</v>
      </c>
      <c r="J302" s="56">
        <f t="shared" si="29"/>
        <v>534.59999999999991</v>
      </c>
      <c r="K302" s="177"/>
    </row>
    <row r="303" spans="1:11" x14ac:dyDescent="0.25">
      <c r="A303" s="24" t="s">
        <v>1133</v>
      </c>
      <c r="B303" s="30" t="s">
        <v>2109</v>
      </c>
      <c r="C303" s="266">
        <v>4</v>
      </c>
      <c r="D303" s="108">
        <v>356.4</v>
      </c>
      <c r="E303" s="48">
        <f t="shared" si="24"/>
        <v>178.2</v>
      </c>
      <c r="F303" s="41">
        <f t="shared" si="25"/>
        <v>534.59999999999991</v>
      </c>
      <c r="G303" s="53">
        <f t="shared" si="26"/>
        <v>400.94999999999993</v>
      </c>
      <c r="H303" s="54">
        <f t="shared" si="27"/>
        <v>178.2</v>
      </c>
      <c r="I303" s="55">
        <f t="shared" si="28"/>
        <v>712.8</v>
      </c>
      <c r="J303" s="56">
        <f t="shared" si="29"/>
        <v>534.59999999999991</v>
      </c>
      <c r="K303" s="177"/>
    </row>
    <row r="304" spans="1:11" x14ac:dyDescent="0.25">
      <c r="A304" s="24" t="s">
        <v>1134</v>
      </c>
      <c r="B304" s="30" t="s">
        <v>1281</v>
      </c>
      <c r="C304" s="266">
        <v>4</v>
      </c>
      <c r="D304" s="108">
        <v>356.4</v>
      </c>
      <c r="E304" s="48">
        <f t="shared" si="24"/>
        <v>178.2</v>
      </c>
      <c r="F304" s="41">
        <f t="shared" si="25"/>
        <v>534.59999999999991</v>
      </c>
      <c r="G304" s="53">
        <f t="shared" si="26"/>
        <v>400.94999999999993</v>
      </c>
      <c r="H304" s="54">
        <f t="shared" si="27"/>
        <v>178.2</v>
      </c>
      <c r="I304" s="55">
        <f t="shared" si="28"/>
        <v>712.8</v>
      </c>
      <c r="J304" s="56">
        <f t="shared" si="29"/>
        <v>534.59999999999991</v>
      </c>
      <c r="K304" s="177"/>
    </row>
    <row r="305" spans="1:11" x14ac:dyDescent="0.25">
      <c r="A305" s="24" t="s">
        <v>1135</v>
      </c>
      <c r="B305" s="30" t="s">
        <v>1744</v>
      </c>
      <c r="C305" s="266">
        <v>4</v>
      </c>
      <c r="D305" s="108">
        <v>356.4</v>
      </c>
      <c r="E305" s="48">
        <f t="shared" si="24"/>
        <v>178.2</v>
      </c>
      <c r="F305" s="41">
        <f t="shared" si="25"/>
        <v>534.59999999999991</v>
      </c>
      <c r="G305" s="53">
        <f t="shared" si="26"/>
        <v>400.94999999999993</v>
      </c>
      <c r="H305" s="54">
        <f t="shared" si="27"/>
        <v>178.2</v>
      </c>
      <c r="I305" s="55">
        <f t="shared" si="28"/>
        <v>712.8</v>
      </c>
      <c r="J305" s="56">
        <f t="shared" si="29"/>
        <v>534.59999999999991</v>
      </c>
      <c r="K305" s="177"/>
    </row>
    <row r="306" spans="1:11" x14ac:dyDescent="0.25">
      <c r="A306" s="24" t="s">
        <v>1136</v>
      </c>
      <c r="B306" s="30" t="s">
        <v>1281</v>
      </c>
      <c r="C306" s="266">
        <v>4</v>
      </c>
      <c r="D306" s="108">
        <v>356.4</v>
      </c>
      <c r="E306" s="48">
        <f t="shared" si="24"/>
        <v>178.2</v>
      </c>
      <c r="F306" s="41">
        <f t="shared" si="25"/>
        <v>534.59999999999991</v>
      </c>
      <c r="G306" s="53">
        <f t="shared" si="26"/>
        <v>400.94999999999993</v>
      </c>
      <c r="H306" s="54">
        <f t="shared" si="27"/>
        <v>178.2</v>
      </c>
      <c r="I306" s="55">
        <f t="shared" si="28"/>
        <v>712.8</v>
      </c>
      <c r="J306" s="56">
        <f t="shared" si="29"/>
        <v>534.59999999999991</v>
      </c>
      <c r="K306" s="177"/>
    </row>
    <row r="307" spans="1:11" x14ac:dyDescent="0.25">
      <c r="A307" s="24" t="s">
        <v>1137</v>
      </c>
      <c r="B307" s="30" t="s">
        <v>1256</v>
      </c>
      <c r="C307" s="266">
        <v>4</v>
      </c>
      <c r="D307" s="108">
        <v>356.4</v>
      </c>
      <c r="E307" s="48">
        <f t="shared" si="24"/>
        <v>178.2</v>
      </c>
      <c r="F307" s="41">
        <f t="shared" si="25"/>
        <v>534.59999999999991</v>
      </c>
      <c r="G307" s="53">
        <f t="shared" si="26"/>
        <v>400.94999999999993</v>
      </c>
      <c r="H307" s="54">
        <f t="shared" si="27"/>
        <v>178.2</v>
      </c>
      <c r="I307" s="55">
        <f t="shared" si="28"/>
        <v>712.8</v>
      </c>
      <c r="J307" s="56">
        <f t="shared" si="29"/>
        <v>534.59999999999991</v>
      </c>
      <c r="K307" s="177"/>
    </row>
    <row r="308" spans="1:11" x14ac:dyDescent="0.25">
      <c r="A308" s="24" t="s">
        <v>1138</v>
      </c>
      <c r="B308" s="30" t="s">
        <v>1256</v>
      </c>
      <c r="C308" s="266">
        <v>4</v>
      </c>
      <c r="D308" s="108">
        <v>356.4</v>
      </c>
      <c r="E308" s="48">
        <f t="shared" si="24"/>
        <v>178.2</v>
      </c>
      <c r="F308" s="41">
        <f t="shared" si="25"/>
        <v>534.59999999999991</v>
      </c>
      <c r="G308" s="53">
        <f t="shared" si="26"/>
        <v>400.94999999999993</v>
      </c>
      <c r="H308" s="54">
        <f t="shared" si="27"/>
        <v>178.2</v>
      </c>
      <c r="I308" s="55">
        <f t="shared" si="28"/>
        <v>712.8</v>
      </c>
      <c r="J308" s="56">
        <f t="shared" si="29"/>
        <v>534.59999999999991</v>
      </c>
      <c r="K308" s="177"/>
    </row>
    <row r="309" spans="1:11" x14ac:dyDescent="0.25">
      <c r="A309" s="24" t="s">
        <v>1139</v>
      </c>
      <c r="B309" s="30" t="s">
        <v>1256</v>
      </c>
      <c r="C309" s="266">
        <v>4</v>
      </c>
      <c r="D309" s="108">
        <v>356.4</v>
      </c>
      <c r="E309" s="48">
        <f t="shared" si="24"/>
        <v>178.2</v>
      </c>
      <c r="F309" s="41">
        <f t="shared" si="25"/>
        <v>534.59999999999991</v>
      </c>
      <c r="G309" s="53">
        <f t="shared" si="26"/>
        <v>400.94999999999993</v>
      </c>
      <c r="H309" s="54">
        <f t="shared" si="27"/>
        <v>178.2</v>
      </c>
      <c r="I309" s="55">
        <f t="shared" si="28"/>
        <v>712.8</v>
      </c>
      <c r="J309" s="56">
        <f t="shared" si="29"/>
        <v>534.59999999999991</v>
      </c>
      <c r="K309" s="177"/>
    </row>
    <row r="310" spans="1:11" x14ac:dyDescent="0.25">
      <c r="A310" s="37"/>
      <c r="B310" s="30"/>
      <c r="C310" s="267"/>
      <c r="D310" s="30"/>
      <c r="E310" s="48"/>
      <c r="F310" s="41"/>
      <c r="G310" s="53"/>
      <c r="H310" s="54"/>
      <c r="I310" s="55"/>
      <c r="J310" s="56"/>
      <c r="K310" s="177"/>
    </row>
    <row r="311" spans="1:11" x14ac:dyDescent="0.25">
      <c r="A311" s="24" t="s">
        <v>1374</v>
      </c>
      <c r="B311" s="30" t="s">
        <v>1282</v>
      </c>
      <c r="C311" s="266">
        <v>4</v>
      </c>
      <c r="D311" s="108">
        <v>356.4</v>
      </c>
      <c r="E311" s="48">
        <f t="shared" si="24"/>
        <v>178.2</v>
      </c>
      <c r="F311" s="41">
        <f t="shared" si="25"/>
        <v>534.59999999999991</v>
      </c>
      <c r="G311" s="53">
        <f t="shared" si="26"/>
        <v>400.94999999999993</v>
      </c>
      <c r="H311" s="54">
        <f t="shared" si="27"/>
        <v>178.2</v>
      </c>
      <c r="I311" s="55">
        <f t="shared" si="28"/>
        <v>712.8</v>
      </c>
      <c r="J311" s="56">
        <f t="shared" si="29"/>
        <v>534.59999999999991</v>
      </c>
      <c r="K311" s="177"/>
    </row>
    <row r="312" spans="1:11" x14ac:dyDescent="0.25">
      <c r="A312" s="24" t="s">
        <v>337</v>
      </c>
      <c r="B312" s="30" t="s">
        <v>1283</v>
      </c>
      <c r="C312" s="266">
        <v>4</v>
      </c>
      <c r="D312" s="108">
        <v>356.4</v>
      </c>
      <c r="E312" s="48">
        <f t="shared" si="24"/>
        <v>178.2</v>
      </c>
      <c r="F312" s="41">
        <f t="shared" si="25"/>
        <v>534.59999999999991</v>
      </c>
      <c r="G312" s="53">
        <f t="shared" si="26"/>
        <v>400.94999999999993</v>
      </c>
      <c r="H312" s="54">
        <f t="shared" si="27"/>
        <v>178.2</v>
      </c>
      <c r="I312" s="55">
        <f t="shared" si="28"/>
        <v>712.8</v>
      </c>
      <c r="J312" s="56">
        <f t="shared" si="29"/>
        <v>534.59999999999991</v>
      </c>
      <c r="K312" s="177"/>
    </row>
    <row r="313" spans="1:11" x14ac:dyDescent="0.25">
      <c r="A313" s="24" t="s">
        <v>339</v>
      </c>
      <c r="B313" s="30" t="s">
        <v>1283</v>
      </c>
      <c r="C313" s="266">
        <v>4</v>
      </c>
      <c r="D313" s="108">
        <v>356.4</v>
      </c>
      <c r="E313" s="48">
        <f t="shared" si="24"/>
        <v>178.2</v>
      </c>
      <c r="F313" s="41">
        <f t="shared" si="25"/>
        <v>534.59999999999991</v>
      </c>
      <c r="G313" s="53">
        <f t="shared" si="26"/>
        <v>400.94999999999993</v>
      </c>
      <c r="H313" s="54">
        <f t="shared" si="27"/>
        <v>178.2</v>
      </c>
      <c r="I313" s="55">
        <f t="shared" si="28"/>
        <v>712.8</v>
      </c>
      <c r="J313" s="56">
        <f t="shared" si="29"/>
        <v>534.59999999999991</v>
      </c>
      <c r="K313" s="177"/>
    </row>
    <row r="314" spans="1:11" x14ac:dyDescent="0.25">
      <c r="A314" s="24" t="s">
        <v>340</v>
      </c>
      <c r="B314" s="30" t="s">
        <v>2069</v>
      </c>
      <c r="C314" s="266">
        <v>4</v>
      </c>
      <c r="D314" s="108">
        <v>356.4</v>
      </c>
      <c r="E314" s="48">
        <f t="shared" si="24"/>
        <v>178.2</v>
      </c>
      <c r="F314" s="41">
        <f t="shared" si="25"/>
        <v>534.59999999999991</v>
      </c>
      <c r="G314" s="53">
        <f t="shared" si="26"/>
        <v>400.94999999999993</v>
      </c>
      <c r="H314" s="54">
        <f t="shared" si="27"/>
        <v>178.2</v>
      </c>
      <c r="I314" s="55">
        <f t="shared" si="28"/>
        <v>712.8</v>
      </c>
      <c r="J314" s="56">
        <f t="shared" si="29"/>
        <v>534.59999999999991</v>
      </c>
      <c r="K314" s="177"/>
    </row>
    <row r="315" spans="1:11" x14ac:dyDescent="0.25">
      <c r="A315" s="24" t="s">
        <v>341</v>
      </c>
      <c r="B315" s="30" t="s">
        <v>2069</v>
      </c>
      <c r="C315" s="266">
        <v>4</v>
      </c>
      <c r="D315" s="108">
        <v>356.4</v>
      </c>
      <c r="E315" s="48">
        <f t="shared" si="24"/>
        <v>178.2</v>
      </c>
      <c r="F315" s="41">
        <f t="shared" si="25"/>
        <v>534.59999999999991</v>
      </c>
      <c r="G315" s="53">
        <f t="shared" si="26"/>
        <v>400.94999999999993</v>
      </c>
      <c r="H315" s="54">
        <f t="shared" si="27"/>
        <v>178.2</v>
      </c>
      <c r="I315" s="55">
        <f t="shared" si="28"/>
        <v>712.8</v>
      </c>
      <c r="J315" s="56">
        <f t="shared" si="29"/>
        <v>534.59999999999991</v>
      </c>
      <c r="K315" s="177"/>
    </row>
    <row r="316" spans="1:11" x14ac:dyDescent="0.25">
      <c r="A316" s="24" t="s">
        <v>342</v>
      </c>
      <c r="B316" s="30" t="s">
        <v>1284</v>
      </c>
      <c r="C316" s="266">
        <v>4</v>
      </c>
      <c r="D316" s="108">
        <v>356.4</v>
      </c>
      <c r="E316" s="48">
        <f t="shared" si="24"/>
        <v>178.2</v>
      </c>
      <c r="F316" s="41">
        <f t="shared" si="25"/>
        <v>534.59999999999991</v>
      </c>
      <c r="G316" s="53">
        <f t="shared" si="26"/>
        <v>400.94999999999993</v>
      </c>
      <c r="H316" s="54">
        <f t="shared" si="27"/>
        <v>178.2</v>
      </c>
      <c r="I316" s="55">
        <f t="shared" si="28"/>
        <v>712.8</v>
      </c>
      <c r="J316" s="56">
        <f t="shared" si="29"/>
        <v>534.59999999999991</v>
      </c>
      <c r="K316" s="177"/>
    </row>
    <row r="317" spans="1:11" x14ac:dyDescent="0.25">
      <c r="A317" s="24" t="s">
        <v>343</v>
      </c>
      <c r="B317" s="30" t="s">
        <v>1672</v>
      </c>
      <c r="C317" s="266">
        <v>4</v>
      </c>
      <c r="D317" s="108">
        <v>356.4</v>
      </c>
      <c r="E317" s="48">
        <f t="shared" si="24"/>
        <v>178.2</v>
      </c>
      <c r="F317" s="41">
        <f t="shared" si="25"/>
        <v>534.59999999999991</v>
      </c>
      <c r="G317" s="53">
        <f t="shared" si="26"/>
        <v>400.94999999999993</v>
      </c>
      <c r="H317" s="54">
        <f t="shared" si="27"/>
        <v>178.2</v>
      </c>
      <c r="I317" s="55">
        <f t="shared" si="28"/>
        <v>712.8</v>
      </c>
      <c r="J317" s="56">
        <f t="shared" si="29"/>
        <v>534.59999999999991</v>
      </c>
      <c r="K317" s="177"/>
    </row>
    <row r="318" spans="1:11" x14ac:dyDescent="0.25">
      <c r="A318" s="24" t="s">
        <v>344</v>
      </c>
      <c r="B318" s="30" t="s">
        <v>2156</v>
      </c>
      <c r="C318" s="266">
        <v>4</v>
      </c>
      <c r="D318" s="108">
        <v>356.4</v>
      </c>
      <c r="E318" s="48">
        <f t="shared" si="24"/>
        <v>178.2</v>
      </c>
      <c r="F318" s="41">
        <f t="shared" si="25"/>
        <v>534.59999999999991</v>
      </c>
      <c r="G318" s="53">
        <f t="shared" si="26"/>
        <v>400.94999999999993</v>
      </c>
      <c r="H318" s="54">
        <f t="shared" si="27"/>
        <v>178.2</v>
      </c>
      <c r="I318" s="55">
        <f t="shared" si="28"/>
        <v>712.8</v>
      </c>
      <c r="J318" s="56">
        <f t="shared" si="29"/>
        <v>534.59999999999991</v>
      </c>
      <c r="K318" s="177"/>
    </row>
    <row r="319" spans="1:11" x14ac:dyDescent="0.25">
      <c r="A319" s="24" t="s">
        <v>1140</v>
      </c>
      <c r="B319" s="30" t="s">
        <v>2156</v>
      </c>
      <c r="C319" s="266">
        <v>4</v>
      </c>
      <c r="D319" s="108">
        <v>356.4</v>
      </c>
      <c r="E319" s="48">
        <f t="shared" si="24"/>
        <v>178.2</v>
      </c>
      <c r="F319" s="41">
        <f t="shared" si="25"/>
        <v>534.59999999999991</v>
      </c>
      <c r="G319" s="53">
        <f t="shared" si="26"/>
        <v>400.94999999999993</v>
      </c>
      <c r="H319" s="54">
        <f t="shared" si="27"/>
        <v>178.2</v>
      </c>
      <c r="I319" s="55">
        <f t="shared" si="28"/>
        <v>712.8</v>
      </c>
      <c r="J319" s="56">
        <f t="shared" si="29"/>
        <v>534.59999999999991</v>
      </c>
      <c r="K319" s="177"/>
    </row>
    <row r="320" spans="1:11" x14ac:dyDescent="0.25">
      <c r="A320" s="24" t="s">
        <v>1141</v>
      </c>
      <c r="B320" s="30" t="s">
        <v>1285</v>
      </c>
      <c r="C320" s="266">
        <v>4</v>
      </c>
      <c r="D320" s="108">
        <v>356.4</v>
      </c>
      <c r="E320" s="48">
        <f t="shared" si="24"/>
        <v>178.2</v>
      </c>
      <c r="F320" s="41">
        <f t="shared" si="25"/>
        <v>534.59999999999991</v>
      </c>
      <c r="G320" s="53">
        <f t="shared" si="26"/>
        <v>400.94999999999993</v>
      </c>
      <c r="H320" s="54">
        <f t="shared" si="27"/>
        <v>178.2</v>
      </c>
      <c r="I320" s="55">
        <f t="shared" si="28"/>
        <v>712.8</v>
      </c>
      <c r="J320" s="56">
        <f t="shared" si="29"/>
        <v>534.59999999999991</v>
      </c>
      <c r="K320" s="177"/>
    </row>
    <row r="321" spans="1:11" x14ac:dyDescent="0.25">
      <c r="A321" s="24" t="s">
        <v>1142</v>
      </c>
      <c r="B321" s="30" t="s">
        <v>1285</v>
      </c>
      <c r="C321" s="266">
        <v>4</v>
      </c>
      <c r="D321" s="108">
        <v>356.4</v>
      </c>
      <c r="E321" s="48">
        <f t="shared" si="24"/>
        <v>178.2</v>
      </c>
      <c r="F321" s="41">
        <f t="shared" si="25"/>
        <v>534.59999999999991</v>
      </c>
      <c r="G321" s="53">
        <f t="shared" si="26"/>
        <v>400.94999999999993</v>
      </c>
      <c r="H321" s="54">
        <f t="shared" si="27"/>
        <v>178.2</v>
      </c>
      <c r="I321" s="55">
        <f t="shared" si="28"/>
        <v>712.8</v>
      </c>
      <c r="J321" s="56">
        <f t="shared" si="29"/>
        <v>534.59999999999991</v>
      </c>
      <c r="K321" s="177"/>
    </row>
    <row r="322" spans="1:11" x14ac:dyDescent="0.25">
      <c r="A322" s="24" t="s">
        <v>1143</v>
      </c>
      <c r="B322" s="30" t="s">
        <v>1743</v>
      </c>
      <c r="C322" s="266">
        <v>4</v>
      </c>
      <c r="D322" s="108">
        <v>356.4</v>
      </c>
      <c r="E322" s="48">
        <f t="shared" si="24"/>
        <v>178.2</v>
      </c>
      <c r="F322" s="41">
        <f t="shared" si="25"/>
        <v>534.59999999999991</v>
      </c>
      <c r="G322" s="53">
        <f t="shared" si="26"/>
        <v>400.94999999999993</v>
      </c>
      <c r="H322" s="54">
        <f t="shared" si="27"/>
        <v>178.2</v>
      </c>
      <c r="I322" s="55">
        <f t="shared" si="28"/>
        <v>712.8</v>
      </c>
      <c r="J322" s="56">
        <f t="shared" si="29"/>
        <v>534.59999999999991</v>
      </c>
      <c r="K322" s="177"/>
    </row>
    <row r="323" spans="1:11" x14ac:dyDescent="0.25">
      <c r="A323" s="24" t="s">
        <v>1144</v>
      </c>
      <c r="B323" s="30" t="s">
        <v>1286</v>
      </c>
      <c r="C323" s="266">
        <v>4</v>
      </c>
      <c r="D323" s="108">
        <v>356.4</v>
      </c>
      <c r="E323" s="48">
        <f t="shared" ref="E323:E386" si="30">D323*50%</f>
        <v>178.2</v>
      </c>
      <c r="F323" s="41">
        <f t="shared" ref="F323:F386" si="31">D323+E323</f>
        <v>534.59999999999991</v>
      </c>
      <c r="G323" s="53">
        <f t="shared" ref="G323:G386" si="32">F323-(F323*25%)</f>
        <v>400.94999999999993</v>
      </c>
      <c r="H323" s="54">
        <f t="shared" ref="H323:H386" si="33">D323*50%</f>
        <v>178.2</v>
      </c>
      <c r="I323" s="55">
        <f t="shared" ref="I323:I386" si="34">D323+(H323*2)</f>
        <v>712.8</v>
      </c>
      <c r="J323" s="56">
        <f t="shared" ref="J323:J386" si="35">I323-(I323*25%)</f>
        <v>534.59999999999991</v>
      </c>
      <c r="K323" s="177"/>
    </row>
    <row r="324" spans="1:11" x14ac:dyDescent="0.25">
      <c r="A324" s="24" t="s">
        <v>1145</v>
      </c>
      <c r="B324" s="30" t="s">
        <v>1286</v>
      </c>
      <c r="C324" s="266">
        <v>4</v>
      </c>
      <c r="D324" s="108">
        <v>356.4</v>
      </c>
      <c r="E324" s="48">
        <f t="shared" si="30"/>
        <v>178.2</v>
      </c>
      <c r="F324" s="41">
        <f t="shared" si="31"/>
        <v>534.59999999999991</v>
      </c>
      <c r="G324" s="53">
        <f t="shared" si="32"/>
        <v>400.94999999999993</v>
      </c>
      <c r="H324" s="54">
        <f t="shared" si="33"/>
        <v>178.2</v>
      </c>
      <c r="I324" s="55">
        <f t="shared" si="34"/>
        <v>712.8</v>
      </c>
      <c r="J324" s="56">
        <f t="shared" si="35"/>
        <v>534.59999999999991</v>
      </c>
      <c r="K324" s="177"/>
    </row>
    <row r="325" spans="1:11" x14ac:dyDescent="0.25">
      <c r="A325" s="24" t="s">
        <v>1146</v>
      </c>
      <c r="B325" s="30" t="s">
        <v>1286</v>
      </c>
      <c r="C325" s="266">
        <v>4</v>
      </c>
      <c r="D325" s="108">
        <v>356.4</v>
      </c>
      <c r="E325" s="48">
        <f t="shared" si="30"/>
        <v>178.2</v>
      </c>
      <c r="F325" s="41">
        <f t="shared" si="31"/>
        <v>534.59999999999991</v>
      </c>
      <c r="G325" s="53">
        <f t="shared" si="32"/>
        <v>400.94999999999993</v>
      </c>
      <c r="H325" s="54">
        <f t="shared" si="33"/>
        <v>178.2</v>
      </c>
      <c r="I325" s="55">
        <f t="shared" si="34"/>
        <v>712.8</v>
      </c>
      <c r="J325" s="56">
        <f t="shared" si="35"/>
        <v>534.59999999999991</v>
      </c>
      <c r="K325" s="177"/>
    </row>
    <row r="326" spans="1:11" x14ac:dyDescent="0.25">
      <c r="A326" s="24" t="s">
        <v>1147</v>
      </c>
      <c r="B326" s="30" t="s">
        <v>2309</v>
      </c>
      <c r="C326" s="266">
        <v>4</v>
      </c>
      <c r="D326" s="108">
        <v>356.4</v>
      </c>
      <c r="E326" s="48">
        <f t="shared" si="30"/>
        <v>178.2</v>
      </c>
      <c r="F326" s="41">
        <f t="shared" si="31"/>
        <v>534.59999999999991</v>
      </c>
      <c r="G326" s="53">
        <f t="shared" si="32"/>
        <v>400.94999999999993</v>
      </c>
      <c r="H326" s="54">
        <f t="shared" si="33"/>
        <v>178.2</v>
      </c>
      <c r="I326" s="55">
        <f t="shared" si="34"/>
        <v>712.8</v>
      </c>
      <c r="J326" s="56">
        <f t="shared" si="35"/>
        <v>534.59999999999991</v>
      </c>
      <c r="K326" s="177"/>
    </row>
    <row r="327" spans="1:11" x14ac:dyDescent="0.25">
      <c r="A327" s="24" t="s">
        <v>1148</v>
      </c>
      <c r="B327" s="30" t="s">
        <v>2309</v>
      </c>
      <c r="C327" s="266">
        <v>4</v>
      </c>
      <c r="D327" s="108">
        <v>356.4</v>
      </c>
      <c r="E327" s="48">
        <f t="shared" si="30"/>
        <v>178.2</v>
      </c>
      <c r="F327" s="41">
        <f t="shared" si="31"/>
        <v>534.59999999999991</v>
      </c>
      <c r="G327" s="53">
        <f t="shared" si="32"/>
        <v>400.94999999999993</v>
      </c>
      <c r="H327" s="54">
        <f t="shared" si="33"/>
        <v>178.2</v>
      </c>
      <c r="I327" s="55">
        <f t="shared" si="34"/>
        <v>712.8</v>
      </c>
      <c r="J327" s="56">
        <f t="shared" si="35"/>
        <v>534.59999999999991</v>
      </c>
      <c r="K327" s="177"/>
    </row>
    <row r="328" spans="1:11" x14ac:dyDescent="0.25">
      <c r="A328" s="24" t="s">
        <v>1149</v>
      </c>
      <c r="B328" s="30" t="s">
        <v>1287</v>
      </c>
      <c r="C328" s="266">
        <v>4</v>
      </c>
      <c r="D328" s="108">
        <v>356.4</v>
      </c>
      <c r="E328" s="48">
        <f t="shared" si="30"/>
        <v>178.2</v>
      </c>
      <c r="F328" s="41">
        <f t="shared" si="31"/>
        <v>534.59999999999991</v>
      </c>
      <c r="G328" s="53">
        <f t="shared" si="32"/>
        <v>400.94999999999993</v>
      </c>
      <c r="H328" s="54">
        <f t="shared" si="33"/>
        <v>178.2</v>
      </c>
      <c r="I328" s="55">
        <f t="shared" si="34"/>
        <v>712.8</v>
      </c>
      <c r="J328" s="56">
        <f t="shared" si="35"/>
        <v>534.59999999999991</v>
      </c>
      <c r="K328" s="177"/>
    </row>
    <row r="329" spans="1:11" x14ac:dyDescent="0.25">
      <c r="A329" s="24" t="s">
        <v>1150</v>
      </c>
      <c r="B329" s="30" t="s">
        <v>1287</v>
      </c>
      <c r="C329" s="266">
        <v>4</v>
      </c>
      <c r="D329" s="108">
        <v>356.4</v>
      </c>
      <c r="E329" s="48">
        <f t="shared" si="30"/>
        <v>178.2</v>
      </c>
      <c r="F329" s="41">
        <f t="shared" si="31"/>
        <v>534.59999999999991</v>
      </c>
      <c r="G329" s="53">
        <f t="shared" si="32"/>
        <v>400.94999999999993</v>
      </c>
      <c r="H329" s="54">
        <f t="shared" si="33"/>
        <v>178.2</v>
      </c>
      <c r="I329" s="55">
        <f t="shared" si="34"/>
        <v>712.8</v>
      </c>
      <c r="J329" s="56">
        <f t="shared" si="35"/>
        <v>534.59999999999991</v>
      </c>
      <c r="K329" s="177"/>
    </row>
    <row r="330" spans="1:11" x14ac:dyDescent="0.25">
      <c r="A330" s="24" t="s">
        <v>1151</v>
      </c>
      <c r="B330" s="30" t="s">
        <v>1288</v>
      </c>
      <c r="C330" s="266">
        <v>4</v>
      </c>
      <c r="D330" s="108">
        <v>356.4</v>
      </c>
      <c r="E330" s="48">
        <f t="shared" si="30"/>
        <v>178.2</v>
      </c>
      <c r="F330" s="41">
        <f t="shared" si="31"/>
        <v>534.59999999999991</v>
      </c>
      <c r="G330" s="53">
        <f t="shared" si="32"/>
        <v>400.94999999999993</v>
      </c>
      <c r="H330" s="54">
        <f t="shared" si="33"/>
        <v>178.2</v>
      </c>
      <c r="I330" s="55">
        <f t="shared" si="34"/>
        <v>712.8</v>
      </c>
      <c r="J330" s="56">
        <f t="shared" si="35"/>
        <v>534.59999999999991</v>
      </c>
      <c r="K330" s="177"/>
    </row>
    <row r="331" spans="1:11" x14ac:dyDescent="0.25">
      <c r="A331" s="24" t="s">
        <v>1152</v>
      </c>
      <c r="B331" s="30" t="s">
        <v>1282</v>
      </c>
      <c r="C331" s="266">
        <v>4</v>
      </c>
      <c r="D331" s="108">
        <v>356.4</v>
      </c>
      <c r="E331" s="48">
        <f t="shared" si="30"/>
        <v>178.2</v>
      </c>
      <c r="F331" s="41">
        <f t="shared" si="31"/>
        <v>534.59999999999991</v>
      </c>
      <c r="G331" s="53">
        <f t="shared" si="32"/>
        <v>400.94999999999993</v>
      </c>
      <c r="H331" s="54">
        <f t="shared" si="33"/>
        <v>178.2</v>
      </c>
      <c r="I331" s="55">
        <f t="shared" si="34"/>
        <v>712.8</v>
      </c>
      <c r="J331" s="56">
        <f t="shared" si="35"/>
        <v>534.59999999999991</v>
      </c>
      <c r="K331" s="177"/>
    </row>
    <row r="332" spans="1:11" x14ac:dyDescent="0.25">
      <c r="A332" s="24" t="s">
        <v>1153</v>
      </c>
      <c r="B332" s="30" t="s">
        <v>1282</v>
      </c>
      <c r="C332" s="266">
        <v>4</v>
      </c>
      <c r="D332" s="108">
        <v>356.4</v>
      </c>
      <c r="E332" s="48">
        <f t="shared" si="30"/>
        <v>178.2</v>
      </c>
      <c r="F332" s="41">
        <f t="shared" si="31"/>
        <v>534.59999999999991</v>
      </c>
      <c r="G332" s="53">
        <f t="shared" si="32"/>
        <v>400.94999999999993</v>
      </c>
      <c r="H332" s="54">
        <f t="shared" si="33"/>
        <v>178.2</v>
      </c>
      <c r="I332" s="55">
        <f t="shared" si="34"/>
        <v>712.8</v>
      </c>
      <c r="J332" s="56">
        <f t="shared" si="35"/>
        <v>534.59999999999991</v>
      </c>
      <c r="K332" s="177"/>
    </row>
    <row r="333" spans="1:11" x14ac:dyDescent="0.25">
      <c r="A333" s="159"/>
      <c r="B333" s="30"/>
      <c r="C333" s="267"/>
      <c r="D333" s="108"/>
      <c r="E333" s="48"/>
      <c r="F333" s="41"/>
      <c r="G333" s="53"/>
      <c r="H333" s="54"/>
      <c r="I333" s="55"/>
      <c r="J333" s="56"/>
      <c r="K333" s="177"/>
    </row>
    <row r="334" spans="1:11" x14ac:dyDescent="0.25">
      <c r="A334" s="24" t="s">
        <v>346</v>
      </c>
      <c r="B334" s="30" t="s">
        <v>2277</v>
      </c>
      <c r="C334" s="266">
        <v>4</v>
      </c>
      <c r="D334" s="108">
        <v>356.4</v>
      </c>
      <c r="E334" s="48">
        <f t="shared" si="30"/>
        <v>178.2</v>
      </c>
      <c r="F334" s="41">
        <f t="shared" si="31"/>
        <v>534.59999999999991</v>
      </c>
      <c r="G334" s="53">
        <f t="shared" si="32"/>
        <v>400.94999999999993</v>
      </c>
      <c r="H334" s="54">
        <f t="shared" si="33"/>
        <v>178.2</v>
      </c>
      <c r="I334" s="55">
        <f t="shared" si="34"/>
        <v>712.8</v>
      </c>
      <c r="J334" s="56">
        <f t="shared" si="35"/>
        <v>534.59999999999991</v>
      </c>
      <c r="K334" s="177"/>
    </row>
    <row r="335" spans="1:11" x14ac:dyDescent="0.25">
      <c r="A335" s="24" t="s">
        <v>348</v>
      </c>
      <c r="B335" s="30" t="s">
        <v>2068</v>
      </c>
      <c r="C335" s="266">
        <v>4</v>
      </c>
      <c r="D335" s="108">
        <v>356.4</v>
      </c>
      <c r="E335" s="48">
        <f t="shared" si="30"/>
        <v>178.2</v>
      </c>
      <c r="F335" s="41">
        <f t="shared" si="31"/>
        <v>534.59999999999991</v>
      </c>
      <c r="G335" s="53">
        <f t="shared" si="32"/>
        <v>400.94999999999993</v>
      </c>
      <c r="H335" s="54">
        <f t="shared" si="33"/>
        <v>178.2</v>
      </c>
      <c r="I335" s="55">
        <f t="shared" si="34"/>
        <v>712.8</v>
      </c>
      <c r="J335" s="56">
        <f t="shared" si="35"/>
        <v>534.59999999999991</v>
      </c>
      <c r="K335" s="177"/>
    </row>
    <row r="336" spans="1:11" x14ac:dyDescent="0.25">
      <c r="A336" s="24" t="s">
        <v>349</v>
      </c>
      <c r="B336" s="30" t="s">
        <v>1289</v>
      </c>
      <c r="C336" s="266">
        <v>4</v>
      </c>
      <c r="D336" s="108">
        <v>356.4</v>
      </c>
      <c r="E336" s="48">
        <f t="shared" si="30"/>
        <v>178.2</v>
      </c>
      <c r="F336" s="41">
        <f t="shared" si="31"/>
        <v>534.59999999999991</v>
      </c>
      <c r="G336" s="53">
        <f t="shared" si="32"/>
        <v>400.94999999999993</v>
      </c>
      <c r="H336" s="54">
        <f t="shared" si="33"/>
        <v>178.2</v>
      </c>
      <c r="I336" s="55">
        <f t="shared" si="34"/>
        <v>712.8</v>
      </c>
      <c r="J336" s="56">
        <f t="shared" si="35"/>
        <v>534.59999999999991</v>
      </c>
      <c r="K336" s="177"/>
    </row>
    <row r="337" spans="1:11" x14ac:dyDescent="0.25">
      <c r="A337" s="24" t="s">
        <v>350</v>
      </c>
      <c r="B337" s="30" t="s">
        <v>1289</v>
      </c>
      <c r="C337" s="266">
        <v>4</v>
      </c>
      <c r="D337" s="108">
        <v>356.4</v>
      </c>
      <c r="E337" s="48">
        <f t="shared" si="30"/>
        <v>178.2</v>
      </c>
      <c r="F337" s="41">
        <f t="shared" si="31"/>
        <v>534.59999999999991</v>
      </c>
      <c r="G337" s="53">
        <f t="shared" si="32"/>
        <v>400.94999999999993</v>
      </c>
      <c r="H337" s="54">
        <f t="shared" si="33"/>
        <v>178.2</v>
      </c>
      <c r="I337" s="55">
        <f t="shared" si="34"/>
        <v>712.8</v>
      </c>
      <c r="J337" s="56">
        <f t="shared" si="35"/>
        <v>534.59999999999991</v>
      </c>
      <c r="K337" s="177"/>
    </row>
    <row r="338" spans="1:11" x14ac:dyDescent="0.25">
      <c r="A338" s="24" t="s">
        <v>351</v>
      </c>
      <c r="B338" s="30" t="s">
        <v>1290</v>
      </c>
      <c r="C338" s="266">
        <v>4</v>
      </c>
      <c r="D338" s="108">
        <v>356.4</v>
      </c>
      <c r="E338" s="48">
        <f t="shared" si="30"/>
        <v>178.2</v>
      </c>
      <c r="F338" s="41">
        <f t="shared" si="31"/>
        <v>534.59999999999991</v>
      </c>
      <c r="G338" s="53">
        <f t="shared" si="32"/>
        <v>400.94999999999993</v>
      </c>
      <c r="H338" s="54">
        <f t="shared" si="33"/>
        <v>178.2</v>
      </c>
      <c r="I338" s="55">
        <f t="shared" si="34"/>
        <v>712.8</v>
      </c>
      <c r="J338" s="56">
        <f t="shared" si="35"/>
        <v>534.59999999999991</v>
      </c>
      <c r="K338" s="177"/>
    </row>
    <row r="339" spans="1:11" x14ac:dyDescent="0.25">
      <c r="A339" s="24" t="s">
        <v>1154</v>
      </c>
      <c r="B339" s="30" t="s">
        <v>1291</v>
      </c>
      <c r="C339" s="266">
        <v>4</v>
      </c>
      <c r="D339" s="108">
        <v>356.4</v>
      </c>
      <c r="E339" s="48">
        <f t="shared" si="30"/>
        <v>178.2</v>
      </c>
      <c r="F339" s="41">
        <f t="shared" si="31"/>
        <v>534.59999999999991</v>
      </c>
      <c r="G339" s="53">
        <f t="shared" si="32"/>
        <v>400.94999999999993</v>
      </c>
      <c r="H339" s="54">
        <f t="shared" si="33"/>
        <v>178.2</v>
      </c>
      <c r="I339" s="55">
        <f t="shared" si="34"/>
        <v>712.8</v>
      </c>
      <c r="J339" s="56">
        <f t="shared" si="35"/>
        <v>534.59999999999991</v>
      </c>
      <c r="K339" s="177"/>
    </row>
    <row r="340" spans="1:11" x14ac:dyDescent="0.25">
      <c r="A340" s="24" t="s">
        <v>1155</v>
      </c>
      <c r="B340" s="30" t="s">
        <v>1291</v>
      </c>
      <c r="C340" s="266">
        <v>4</v>
      </c>
      <c r="D340" s="108">
        <v>356.4</v>
      </c>
      <c r="E340" s="48">
        <f t="shared" si="30"/>
        <v>178.2</v>
      </c>
      <c r="F340" s="41">
        <f t="shared" si="31"/>
        <v>534.59999999999991</v>
      </c>
      <c r="G340" s="53">
        <f t="shared" si="32"/>
        <v>400.94999999999993</v>
      </c>
      <c r="H340" s="54">
        <f t="shared" si="33"/>
        <v>178.2</v>
      </c>
      <c r="I340" s="55">
        <f t="shared" si="34"/>
        <v>712.8</v>
      </c>
      <c r="J340" s="56">
        <f t="shared" si="35"/>
        <v>534.59999999999991</v>
      </c>
      <c r="K340" s="177"/>
    </row>
    <row r="341" spans="1:11" x14ac:dyDescent="0.25">
      <c r="A341" s="24" t="s">
        <v>1156</v>
      </c>
      <c r="B341" s="30" t="s">
        <v>1291</v>
      </c>
      <c r="C341" s="266">
        <v>4</v>
      </c>
      <c r="D341" s="108">
        <v>356.4</v>
      </c>
      <c r="E341" s="48">
        <f t="shared" si="30"/>
        <v>178.2</v>
      </c>
      <c r="F341" s="41">
        <f t="shared" si="31"/>
        <v>534.59999999999991</v>
      </c>
      <c r="G341" s="53">
        <f t="shared" si="32"/>
        <v>400.94999999999993</v>
      </c>
      <c r="H341" s="54">
        <f t="shared" si="33"/>
        <v>178.2</v>
      </c>
      <c r="I341" s="55">
        <f t="shared" si="34"/>
        <v>712.8</v>
      </c>
      <c r="J341" s="56">
        <f t="shared" si="35"/>
        <v>534.59999999999991</v>
      </c>
      <c r="K341" s="177"/>
    </row>
    <row r="342" spans="1:11" x14ac:dyDescent="0.25">
      <c r="A342" s="24" t="s">
        <v>1157</v>
      </c>
      <c r="B342" s="30" t="s">
        <v>1292</v>
      </c>
      <c r="C342" s="266">
        <v>4</v>
      </c>
      <c r="D342" s="108">
        <v>356.4</v>
      </c>
      <c r="E342" s="48">
        <f t="shared" si="30"/>
        <v>178.2</v>
      </c>
      <c r="F342" s="41">
        <f t="shared" si="31"/>
        <v>534.59999999999991</v>
      </c>
      <c r="G342" s="53">
        <f t="shared" si="32"/>
        <v>400.94999999999993</v>
      </c>
      <c r="H342" s="54">
        <f t="shared" si="33"/>
        <v>178.2</v>
      </c>
      <c r="I342" s="55">
        <f t="shared" si="34"/>
        <v>712.8</v>
      </c>
      <c r="J342" s="56">
        <f t="shared" si="35"/>
        <v>534.59999999999991</v>
      </c>
      <c r="K342" s="177"/>
    </row>
    <row r="343" spans="1:11" x14ac:dyDescent="0.25">
      <c r="A343" s="24" t="s">
        <v>1158</v>
      </c>
      <c r="B343" s="30" t="s">
        <v>1292</v>
      </c>
      <c r="C343" s="266">
        <v>4</v>
      </c>
      <c r="D343" s="108">
        <v>356.4</v>
      </c>
      <c r="E343" s="48">
        <f t="shared" si="30"/>
        <v>178.2</v>
      </c>
      <c r="F343" s="41">
        <f t="shared" si="31"/>
        <v>534.59999999999991</v>
      </c>
      <c r="G343" s="53">
        <f t="shared" si="32"/>
        <v>400.94999999999993</v>
      </c>
      <c r="H343" s="54">
        <f t="shared" si="33"/>
        <v>178.2</v>
      </c>
      <c r="I343" s="55">
        <f t="shared" si="34"/>
        <v>712.8</v>
      </c>
      <c r="J343" s="56">
        <f t="shared" si="35"/>
        <v>534.59999999999991</v>
      </c>
      <c r="K343" s="177"/>
    </row>
    <row r="344" spans="1:11" x14ac:dyDescent="0.25">
      <c r="A344" s="24" t="s">
        <v>1159</v>
      </c>
      <c r="B344" s="30" t="s">
        <v>1289</v>
      </c>
      <c r="C344" s="266">
        <v>4</v>
      </c>
      <c r="D344" s="108">
        <v>356.4</v>
      </c>
      <c r="E344" s="48">
        <f t="shared" si="30"/>
        <v>178.2</v>
      </c>
      <c r="F344" s="41">
        <f t="shared" si="31"/>
        <v>534.59999999999991</v>
      </c>
      <c r="G344" s="53">
        <f t="shared" si="32"/>
        <v>400.94999999999993</v>
      </c>
      <c r="H344" s="54">
        <f t="shared" si="33"/>
        <v>178.2</v>
      </c>
      <c r="I344" s="55">
        <f t="shared" si="34"/>
        <v>712.8</v>
      </c>
      <c r="J344" s="56">
        <f t="shared" si="35"/>
        <v>534.59999999999991</v>
      </c>
      <c r="K344" s="177"/>
    </row>
    <row r="345" spans="1:11" x14ac:dyDescent="0.25">
      <c r="A345" s="24" t="s">
        <v>1160</v>
      </c>
      <c r="B345" s="30" t="s">
        <v>1289</v>
      </c>
      <c r="C345" s="266">
        <v>4</v>
      </c>
      <c r="D345" s="108">
        <v>356.4</v>
      </c>
      <c r="E345" s="48">
        <f t="shared" si="30"/>
        <v>178.2</v>
      </c>
      <c r="F345" s="41">
        <f t="shared" si="31"/>
        <v>534.59999999999991</v>
      </c>
      <c r="G345" s="53">
        <f t="shared" si="32"/>
        <v>400.94999999999993</v>
      </c>
      <c r="H345" s="54">
        <f t="shared" si="33"/>
        <v>178.2</v>
      </c>
      <c r="I345" s="55">
        <f t="shared" si="34"/>
        <v>712.8</v>
      </c>
      <c r="J345" s="56">
        <f t="shared" si="35"/>
        <v>534.59999999999991</v>
      </c>
      <c r="K345" s="177"/>
    </row>
    <row r="346" spans="1:11" x14ac:dyDescent="0.25">
      <c r="A346" s="24" t="s">
        <v>1161</v>
      </c>
      <c r="B346" s="30" t="s">
        <v>2068</v>
      </c>
      <c r="C346" s="266">
        <v>4</v>
      </c>
      <c r="D346" s="108">
        <v>356.4</v>
      </c>
      <c r="E346" s="48">
        <f t="shared" si="30"/>
        <v>178.2</v>
      </c>
      <c r="F346" s="41">
        <f t="shared" si="31"/>
        <v>534.59999999999991</v>
      </c>
      <c r="G346" s="53">
        <f t="shared" si="32"/>
        <v>400.94999999999993</v>
      </c>
      <c r="H346" s="54">
        <f t="shared" si="33"/>
        <v>178.2</v>
      </c>
      <c r="I346" s="55">
        <f t="shared" si="34"/>
        <v>712.8</v>
      </c>
      <c r="J346" s="56">
        <f t="shared" si="35"/>
        <v>534.59999999999991</v>
      </c>
      <c r="K346" s="177"/>
    </row>
    <row r="347" spans="1:11" x14ac:dyDescent="0.25">
      <c r="A347" s="24" t="s">
        <v>1162</v>
      </c>
      <c r="B347" s="30" t="s">
        <v>1859</v>
      </c>
      <c r="C347" s="266">
        <v>4</v>
      </c>
      <c r="D347" s="108">
        <v>356.4</v>
      </c>
      <c r="E347" s="48">
        <f t="shared" si="30"/>
        <v>178.2</v>
      </c>
      <c r="F347" s="41">
        <f t="shared" si="31"/>
        <v>534.59999999999991</v>
      </c>
      <c r="G347" s="53">
        <f t="shared" si="32"/>
        <v>400.94999999999993</v>
      </c>
      <c r="H347" s="54">
        <f t="shared" si="33"/>
        <v>178.2</v>
      </c>
      <c r="I347" s="55">
        <f t="shared" si="34"/>
        <v>712.8</v>
      </c>
      <c r="J347" s="56">
        <f t="shared" si="35"/>
        <v>534.59999999999991</v>
      </c>
      <c r="K347" s="177"/>
    </row>
    <row r="348" spans="1:11" x14ac:dyDescent="0.25">
      <c r="A348" s="159"/>
      <c r="B348" s="30"/>
      <c r="C348" s="267"/>
      <c r="D348" s="108"/>
      <c r="E348" s="48"/>
      <c r="F348" s="41"/>
      <c r="G348" s="53"/>
      <c r="H348" s="54"/>
      <c r="I348" s="55"/>
      <c r="J348" s="56"/>
      <c r="K348" s="177"/>
    </row>
    <row r="349" spans="1:11" x14ac:dyDescent="0.25">
      <c r="A349" s="24" t="s">
        <v>352</v>
      </c>
      <c r="B349" s="30" t="s">
        <v>1795</v>
      </c>
      <c r="C349" s="266">
        <v>4</v>
      </c>
      <c r="D349" s="108">
        <v>356.4</v>
      </c>
      <c r="E349" s="48">
        <f t="shared" si="30"/>
        <v>178.2</v>
      </c>
      <c r="F349" s="41">
        <f t="shared" si="31"/>
        <v>534.59999999999991</v>
      </c>
      <c r="G349" s="53">
        <f t="shared" si="32"/>
        <v>400.94999999999993</v>
      </c>
      <c r="H349" s="54">
        <f t="shared" si="33"/>
        <v>178.2</v>
      </c>
      <c r="I349" s="55">
        <f t="shared" si="34"/>
        <v>712.8</v>
      </c>
      <c r="J349" s="56">
        <f t="shared" si="35"/>
        <v>534.59999999999991</v>
      </c>
      <c r="K349" s="177"/>
    </row>
    <row r="350" spans="1:11" x14ac:dyDescent="0.25">
      <c r="A350" s="24" t="s">
        <v>353</v>
      </c>
      <c r="B350" s="30" t="s">
        <v>1795</v>
      </c>
      <c r="C350" s="266">
        <v>4</v>
      </c>
      <c r="D350" s="108">
        <v>356.4</v>
      </c>
      <c r="E350" s="48">
        <f t="shared" si="30"/>
        <v>178.2</v>
      </c>
      <c r="F350" s="41">
        <f t="shared" si="31"/>
        <v>534.59999999999991</v>
      </c>
      <c r="G350" s="53">
        <f t="shared" si="32"/>
        <v>400.94999999999993</v>
      </c>
      <c r="H350" s="54">
        <f t="shared" si="33"/>
        <v>178.2</v>
      </c>
      <c r="I350" s="55">
        <f t="shared" si="34"/>
        <v>712.8</v>
      </c>
      <c r="J350" s="56">
        <f t="shared" si="35"/>
        <v>534.59999999999991</v>
      </c>
      <c r="K350" s="177"/>
    </row>
    <row r="351" spans="1:11" x14ac:dyDescent="0.25">
      <c r="A351" s="24" t="s">
        <v>354</v>
      </c>
      <c r="B351" s="30" t="s">
        <v>1909</v>
      </c>
      <c r="C351" s="266">
        <v>4</v>
      </c>
      <c r="D351" s="108">
        <v>356.4</v>
      </c>
      <c r="E351" s="48">
        <f t="shared" si="30"/>
        <v>178.2</v>
      </c>
      <c r="F351" s="41">
        <f t="shared" si="31"/>
        <v>534.59999999999991</v>
      </c>
      <c r="G351" s="53">
        <f t="shared" si="32"/>
        <v>400.94999999999993</v>
      </c>
      <c r="H351" s="54">
        <f t="shared" si="33"/>
        <v>178.2</v>
      </c>
      <c r="I351" s="55">
        <f t="shared" si="34"/>
        <v>712.8</v>
      </c>
      <c r="J351" s="56">
        <f t="shared" si="35"/>
        <v>534.59999999999991</v>
      </c>
      <c r="K351" s="177"/>
    </row>
    <row r="352" spans="1:11" x14ac:dyDescent="0.25">
      <c r="A352" s="24" t="s">
        <v>355</v>
      </c>
      <c r="B352" s="30" t="s">
        <v>1910</v>
      </c>
      <c r="C352" s="266">
        <v>4</v>
      </c>
      <c r="D352" s="108">
        <v>356.4</v>
      </c>
      <c r="E352" s="48">
        <f t="shared" si="30"/>
        <v>178.2</v>
      </c>
      <c r="F352" s="41">
        <f t="shared" si="31"/>
        <v>534.59999999999991</v>
      </c>
      <c r="G352" s="53">
        <f t="shared" si="32"/>
        <v>400.94999999999993</v>
      </c>
      <c r="H352" s="54">
        <f t="shared" si="33"/>
        <v>178.2</v>
      </c>
      <c r="I352" s="55">
        <f t="shared" si="34"/>
        <v>712.8</v>
      </c>
      <c r="J352" s="56">
        <f t="shared" si="35"/>
        <v>534.59999999999991</v>
      </c>
      <c r="K352" s="177"/>
    </row>
    <row r="353" spans="1:11" x14ac:dyDescent="0.25">
      <c r="A353" s="24" t="s">
        <v>356</v>
      </c>
      <c r="B353" s="30" t="s">
        <v>1530</v>
      </c>
      <c r="C353" s="266">
        <v>4</v>
      </c>
      <c r="D353" s="108">
        <v>356.4</v>
      </c>
      <c r="E353" s="48">
        <f t="shared" si="30"/>
        <v>178.2</v>
      </c>
      <c r="F353" s="41">
        <f t="shared" si="31"/>
        <v>534.59999999999991</v>
      </c>
      <c r="G353" s="53">
        <f t="shared" si="32"/>
        <v>400.94999999999993</v>
      </c>
      <c r="H353" s="54">
        <f t="shared" si="33"/>
        <v>178.2</v>
      </c>
      <c r="I353" s="55">
        <f t="shared" si="34"/>
        <v>712.8</v>
      </c>
      <c r="J353" s="56">
        <f t="shared" si="35"/>
        <v>534.59999999999991</v>
      </c>
      <c r="K353" s="177"/>
    </row>
    <row r="354" spans="1:11" x14ac:dyDescent="0.25">
      <c r="A354" s="24" t="s">
        <v>357</v>
      </c>
      <c r="B354" s="30" t="s">
        <v>1531</v>
      </c>
      <c r="C354" s="266">
        <v>4</v>
      </c>
      <c r="D354" s="108">
        <v>356.4</v>
      </c>
      <c r="E354" s="48">
        <f t="shared" si="30"/>
        <v>178.2</v>
      </c>
      <c r="F354" s="41">
        <f t="shared" si="31"/>
        <v>534.59999999999991</v>
      </c>
      <c r="G354" s="53">
        <f t="shared" si="32"/>
        <v>400.94999999999993</v>
      </c>
      <c r="H354" s="54">
        <f t="shared" si="33"/>
        <v>178.2</v>
      </c>
      <c r="I354" s="55">
        <f t="shared" si="34"/>
        <v>712.8</v>
      </c>
      <c r="J354" s="56">
        <f t="shared" si="35"/>
        <v>534.59999999999991</v>
      </c>
      <c r="K354" s="177"/>
    </row>
    <row r="355" spans="1:11" x14ac:dyDescent="0.25">
      <c r="A355" s="24" t="s">
        <v>359</v>
      </c>
      <c r="B355" s="30" t="s">
        <v>1531</v>
      </c>
      <c r="C355" s="266">
        <v>4</v>
      </c>
      <c r="D355" s="108">
        <v>356.4</v>
      </c>
      <c r="E355" s="48">
        <f t="shared" si="30"/>
        <v>178.2</v>
      </c>
      <c r="F355" s="41">
        <f t="shared" si="31"/>
        <v>534.59999999999991</v>
      </c>
      <c r="G355" s="53">
        <f t="shared" si="32"/>
        <v>400.94999999999993</v>
      </c>
      <c r="H355" s="54">
        <f t="shared" si="33"/>
        <v>178.2</v>
      </c>
      <c r="I355" s="55">
        <f t="shared" si="34"/>
        <v>712.8</v>
      </c>
      <c r="J355" s="56">
        <f t="shared" si="35"/>
        <v>534.59999999999991</v>
      </c>
      <c r="K355" s="177"/>
    </row>
    <row r="356" spans="1:11" x14ac:dyDescent="0.25">
      <c r="A356" s="24" t="s">
        <v>360</v>
      </c>
      <c r="B356" s="30" t="s">
        <v>1530</v>
      </c>
      <c r="C356" s="266">
        <v>4</v>
      </c>
      <c r="D356" s="108">
        <v>356.4</v>
      </c>
      <c r="E356" s="48">
        <f t="shared" si="30"/>
        <v>178.2</v>
      </c>
      <c r="F356" s="41">
        <f t="shared" si="31"/>
        <v>534.59999999999991</v>
      </c>
      <c r="G356" s="53">
        <f t="shared" si="32"/>
        <v>400.94999999999993</v>
      </c>
      <c r="H356" s="54">
        <f t="shared" si="33"/>
        <v>178.2</v>
      </c>
      <c r="I356" s="55">
        <f t="shared" si="34"/>
        <v>712.8</v>
      </c>
      <c r="J356" s="56">
        <f t="shared" si="35"/>
        <v>534.59999999999991</v>
      </c>
      <c r="K356" s="177"/>
    </row>
    <row r="357" spans="1:11" x14ac:dyDescent="0.25">
      <c r="A357" s="24" t="s">
        <v>362</v>
      </c>
      <c r="B357" s="30" t="s">
        <v>1532</v>
      </c>
      <c r="C357" s="266">
        <v>4</v>
      </c>
      <c r="D357" s="108">
        <v>356.4</v>
      </c>
      <c r="E357" s="48">
        <f t="shared" si="30"/>
        <v>178.2</v>
      </c>
      <c r="F357" s="41">
        <f t="shared" si="31"/>
        <v>534.59999999999991</v>
      </c>
      <c r="G357" s="53">
        <f t="shared" si="32"/>
        <v>400.94999999999993</v>
      </c>
      <c r="H357" s="54">
        <f t="shared" si="33"/>
        <v>178.2</v>
      </c>
      <c r="I357" s="55">
        <f t="shared" si="34"/>
        <v>712.8</v>
      </c>
      <c r="J357" s="56">
        <f t="shared" si="35"/>
        <v>534.59999999999991</v>
      </c>
      <c r="K357" s="177"/>
    </row>
    <row r="358" spans="1:11" x14ac:dyDescent="0.25">
      <c r="A358" s="24" t="s">
        <v>363</v>
      </c>
      <c r="B358" s="30" t="s">
        <v>1532</v>
      </c>
      <c r="C358" s="266">
        <v>4</v>
      </c>
      <c r="D358" s="108">
        <v>356.4</v>
      </c>
      <c r="E358" s="48">
        <f t="shared" si="30"/>
        <v>178.2</v>
      </c>
      <c r="F358" s="41">
        <f t="shared" si="31"/>
        <v>534.59999999999991</v>
      </c>
      <c r="G358" s="53">
        <f t="shared" si="32"/>
        <v>400.94999999999993</v>
      </c>
      <c r="H358" s="54">
        <f t="shared" si="33"/>
        <v>178.2</v>
      </c>
      <c r="I358" s="55">
        <f t="shared" si="34"/>
        <v>712.8</v>
      </c>
      <c r="J358" s="56">
        <f t="shared" si="35"/>
        <v>534.59999999999991</v>
      </c>
      <c r="K358" s="177"/>
    </row>
    <row r="359" spans="1:11" x14ac:dyDescent="0.25">
      <c r="A359" s="24" t="s">
        <v>1163</v>
      </c>
      <c r="B359" s="30" t="s">
        <v>1427</v>
      </c>
      <c r="C359" s="266">
        <v>4</v>
      </c>
      <c r="D359" s="108">
        <v>356.4</v>
      </c>
      <c r="E359" s="48">
        <f t="shared" si="30"/>
        <v>178.2</v>
      </c>
      <c r="F359" s="41">
        <f t="shared" si="31"/>
        <v>534.59999999999991</v>
      </c>
      <c r="G359" s="53">
        <f t="shared" si="32"/>
        <v>400.94999999999993</v>
      </c>
      <c r="H359" s="54">
        <f t="shared" si="33"/>
        <v>178.2</v>
      </c>
      <c r="I359" s="55">
        <f t="shared" si="34"/>
        <v>712.8</v>
      </c>
      <c r="J359" s="56">
        <f t="shared" si="35"/>
        <v>534.59999999999991</v>
      </c>
      <c r="K359" s="177"/>
    </row>
    <row r="360" spans="1:11" x14ac:dyDescent="0.25">
      <c r="A360" s="24" t="s">
        <v>1164</v>
      </c>
      <c r="B360" s="30" t="s">
        <v>2251</v>
      </c>
      <c r="C360" s="266">
        <v>4</v>
      </c>
      <c r="D360" s="108">
        <v>356.4</v>
      </c>
      <c r="E360" s="48">
        <f t="shared" si="30"/>
        <v>178.2</v>
      </c>
      <c r="F360" s="41">
        <f t="shared" si="31"/>
        <v>534.59999999999991</v>
      </c>
      <c r="G360" s="53">
        <f t="shared" si="32"/>
        <v>400.94999999999993</v>
      </c>
      <c r="H360" s="54">
        <f t="shared" si="33"/>
        <v>178.2</v>
      </c>
      <c r="I360" s="55">
        <f t="shared" si="34"/>
        <v>712.8</v>
      </c>
      <c r="J360" s="56">
        <f t="shared" si="35"/>
        <v>534.59999999999991</v>
      </c>
      <c r="K360" s="177"/>
    </row>
    <row r="361" spans="1:11" x14ac:dyDescent="0.25">
      <c r="A361" s="24" t="s">
        <v>1165</v>
      </c>
      <c r="B361" s="30" t="s">
        <v>2303</v>
      </c>
      <c r="C361" s="266">
        <v>4</v>
      </c>
      <c r="D361" s="108">
        <v>356.4</v>
      </c>
      <c r="E361" s="48">
        <f t="shared" si="30"/>
        <v>178.2</v>
      </c>
      <c r="F361" s="41">
        <f t="shared" si="31"/>
        <v>534.59999999999991</v>
      </c>
      <c r="G361" s="53">
        <f t="shared" si="32"/>
        <v>400.94999999999993</v>
      </c>
      <c r="H361" s="54">
        <f t="shared" si="33"/>
        <v>178.2</v>
      </c>
      <c r="I361" s="55">
        <f t="shared" si="34"/>
        <v>712.8</v>
      </c>
      <c r="J361" s="56">
        <f t="shared" si="35"/>
        <v>534.59999999999991</v>
      </c>
      <c r="K361" s="177"/>
    </row>
    <row r="362" spans="1:11" x14ac:dyDescent="0.25">
      <c r="A362" s="24" t="s">
        <v>1166</v>
      </c>
      <c r="B362" s="30" t="s">
        <v>2303</v>
      </c>
      <c r="C362" s="266">
        <v>4</v>
      </c>
      <c r="D362" s="108">
        <v>356.4</v>
      </c>
      <c r="E362" s="48">
        <f t="shared" si="30"/>
        <v>178.2</v>
      </c>
      <c r="F362" s="41">
        <f t="shared" si="31"/>
        <v>534.59999999999991</v>
      </c>
      <c r="G362" s="53">
        <f t="shared" si="32"/>
        <v>400.94999999999993</v>
      </c>
      <c r="H362" s="54">
        <f t="shared" si="33"/>
        <v>178.2</v>
      </c>
      <c r="I362" s="55">
        <f t="shared" si="34"/>
        <v>712.8</v>
      </c>
      <c r="J362" s="56">
        <f t="shared" si="35"/>
        <v>534.59999999999991</v>
      </c>
      <c r="K362" s="177"/>
    </row>
    <row r="363" spans="1:11" x14ac:dyDescent="0.25">
      <c r="A363" s="37"/>
      <c r="B363" s="30"/>
      <c r="C363" s="267"/>
      <c r="D363" s="30"/>
      <c r="E363" s="48"/>
      <c r="F363" s="41"/>
      <c r="G363" s="53"/>
      <c r="H363" s="54"/>
      <c r="I363" s="55"/>
      <c r="J363" s="56"/>
      <c r="K363" s="177"/>
    </row>
    <row r="364" spans="1:11" x14ac:dyDescent="0.25">
      <c r="A364" s="24" t="s">
        <v>365</v>
      </c>
      <c r="B364" s="30" t="s">
        <v>1291</v>
      </c>
      <c r="C364" s="266">
        <v>4</v>
      </c>
      <c r="D364" s="108">
        <v>356.4</v>
      </c>
      <c r="E364" s="48">
        <f t="shared" si="30"/>
        <v>178.2</v>
      </c>
      <c r="F364" s="41">
        <f t="shared" si="31"/>
        <v>534.59999999999991</v>
      </c>
      <c r="G364" s="53">
        <f t="shared" si="32"/>
        <v>400.94999999999993</v>
      </c>
      <c r="H364" s="54">
        <f t="shared" si="33"/>
        <v>178.2</v>
      </c>
      <c r="I364" s="55">
        <f t="shared" si="34"/>
        <v>712.8</v>
      </c>
      <c r="J364" s="56">
        <f t="shared" si="35"/>
        <v>534.59999999999991</v>
      </c>
      <c r="K364" s="177"/>
    </row>
    <row r="365" spans="1:11" x14ac:dyDescent="0.25">
      <c r="A365" s="24" t="s">
        <v>366</v>
      </c>
      <c r="B365" s="30" t="s">
        <v>1746</v>
      </c>
      <c r="C365" s="266">
        <v>4</v>
      </c>
      <c r="D365" s="108">
        <v>356.4</v>
      </c>
      <c r="E365" s="48">
        <f t="shared" si="30"/>
        <v>178.2</v>
      </c>
      <c r="F365" s="41">
        <f t="shared" si="31"/>
        <v>534.59999999999991</v>
      </c>
      <c r="G365" s="53">
        <f t="shared" si="32"/>
        <v>400.94999999999993</v>
      </c>
      <c r="H365" s="54">
        <f t="shared" si="33"/>
        <v>178.2</v>
      </c>
      <c r="I365" s="55">
        <f t="shared" si="34"/>
        <v>712.8</v>
      </c>
      <c r="J365" s="56">
        <f t="shared" si="35"/>
        <v>534.59999999999991</v>
      </c>
      <c r="K365" s="177"/>
    </row>
    <row r="366" spans="1:11" x14ac:dyDescent="0.25">
      <c r="A366" s="24" t="s">
        <v>367</v>
      </c>
      <c r="B366" s="30" t="s">
        <v>1745</v>
      </c>
      <c r="C366" s="266">
        <v>4</v>
      </c>
      <c r="D366" s="108">
        <v>356.4</v>
      </c>
      <c r="E366" s="48">
        <f t="shared" si="30"/>
        <v>178.2</v>
      </c>
      <c r="F366" s="41">
        <f t="shared" si="31"/>
        <v>534.59999999999991</v>
      </c>
      <c r="G366" s="53">
        <f t="shared" si="32"/>
        <v>400.94999999999993</v>
      </c>
      <c r="H366" s="54">
        <f t="shared" si="33"/>
        <v>178.2</v>
      </c>
      <c r="I366" s="55">
        <f t="shared" si="34"/>
        <v>712.8</v>
      </c>
      <c r="J366" s="56">
        <f t="shared" si="35"/>
        <v>534.59999999999991</v>
      </c>
      <c r="K366" s="177"/>
    </row>
    <row r="367" spans="1:11" x14ac:dyDescent="0.25">
      <c r="A367" s="24" t="s">
        <v>368</v>
      </c>
      <c r="B367" s="30" t="s">
        <v>1745</v>
      </c>
      <c r="C367" s="266">
        <v>4</v>
      </c>
      <c r="D367" s="108">
        <v>356.4</v>
      </c>
      <c r="E367" s="48">
        <f t="shared" si="30"/>
        <v>178.2</v>
      </c>
      <c r="F367" s="41">
        <f t="shared" si="31"/>
        <v>534.59999999999991</v>
      </c>
      <c r="G367" s="53">
        <f t="shared" si="32"/>
        <v>400.94999999999993</v>
      </c>
      <c r="H367" s="54">
        <f t="shared" si="33"/>
        <v>178.2</v>
      </c>
      <c r="I367" s="55">
        <f t="shared" si="34"/>
        <v>712.8</v>
      </c>
      <c r="J367" s="56">
        <f t="shared" si="35"/>
        <v>534.59999999999991</v>
      </c>
      <c r="K367" s="177"/>
    </row>
    <row r="368" spans="1:11" x14ac:dyDescent="0.25">
      <c r="A368" s="163"/>
      <c r="B368" s="164"/>
      <c r="C368" s="267"/>
      <c r="D368" s="108"/>
      <c r="E368" s="48"/>
      <c r="F368" s="41"/>
      <c r="G368" s="53"/>
      <c r="H368" s="54"/>
      <c r="I368" s="55"/>
      <c r="J368" s="56"/>
      <c r="K368" s="177"/>
    </row>
    <row r="369" spans="1:11" x14ac:dyDescent="0.25">
      <c r="A369" s="24" t="s">
        <v>373</v>
      </c>
      <c r="B369" s="30" t="s">
        <v>1793</v>
      </c>
      <c r="C369" s="266">
        <v>4</v>
      </c>
      <c r="D369" s="108">
        <v>379.8</v>
      </c>
      <c r="E369" s="48">
        <f t="shared" si="30"/>
        <v>189.9</v>
      </c>
      <c r="F369" s="41">
        <f t="shared" si="31"/>
        <v>569.70000000000005</v>
      </c>
      <c r="G369" s="53">
        <f t="shared" si="32"/>
        <v>427.27500000000003</v>
      </c>
      <c r="H369" s="54">
        <f t="shared" si="33"/>
        <v>189.9</v>
      </c>
      <c r="I369" s="55">
        <f t="shared" si="34"/>
        <v>759.6</v>
      </c>
      <c r="J369" s="56">
        <f t="shared" si="35"/>
        <v>569.70000000000005</v>
      </c>
      <c r="K369" s="177"/>
    </row>
    <row r="370" spans="1:11" x14ac:dyDescent="0.25">
      <c r="A370" s="24" t="s">
        <v>375</v>
      </c>
      <c r="B370" s="30" t="s">
        <v>1793</v>
      </c>
      <c r="C370" s="266">
        <v>4</v>
      </c>
      <c r="D370" s="108">
        <v>379.8</v>
      </c>
      <c r="E370" s="48">
        <f t="shared" si="30"/>
        <v>189.9</v>
      </c>
      <c r="F370" s="41">
        <f t="shared" si="31"/>
        <v>569.70000000000005</v>
      </c>
      <c r="G370" s="53">
        <f t="shared" si="32"/>
        <v>427.27500000000003</v>
      </c>
      <c r="H370" s="54">
        <f t="shared" si="33"/>
        <v>189.9</v>
      </c>
      <c r="I370" s="55">
        <f t="shared" si="34"/>
        <v>759.6</v>
      </c>
      <c r="J370" s="56">
        <f t="shared" si="35"/>
        <v>569.70000000000005</v>
      </c>
      <c r="K370" s="177"/>
    </row>
    <row r="371" spans="1:11" x14ac:dyDescent="0.25">
      <c r="A371" s="24" t="s">
        <v>377</v>
      </c>
      <c r="B371" s="30" t="s">
        <v>1712</v>
      </c>
      <c r="C371" s="266">
        <v>4</v>
      </c>
      <c r="D371" s="108">
        <v>379.8</v>
      </c>
      <c r="E371" s="48">
        <f t="shared" si="30"/>
        <v>189.9</v>
      </c>
      <c r="F371" s="41">
        <f t="shared" si="31"/>
        <v>569.70000000000005</v>
      </c>
      <c r="G371" s="53">
        <f t="shared" si="32"/>
        <v>427.27500000000003</v>
      </c>
      <c r="H371" s="54">
        <f t="shared" si="33"/>
        <v>189.9</v>
      </c>
      <c r="I371" s="55">
        <f t="shared" si="34"/>
        <v>759.6</v>
      </c>
      <c r="J371" s="56">
        <f t="shared" si="35"/>
        <v>569.70000000000005</v>
      </c>
      <c r="K371" s="177"/>
    </row>
    <row r="372" spans="1:11" x14ac:dyDescent="0.25">
      <c r="A372" s="24" t="s">
        <v>1046</v>
      </c>
      <c r="B372" s="30" t="s">
        <v>1712</v>
      </c>
      <c r="C372" s="266">
        <v>4</v>
      </c>
      <c r="D372" s="108">
        <v>379.8</v>
      </c>
      <c r="E372" s="48">
        <f t="shared" si="30"/>
        <v>189.9</v>
      </c>
      <c r="F372" s="41">
        <f t="shared" si="31"/>
        <v>569.70000000000005</v>
      </c>
      <c r="G372" s="53">
        <f t="shared" si="32"/>
        <v>427.27500000000003</v>
      </c>
      <c r="H372" s="54">
        <f t="shared" si="33"/>
        <v>189.9</v>
      </c>
      <c r="I372" s="55">
        <f t="shared" si="34"/>
        <v>759.6</v>
      </c>
      <c r="J372" s="56">
        <f t="shared" si="35"/>
        <v>569.70000000000005</v>
      </c>
      <c r="K372" s="177"/>
    </row>
    <row r="373" spans="1:11" x14ac:dyDescent="0.25">
      <c r="A373" s="24" t="s">
        <v>1167</v>
      </c>
      <c r="B373" s="30" t="s">
        <v>2026</v>
      </c>
      <c r="C373" s="266">
        <v>4</v>
      </c>
      <c r="D373" s="108">
        <v>379.8</v>
      </c>
      <c r="E373" s="48">
        <f t="shared" si="30"/>
        <v>189.9</v>
      </c>
      <c r="F373" s="41">
        <f t="shared" si="31"/>
        <v>569.70000000000005</v>
      </c>
      <c r="G373" s="53">
        <f t="shared" si="32"/>
        <v>427.27500000000003</v>
      </c>
      <c r="H373" s="54">
        <f t="shared" si="33"/>
        <v>189.9</v>
      </c>
      <c r="I373" s="55">
        <f t="shared" si="34"/>
        <v>759.6</v>
      </c>
      <c r="J373" s="56">
        <f t="shared" si="35"/>
        <v>569.70000000000005</v>
      </c>
      <c r="K373" s="177"/>
    </row>
    <row r="374" spans="1:11" x14ac:dyDescent="0.25">
      <c r="A374" s="24" t="s">
        <v>1168</v>
      </c>
      <c r="B374" s="30" t="s">
        <v>2026</v>
      </c>
      <c r="C374" s="266">
        <v>4</v>
      </c>
      <c r="D374" s="108">
        <v>379.8</v>
      </c>
      <c r="E374" s="48">
        <f t="shared" si="30"/>
        <v>189.9</v>
      </c>
      <c r="F374" s="41">
        <f t="shared" si="31"/>
        <v>569.70000000000005</v>
      </c>
      <c r="G374" s="53">
        <f t="shared" si="32"/>
        <v>427.27500000000003</v>
      </c>
      <c r="H374" s="54">
        <f t="shared" si="33"/>
        <v>189.9</v>
      </c>
      <c r="I374" s="55">
        <f t="shared" si="34"/>
        <v>759.6</v>
      </c>
      <c r="J374" s="56">
        <f t="shared" si="35"/>
        <v>569.70000000000005</v>
      </c>
      <c r="K374" s="177"/>
    </row>
    <row r="375" spans="1:11" x14ac:dyDescent="0.25">
      <c r="A375" s="24" t="s">
        <v>1169</v>
      </c>
      <c r="B375" s="30" t="s">
        <v>1675</v>
      </c>
      <c r="C375" s="266">
        <v>4</v>
      </c>
      <c r="D375" s="108">
        <v>379.8</v>
      </c>
      <c r="E375" s="48">
        <f t="shared" si="30"/>
        <v>189.9</v>
      </c>
      <c r="F375" s="41">
        <f t="shared" si="31"/>
        <v>569.70000000000005</v>
      </c>
      <c r="G375" s="53">
        <f t="shared" si="32"/>
        <v>427.27500000000003</v>
      </c>
      <c r="H375" s="54">
        <f t="shared" si="33"/>
        <v>189.9</v>
      </c>
      <c r="I375" s="55">
        <f t="shared" si="34"/>
        <v>759.6</v>
      </c>
      <c r="J375" s="56">
        <f t="shared" si="35"/>
        <v>569.70000000000005</v>
      </c>
      <c r="K375" s="177"/>
    </row>
    <row r="376" spans="1:11" x14ac:dyDescent="0.25">
      <c r="A376" s="24" t="s">
        <v>1170</v>
      </c>
      <c r="B376" s="30" t="s">
        <v>1675</v>
      </c>
      <c r="C376" s="266">
        <v>4</v>
      </c>
      <c r="D376" s="108">
        <v>379.8</v>
      </c>
      <c r="E376" s="48">
        <f t="shared" si="30"/>
        <v>189.9</v>
      </c>
      <c r="F376" s="41">
        <f t="shared" si="31"/>
        <v>569.70000000000005</v>
      </c>
      <c r="G376" s="53">
        <f t="shared" si="32"/>
        <v>427.27500000000003</v>
      </c>
      <c r="H376" s="54">
        <f t="shared" si="33"/>
        <v>189.9</v>
      </c>
      <c r="I376" s="55">
        <f t="shared" si="34"/>
        <v>759.6</v>
      </c>
      <c r="J376" s="56">
        <f t="shared" si="35"/>
        <v>569.70000000000005</v>
      </c>
      <c r="K376" s="177"/>
    </row>
    <row r="377" spans="1:11" x14ac:dyDescent="0.25">
      <c r="A377" s="24" t="s">
        <v>1171</v>
      </c>
      <c r="B377" s="30" t="s">
        <v>1293</v>
      </c>
      <c r="C377" s="266">
        <v>4</v>
      </c>
      <c r="D377" s="108">
        <v>379.8</v>
      </c>
      <c r="E377" s="48">
        <f t="shared" si="30"/>
        <v>189.9</v>
      </c>
      <c r="F377" s="41">
        <f t="shared" si="31"/>
        <v>569.70000000000005</v>
      </c>
      <c r="G377" s="53">
        <f t="shared" si="32"/>
        <v>427.27500000000003</v>
      </c>
      <c r="H377" s="54">
        <f t="shared" si="33"/>
        <v>189.9</v>
      </c>
      <c r="I377" s="55">
        <f t="shared" si="34"/>
        <v>759.6</v>
      </c>
      <c r="J377" s="56">
        <f t="shared" si="35"/>
        <v>569.70000000000005</v>
      </c>
      <c r="K377" s="177"/>
    </row>
    <row r="378" spans="1:11" x14ac:dyDescent="0.25">
      <c r="A378" s="24" t="s">
        <v>1172</v>
      </c>
      <c r="B378" s="30" t="s">
        <v>1293</v>
      </c>
      <c r="C378" s="266">
        <v>4</v>
      </c>
      <c r="D378" s="108">
        <v>379.8</v>
      </c>
      <c r="E378" s="48">
        <f t="shared" si="30"/>
        <v>189.9</v>
      </c>
      <c r="F378" s="41">
        <f t="shared" si="31"/>
        <v>569.70000000000005</v>
      </c>
      <c r="G378" s="53">
        <f t="shared" si="32"/>
        <v>427.27500000000003</v>
      </c>
      <c r="H378" s="54">
        <f t="shared" si="33"/>
        <v>189.9</v>
      </c>
      <c r="I378" s="55">
        <f t="shared" si="34"/>
        <v>759.6</v>
      </c>
      <c r="J378" s="56">
        <f t="shared" si="35"/>
        <v>569.70000000000005</v>
      </c>
      <c r="K378" s="177"/>
    </row>
    <row r="379" spans="1:11" x14ac:dyDescent="0.25">
      <c r="A379" s="24" t="s">
        <v>1173</v>
      </c>
      <c r="B379" s="30" t="s">
        <v>2121</v>
      </c>
      <c r="C379" s="266">
        <v>4</v>
      </c>
      <c r="D379" s="108">
        <v>379.8</v>
      </c>
      <c r="E379" s="48">
        <f t="shared" si="30"/>
        <v>189.9</v>
      </c>
      <c r="F379" s="41">
        <f t="shared" si="31"/>
        <v>569.70000000000005</v>
      </c>
      <c r="G379" s="53">
        <f t="shared" si="32"/>
        <v>427.27500000000003</v>
      </c>
      <c r="H379" s="54">
        <f t="shared" si="33"/>
        <v>189.9</v>
      </c>
      <c r="I379" s="55">
        <f t="shared" si="34"/>
        <v>759.6</v>
      </c>
      <c r="J379" s="56">
        <f t="shared" si="35"/>
        <v>569.70000000000005</v>
      </c>
      <c r="K379" s="177"/>
    </row>
    <row r="380" spans="1:11" x14ac:dyDescent="0.25">
      <c r="A380" s="24" t="s">
        <v>1174</v>
      </c>
      <c r="B380" s="30" t="s">
        <v>2121</v>
      </c>
      <c r="C380" s="266">
        <v>4</v>
      </c>
      <c r="D380" s="108">
        <v>379.8</v>
      </c>
      <c r="E380" s="48">
        <f t="shared" si="30"/>
        <v>189.9</v>
      </c>
      <c r="F380" s="41">
        <f t="shared" si="31"/>
        <v>569.70000000000005</v>
      </c>
      <c r="G380" s="53">
        <f t="shared" si="32"/>
        <v>427.27500000000003</v>
      </c>
      <c r="H380" s="54">
        <f t="shared" si="33"/>
        <v>189.9</v>
      </c>
      <c r="I380" s="55">
        <f t="shared" si="34"/>
        <v>759.6</v>
      </c>
      <c r="J380" s="56">
        <f t="shared" si="35"/>
        <v>569.70000000000005</v>
      </c>
      <c r="K380" s="177"/>
    </row>
    <row r="381" spans="1:11" x14ac:dyDescent="0.25">
      <c r="A381" s="24" t="s">
        <v>1175</v>
      </c>
      <c r="B381" s="30" t="s">
        <v>1778</v>
      </c>
      <c r="C381" s="266">
        <v>4</v>
      </c>
      <c r="D381" s="108">
        <v>379.8</v>
      </c>
      <c r="E381" s="48">
        <f t="shared" si="30"/>
        <v>189.9</v>
      </c>
      <c r="F381" s="41">
        <f t="shared" si="31"/>
        <v>569.70000000000005</v>
      </c>
      <c r="G381" s="53">
        <f t="shared" si="32"/>
        <v>427.27500000000003</v>
      </c>
      <c r="H381" s="54">
        <f t="shared" si="33"/>
        <v>189.9</v>
      </c>
      <c r="I381" s="55">
        <f t="shared" si="34"/>
        <v>759.6</v>
      </c>
      <c r="J381" s="56">
        <f t="shared" si="35"/>
        <v>569.70000000000005</v>
      </c>
      <c r="K381" s="177"/>
    </row>
    <row r="382" spans="1:11" x14ac:dyDescent="0.25">
      <c r="A382" s="24" t="s">
        <v>1176</v>
      </c>
      <c r="B382" s="30" t="s">
        <v>1778</v>
      </c>
      <c r="C382" s="266">
        <v>4</v>
      </c>
      <c r="D382" s="108">
        <v>379.8</v>
      </c>
      <c r="E382" s="48">
        <f t="shared" si="30"/>
        <v>189.9</v>
      </c>
      <c r="F382" s="41">
        <f t="shared" si="31"/>
        <v>569.70000000000005</v>
      </c>
      <c r="G382" s="53">
        <f t="shared" si="32"/>
        <v>427.27500000000003</v>
      </c>
      <c r="H382" s="54">
        <f t="shared" si="33"/>
        <v>189.9</v>
      </c>
      <c r="I382" s="55">
        <f t="shared" si="34"/>
        <v>759.6</v>
      </c>
      <c r="J382" s="56">
        <f t="shared" si="35"/>
        <v>569.70000000000005</v>
      </c>
      <c r="K382" s="177"/>
    </row>
    <row r="383" spans="1:11" x14ac:dyDescent="0.25">
      <c r="A383" s="159"/>
      <c r="B383" s="30"/>
      <c r="C383" s="267"/>
      <c r="D383" s="108"/>
      <c r="E383" s="48"/>
      <c r="F383" s="41"/>
      <c r="G383" s="53"/>
      <c r="H383" s="54"/>
      <c r="I383" s="55"/>
      <c r="J383" s="56"/>
      <c r="K383" s="177"/>
    </row>
    <row r="384" spans="1:11" x14ac:dyDescent="0.25">
      <c r="A384" s="24" t="s">
        <v>379</v>
      </c>
      <c r="B384" s="30" t="s">
        <v>2094</v>
      </c>
      <c r="C384" s="266">
        <v>4</v>
      </c>
      <c r="D384" s="108">
        <v>356.4</v>
      </c>
      <c r="E384" s="48">
        <f t="shared" si="30"/>
        <v>178.2</v>
      </c>
      <c r="F384" s="41">
        <f t="shared" si="31"/>
        <v>534.59999999999991</v>
      </c>
      <c r="G384" s="53">
        <f t="shared" si="32"/>
        <v>400.94999999999993</v>
      </c>
      <c r="H384" s="54">
        <f t="shared" si="33"/>
        <v>178.2</v>
      </c>
      <c r="I384" s="55">
        <f t="shared" si="34"/>
        <v>712.8</v>
      </c>
      <c r="J384" s="56">
        <f t="shared" si="35"/>
        <v>534.59999999999991</v>
      </c>
      <c r="K384" s="177"/>
    </row>
    <row r="385" spans="1:11" x14ac:dyDescent="0.25">
      <c r="A385" s="24" t="s">
        <v>380</v>
      </c>
      <c r="B385" s="30" t="s">
        <v>2094</v>
      </c>
      <c r="C385" s="266">
        <v>4</v>
      </c>
      <c r="D385" s="108">
        <v>356.4</v>
      </c>
      <c r="E385" s="48">
        <f t="shared" si="30"/>
        <v>178.2</v>
      </c>
      <c r="F385" s="41">
        <f t="shared" si="31"/>
        <v>534.59999999999991</v>
      </c>
      <c r="G385" s="53">
        <f t="shared" si="32"/>
        <v>400.94999999999993</v>
      </c>
      <c r="H385" s="54">
        <f t="shared" si="33"/>
        <v>178.2</v>
      </c>
      <c r="I385" s="55">
        <f t="shared" si="34"/>
        <v>712.8</v>
      </c>
      <c r="J385" s="56">
        <f t="shared" si="35"/>
        <v>534.59999999999991</v>
      </c>
      <c r="K385" s="177"/>
    </row>
    <row r="386" spans="1:11" x14ac:dyDescent="0.25">
      <c r="A386" s="24" t="s">
        <v>381</v>
      </c>
      <c r="B386" s="30" t="s">
        <v>1802</v>
      </c>
      <c r="C386" s="266">
        <v>4</v>
      </c>
      <c r="D386" s="108">
        <v>356.4</v>
      </c>
      <c r="E386" s="48">
        <f t="shared" si="30"/>
        <v>178.2</v>
      </c>
      <c r="F386" s="41">
        <f t="shared" si="31"/>
        <v>534.59999999999991</v>
      </c>
      <c r="G386" s="53">
        <f t="shared" si="32"/>
        <v>400.94999999999993</v>
      </c>
      <c r="H386" s="54">
        <f t="shared" si="33"/>
        <v>178.2</v>
      </c>
      <c r="I386" s="55">
        <f t="shared" si="34"/>
        <v>712.8</v>
      </c>
      <c r="J386" s="56">
        <f t="shared" si="35"/>
        <v>534.59999999999991</v>
      </c>
      <c r="K386" s="177"/>
    </row>
    <row r="387" spans="1:11" x14ac:dyDescent="0.25">
      <c r="A387" s="24" t="s">
        <v>383</v>
      </c>
      <c r="B387" s="30" t="s">
        <v>1802</v>
      </c>
      <c r="C387" s="266">
        <v>4</v>
      </c>
      <c r="D387" s="108">
        <v>356.4</v>
      </c>
      <c r="E387" s="48">
        <f t="shared" ref="E387:E450" si="36">D387*50%</f>
        <v>178.2</v>
      </c>
      <c r="F387" s="41">
        <f t="shared" ref="F387:F450" si="37">D387+E387</f>
        <v>534.59999999999991</v>
      </c>
      <c r="G387" s="53">
        <f t="shared" ref="G387:G450" si="38">F387-(F387*25%)</f>
        <v>400.94999999999993</v>
      </c>
      <c r="H387" s="54">
        <f t="shared" ref="H387:H450" si="39">D387*50%</f>
        <v>178.2</v>
      </c>
      <c r="I387" s="55">
        <f t="shared" ref="I387:I450" si="40">D387+(H387*2)</f>
        <v>712.8</v>
      </c>
      <c r="J387" s="56">
        <f t="shared" ref="J387:J450" si="41">I387-(I387*25%)</f>
        <v>534.59999999999991</v>
      </c>
      <c r="K387" s="177"/>
    </row>
    <row r="388" spans="1:11" x14ac:dyDescent="0.25">
      <c r="A388" s="24" t="s">
        <v>384</v>
      </c>
      <c r="B388" s="30" t="s">
        <v>1463</v>
      </c>
      <c r="C388" s="266">
        <v>4</v>
      </c>
      <c r="D388" s="108">
        <v>356.4</v>
      </c>
      <c r="E388" s="48">
        <f t="shared" si="36"/>
        <v>178.2</v>
      </c>
      <c r="F388" s="41">
        <f t="shared" si="37"/>
        <v>534.59999999999991</v>
      </c>
      <c r="G388" s="53">
        <f t="shared" si="38"/>
        <v>400.94999999999993</v>
      </c>
      <c r="H388" s="54">
        <f t="shared" si="39"/>
        <v>178.2</v>
      </c>
      <c r="I388" s="55">
        <f t="shared" si="40"/>
        <v>712.8</v>
      </c>
      <c r="J388" s="56">
        <f t="shared" si="41"/>
        <v>534.59999999999991</v>
      </c>
      <c r="K388" s="177"/>
    </row>
    <row r="389" spans="1:11" x14ac:dyDescent="0.25">
      <c r="A389" s="24" t="s">
        <v>385</v>
      </c>
      <c r="B389" s="30" t="s">
        <v>1464</v>
      </c>
      <c r="C389" s="266">
        <v>4</v>
      </c>
      <c r="D389" s="108">
        <v>356.4</v>
      </c>
      <c r="E389" s="48">
        <f t="shared" si="36"/>
        <v>178.2</v>
      </c>
      <c r="F389" s="41">
        <f t="shared" si="37"/>
        <v>534.59999999999991</v>
      </c>
      <c r="G389" s="53">
        <f t="shared" si="38"/>
        <v>400.94999999999993</v>
      </c>
      <c r="H389" s="54">
        <f t="shared" si="39"/>
        <v>178.2</v>
      </c>
      <c r="I389" s="55">
        <f t="shared" si="40"/>
        <v>712.8</v>
      </c>
      <c r="J389" s="56">
        <f t="shared" si="41"/>
        <v>534.59999999999991</v>
      </c>
      <c r="K389" s="177"/>
    </row>
    <row r="390" spans="1:11" x14ac:dyDescent="0.25">
      <c r="A390" s="24" t="s">
        <v>1177</v>
      </c>
      <c r="B390" s="30" t="s">
        <v>1465</v>
      </c>
      <c r="C390" s="266">
        <v>4</v>
      </c>
      <c r="D390" s="108">
        <v>356.4</v>
      </c>
      <c r="E390" s="48">
        <f t="shared" si="36"/>
        <v>178.2</v>
      </c>
      <c r="F390" s="41">
        <f t="shared" si="37"/>
        <v>534.59999999999991</v>
      </c>
      <c r="G390" s="53">
        <f t="shared" si="38"/>
        <v>400.94999999999993</v>
      </c>
      <c r="H390" s="54">
        <f t="shared" si="39"/>
        <v>178.2</v>
      </c>
      <c r="I390" s="55">
        <f t="shared" si="40"/>
        <v>712.8</v>
      </c>
      <c r="J390" s="56">
        <f t="shared" si="41"/>
        <v>534.59999999999991</v>
      </c>
      <c r="K390" s="177"/>
    </row>
    <row r="391" spans="1:11" x14ac:dyDescent="0.25">
      <c r="A391" s="159"/>
      <c r="B391" s="30"/>
      <c r="C391" s="267"/>
      <c r="D391" s="108"/>
      <c r="E391" s="48"/>
      <c r="F391" s="41"/>
      <c r="G391" s="53"/>
      <c r="H391" s="54"/>
      <c r="I391" s="55"/>
      <c r="J391" s="56"/>
      <c r="K391" s="177"/>
    </row>
    <row r="392" spans="1:11" x14ac:dyDescent="0.25">
      <c r="A392" s="24" t="s">
        <v>387</v>
      </c>
      <c r="B392" s="30" t="s">
        <v>821</v>
      </c>
      <c r="C392" s="266">
        <v>4</v>
      </c>
      <c r="D392" s="108">
        <v>356.4</v>
      </c>
      <c r="E392" s="48">
        <f t="shared" si="36"/>
        <v>178.2</v>
      </c>
      <c r="F392" s="41">
        <f t="shared" si="37"/>
        <v>534.59999999999991</v>
      </c>
      <c r="G392" s="53">
        <f t="shared" si="38"/>
        <v>400.94999999999993</v>
      </c>
      <c r="H392" s="54">
        <f t="shared" si="39"/>
        <v>178.2</v>
      </c>
      <c r="I392" s="55">
        <f t="shared" si="40"/>
        <v>712.8</v>
      </c>
      <c r="J392" s="56">
        <f t="shared" si="41"/>
        <v>534.59999999999991</v>
      </c>
      <c r="K392" s="177"/>
    </row>
    <row r="393" spans="1:11" x14ac:dyDescent="0.25">
      <c r="A393" s="24" t="s">
        <v>388</v>
      </c>
      <c r="B393" s="30" t="s">
        <v>1414</v>
      </c>
      <c r="C393" s="266">
        <v>4</v>
      </c>
      <c r="D393" s="108">
        <v>356.4</v>
      </c>
      <c r="E393" s="48">
        <f t="shared" si="36"/>
        <v>178.2</v>
      </c>
      <c r="F393" s="41">
        <f t="shared" si="37"/>
        <v>534.59999999999991</v>
      </c>
      <c r="G393" s="53">
        <f t="shared" si="38"/>
        <v>400.94999999999993</v>
      </c>
      <c r="H393" s="54">
        <f t="shared" si="39"/>
        <v>178.2</v>
      </c>
      <c r="I393" s="55">
        <f t="shared" si="40"/>
        <v>712.8</v>
      </c>
      <c r="J393" s="56">
        <f t="shared" si="41"/>
        <v>534.59999999999991</v>
      </c>
      <c r="K393" s="177"/>
    </row>
    <row r="394" spans="1:11" x14ac:dyDescent="0.25">
      <c r="A394" s="24" t="s">
        <v>389</v>
      </c>
      <c r="B394" s="30" t="s">
        <v>2295</v>
      </c>
      <c r="C394" s="266">
        <v>4</v>
      </c>
      <c r="D394" s="108">
        <v>356.4</v>
      </c>
      <c r="E394" s="48">
        <f t="shared" si="36"/>
        <v>178.2</v>
      </c>
      <c r="F394" s="41">
        <f t="shared" si="37"/>
        <v>534.59999999999991</v>
      </c>
      <c r="G394" s="53">
        <f t="shared" si="38"/>
        <v>400.94999999999993</v>
      </c>
      <c r="H394" s="54">
        <f t="shared" si="39"/>
        <v>178.2</v>
      </c>
      <c r="I394" s="55">
        <f t="shared" si="40"/>
        <v>712.8</v>
      </c>
      <c r="J394" s="56">
        <f t="shared" si="41"/>
        <v>534.59999999999991</v>
      </c>
      <c r="K394" s="177"/>
    </row>
    <row r="395" spans="1:11" x14ac:dyDescent="0.25">
      <c r="A395" s="24" t="s">
        <v>390</v>
      </c>
      <c r="B395" s="30" t="s">
        <v>2295</v>
      </c>
      <c r="C395" s="266">
        <v>4</v>
      </c>
      <c r="D395" s="108">
        <v>356.4</v>
      </c>
      <c r="E395" s="48">
        <f t="shared" si="36"/>
        <v>178.2</v>
      </c>
      <c r="F395" s="41">
        <f t="shared" si="37"/>
        <v>534.59999999999991</v>
      </c>
      <c r="G395" s="53">
        <f t="shared" si="38"/>
        <v>400.94999999999993</v>
      </c>
      <c r="H395" s="54">
        <f t="shared" si="39"/>
        <v>178.2</v>
      </c>
      <c r="I395" s="55">
        <f t="shared" si="40"/>
        <v>712.8</v>
      </c>
      <c r="J395" s="56">
        <f t="shared" si="41"/>
        <v>534.59999999999991</v>
      </c>
      <c r="K395" s="177"/>
    </row>
    <row r="396" spans="1:11" x14ac:dyDescent="0.25">
      <c r="A396" s="24" t="s">
        <v>391</v>
      </c>
      <c r="B396" s="30" t="s">
        <v>2070</v>
      </c>
      <c r="C396" s="266">
        <v>4</v>
      </c>
      <c r="D396" s="108">
        <v>356.4</v>
      </c>
      <c r="E396" s="48">
        <f t="shared" si="36"/>
        <v>178.2</v>
      </c>
      <c r="F396" s="41">
        <f t="shared" si="37"/>
        <v>534.59999999999991</v>
      </c>
      <c r="G396" s="53">
        <f t="shared" si="38"/>
        <v>400.94999999999993</v>
      </c>
      <c r="H396" s="54">
        <f t="shared" si="39"/>
        <v>178.2</v>
      </c>
      <c r="I396" s="55">
        <f t="shared" si="40"/>
        <v>712.8</v>
      </c>
      <c r="J396" s="56">
        <f t="shared" si="41"/>
        <v>534.59999999999991</v>
      </c>
      <c r="K396" s="177"/>
    </row>
    <row r="397" spans="1:11" x14ac:dyDescent="0.25">
      <c r="A397" s="24" t="s">
        <v>392</v>
      </c>
      <c r="B397" s="30" t="s">
        <v>2070</v>
      </c>
      <c r="C397" s="266">
        <v>4</v>
      </c>
      <c r="D397" s="108">
        <v>356.4</v>
      </c>
      <c r="E397" s="48">
        <f t="shared" si="36"/>
        <v>178.2</v>
      </c>
      <c r="F397" s="41">
        <f t="shared" si="37"/>
        <v>534.59999999999991</v>
      </c>
      <c r="G397" s="53">
        <f t="shared" si="38"/>
        <v>400.94999999999993</v>
      </c>
      <c r="H397" s="54">
        <f t="shared" si="39"/>
        <v>178.2</v>
      </c>
      <c r="I397" s="55">
        <f t="shared" si="40"/>
        <v>712.8</v>
      </c>
      <c r="J397" s="56">
        <f t="shared" si="41"/>
        <v>534.59999999999991</v>
      </c>
      <c r="K397" s="177"/>
    </row>
    <row r="398" spans="1:11" x14ac:dyDescent="0.25">
      <c r="A398" s="24" t="s">
        <v>394</v>
      </c>
      <c r="B398" s="30" t="s">
        <v>1659</v>
      </c>
      <c r="C398" s="266">
        <v>4</v>
      </c>
      <c r="D398" s="108">
        <v>356.4</v>
      </c>
      <c r="E398" s="48">
        <f t="shared" si="36"/>
        <v>178.2</v>
      </c>
      <c r="F398" s="41">
        <f t="shared" si="37"/>
        <v>534.59999999999991</v>
      </c>
      <c r="G398" s="53">
        <f t="shared" si="38"/>
        <v>400.94999999999993</v>
      </c>
      <c r="H398" s="54">
        <f t="shared" si="39"/>
        <v>178.2</v>
      </c>
      <c r="I398" s="55">
        <f t="shared" si="40"/>
        <v>712.8</v>
      </c>
      <c r="J398" s="56">
        <f t="shared" si="41"/>
        <v>534.59999999999991</v>
      </c>
      <c r="K398" s="177"/>
    </row>
    <row r="399" spans="1:11" x14ac:dyDescent="0.25">
      <c r="A399" s="159"/>
      <c r="B399" s="30"/>
      <c r="C399" s="267"/>
      <c r="D399" s="108"/>
      <c r="E399" s="48"/>
      <c r="F399" s="41"/>
      <c r="G399" s="53"/>
      <c r="H399" s="54"/>
      <c r="I399" s="55"/>
      <c r="J399" s="56"/>
      <c r="K399" s="177"/>
    </row>
    <row r="400" spans="1:11" x14ac:dyDescent="0.25">
      <c r="A400" s="24" t="s">
        <v>399</v>
      </c>
      <c r="B400" s="30" t="s">
        <v>2090</v>
      </c>
      <c r="C400" s="266">
        <v>4</v>
      </c>
      <c r="D400" s="108">
        <v>356.4</v>
      </c>
      <c r="E400" s="48">
        <f t="shared" si="36"/>
        <v>178.2</v>
      </c>
      <c r="F400" s="41">
        <f t="shared" si="37"/>
        <v>534.59999999999991</v>
      </c>
      <c r="G400" s="53">
        <f t="shared" si="38"/>
        <v>400.94999999999993</v>
      </c>
      <c r="H400" s="54">
        <f t="shared" si="39"/>
        <v>178.2</v>
      </c>
      <c r="I400" s="55">
        <f t="shared" si="40"/>
        <v>712.8</v>
      </c>
      <c r="J400" s="56">
        <f t="shared" si="41"/>
        <v>534.59999999999991</v>
      </c>
      <c r="K400" s="177"/>
    </row>
    <row r="401" spans="1:11" x14ac:dyDescent="0.25">
      <c r="A401" s="24" t="s">
        <v>401</v>
      </c>
      <c r="B401" s="30" t="s">
        <v>2090</v>
      </c>
      <c r="C401" s="266">
        <v>4</v>
      </c>
      <c r="D401" s="108">
        <v>356.4</v>
      </c>
      <c r="E401" s="48">
        <f t="shared" si="36"/>
        <v>178.2</v>
      </c>
      <c r="F401" s="41">
        <f t="shared" si="37"/>
        <v>534.59999999999991</v>
      </c>
      <c r="G401" s="53">
        <f t="shared" si="38"/>
        <v>400.94999999999993</v>
      </c>
      <c r="H401" s="54">
        <f t="shared" si="39"/>
        <v>178.2</v>
      </c>
      <c r="I401" s="55">
        <f t="shared" si="40"/>
        <v>712.8</v>
      </c>
      <c r="J401" s="56">
        <f t="shared" si="41"/>
        <v>534.59999999999991</v>
      </c>
      <c r="K401" s="177"/>
    </row>
    <row r="402" spans="1:11" x14ac:dyDescent="0.25">
      <c r="A402" s="24" t="s">
        <v>402</v>
      </c>
      <c r="B402" s="30" t="s">
        <v>1491</v>
      </c>
      <c r="C402" s="266">
        <v>4</v>
      </c>
      <c r="D402" s="108">
        <v>356.4</v>
      </c>
      <c r="E402" s="48">
        <f t="shared" si="36"/>
        <v>178.2</v>
      </c>
      <c r="F402" s="41">
        <f t="shared" si="37"/>
        <v>534.59999999999991</v>
      </c>
      <c r="G402" s="53">
        <f t="shared" si="38"/>
        <v>400.94999999999993</v>
      </c>
      <c r="H402" s="54">
        <f t="shared" si="39"/>
        <v>178.2</v>
      </c>
      <c r="I402" s="55">
        <f t="shared" si="40"/>
        <v>712.8</v>
      </c>
      <c r="J402" s="56">
        <f t="shared" si="41"/>
        <v>534.59999999999991</v>
      </c>
      <c r="K402" s="177"/>
    </row>
    <row r="403" spans="1:11" x14ac:dyDescent="0.25">
      <c r="A403" s="24" t="s">
        <v>403</v>
      </c>
      <c r="B403" s="30" t="s">
        <v>2095</v>
      </c>
      <c r="C403" s="266">
        <v>4</v>
      </c>
      <c r="D403" s="108">
        <v>356.4</v>
      </c>
      <c r="E403" s="48">
        <f t="shared" si="36"/>
        <v>178.2</v>
      </c>
      <c r="F403" s="41">
        <f t="shared" si="37"/>
        <v>534.59999999999991</v>
      </c>
      <c r="G403" s="53">
        <f t="shared" si="38"/>
        <v>400.94999999999993</v>
      </c>
      <c r="H403" s="54">
        <f t="shared" si="39"/>
        <v>178.2</v>
      </c>
      <c r="I403" s="55">
        <f t="shared" si="40"/>
        <v>712.8</v>
      </c>
      <c r="J403" s="56">
        <f t="shared" si="41"/>
        <v>534.59999999999991</v>
      </c>
      <c r="K403" s="177"/>
    </row>
    <row r="404" spans="1:11" x14ac:dyDescent="0.25">
      <c r="A404" s="24" t="s">
        <v>404</v>
      </c>
      <c r="B404" s="30" t="s">
        <v>2071</v>
      </c>
      <c r="C404" s="266">
        <v>4</v>
      </c>
      <c r="D404" s="108">
        <v>356.4</v>
      </c>
      <c r="E404" s="48">
        <f t="shared" si="36"/>
        <v>178.2</v>
      </c>
      <c r="F404" s="41">
        <f t="shared" si="37"/>
        <v>534.59999999999991</v>
      </c>
      <c r="G404" s="53">
        <f t="shared" si="38"/>
        <v>400.94999999999993</v>
      </c>
      <c r="H404" s="54">
        <f t="shared" si="39"/>
        <v>178.2</v>
      </c>
      <c r="I404" s="55">
        <f t="shared" si="40"/>
        <v>712.8</v>
      </c>
      <c r="J404" s="56">
        <f t="shared" si="41"/>
        <v>534.59999999999991</v>
      </c>
      <c r="K404" s="177"/>
    </row>
    <row r="405" spans="1:11" x14ac:dyDescent="0.25">
      <c r="A405" s="24" t="s">
        <v>405</v>
      </c>
      <c r="B405" s="30" t="s">
        <v>2143</v>
      </c>
      <c r="C405" s="266">
        <v>4</v>
      </c>
      <c r="D405" s="108">
        <v>356.4</v>
      </c>
      <c r="E405" s="48">
        <f t="shared" si="36"/>
        <v>178.2</v>
      </c>
      <c r="F405" s="41">
        <f t="shared" si="37"/>
        <v>534.59999999999991</v>
      </c>
      <c r="G405" s="53">
        <f t="shared" si="38"/>
        <v>400.94999999999993</v>
      </c>
      <c r="H405" s="54">
        <f t="shared" si="39"/>
        <v>178.2</v>
      </c>
      <c r="I405" s="55">
        <f t="shared" si="40"/>
        <v>712.8</v>
      </c>
      <c r="J405" s="56">
        <f t="shared" si="41"/>
        <v>534.59999999999991</v>
      </c>
      <c r="K405" s="177"/>
    </row>
    <row r="406" spans="1:11" x14ac:dyDescent="0.25">
      <c r="A406" s="24" t="s">
        <v>1178</v>
      </c>
      <c r="B406" s="30" t="s">
        <v>1294</v>
      </c>
      <c r="C406" s="266">
        <v>4</v>
      </c>
      <c r="D406" s="108">
        <v>356.4</v>
      </c>
      <c r="E406" s="48">
        <f t="shared" si="36"/>
        <v>178.2</v>
      </c>
      <c r="F406" s="41">
        <f t="shared" si="37"/>
        <v>534.59999999999991</v>
      </c>
      <c r="G406" s="53">
        <f t="shared" si="38"/>
        <v>400.94999999999993</v>
      </c>
      <c r="H406" s="54">
        <f t="shared" si="39"/>
        <v>178.2</v>
      </c>
      <c r="I406" s="55">
        <f t="shared" si="40"/>
        <v>712.8</v>
      </c>
      <c r="J406" s="56">
        <f t="shared" si="41"/>
        <v>534.59999999999991</v>
      </c>
      <c r="K406" s="177"/>
    </row>
    <row r="407" spans="1:11" x14ac:dyDescent="0.25">
      <c r="A407" s="24" t="s">
        <v>1179</v>
      </c>
      <c r="B407" s="30" t="s">
        <v>1294</v>
      </c>
      <c r="C407" s="266">
        <v>4</v>
      </c>
      <c r="D407" s="108">
        <v>356.4</v>
      </c>
      <c r="E407" s="48">
        <f t="shared" si="36"/>
        <v>178.2</v>
      </c>
      <c r="F407" s="41">
        <f t="shared" si="37"/>
        <v>534.59999999999991</v>
      </c>
      <c r="G407" s="53">
        <f t="shared" si="38"/>
        <v>400.94999999999993</v>
      </c>
      <c r="H407" s="54">
        <f t="shared" si="39"/>
        <v>178.2</v>
      </c>
      <c r="I407" s="55">
        <f t="shared" si="40"/>
        <v>712.8</v>
      </c>
      <c r="J407" s="56">
        <f t="shared" si="41"/>
        <v>534.59999999999991</v>
      </c>
      <c r="K407" s="177"/>
    </row>
    <row r="408" spans="1:11" x14ac:dyDescent="0.25">
      <c r="A408" s="24" t="s">
        <v>1180</v>
      </c>
      <c r="B408" s="30" t="s">
        <v>1294</v>
      </c>
      <c r="C408" s="266">
        <v>4</v>
      </c>
      <c r="D408" s="108">
        <v>356.4</v>
      </c>
      <c r="E408" s="48">
        <f t="shared" si="36"/>
        <v>178.2</v>
      </c>
      <c r="F408" s="41">
        <f t="shared" si="37"/>
        <v>534.59999999999991</v>
      </c>
      <c r="G408" s="53">
        <f t="shared" si="38"/>
        <v>400.94999999999993</v>
      </c>
      <c r="H408" s="54">
        <f t="shared" si="39"/>
        <v>178.2</v>
      </c>
      <c r="I408" s="55">
        <f t="shared" si="40"/>
        <v>712.8</v>
      </c>
      <c r="J408" s="56">
        <f t="shared" si="41"/>
        <v>534.59999999999991</v>
      </c>
      <c r="K408" s="177"/>
    </row>
    <row r="409" spans="1:11" x14ac:dyDescent="0.25">
      <c r="A409" s="24" t="s">
        <v>1181</v>
      </c>
      <c r="B409" s="30" t="s">
        <v>1403</v>
      </c>
      <c r="C409" s="266">
        <v>4</v>
      </c>
      <c r="D409" s="108">
        <v>356.4</v>
      </c>
      <c r="E409" s="48">
        <f t="shared" si="36"/>
        <v>178.2</v>
      </c>
      <c r="F409" s="41">
        <f t="shared" si="37"/>
        <v>534.59999999999991</v>
      </c>
      <c r="G409" s="53">
        <f t="shared" si="38"/>
        <v>400.94999999999993</v>
      </c>
      <c r="H409" s="54">
        <f t="shared" si="39"/>
        <v>178.2</v>
      </c>
      <c r="I409" s="55">
        <f t="shared" si="40"/>
        <v>712.8</v>
      </c>
      <c r="J409" s="56">
        <f t="shared" si="41"/>
        <v>534.59999999999991</v>
      </c>
      <c r="K409" s="177"/>
    </row>
    <row r="410" spans="1:11" x14ac:dyDescent="0.25">
      <c r="A410" s="24" t="s">
        <v>1182</v>
      </c>
      <c r="B410" s="30" t="s">
        <v>2199</v>
      </c>
      <c r="C410" s="266">
        <v>4</v>
      </c>
      <c r="D410" s="108">
        <v>356.4</v>
      </c>
      <c r="E410" s="48">
        <f t="shared" si="36"/>
        <v>178.2</v>
      </c>
      <c r="F410" s="41">
        <f t="shared" si="37"/>
        <v>534.59999999999991</v>
      </c>
      <c r="G410" s="53">
        <f t="shared" si="38"/>
        <v>400.94999999999993</v>
      </c>
      <c r="H410" s="54">
        <f t="shared" si="39"/>
        <v>178.2</v>
      </c>
      <c r="I410" s="55">
        <f t="shared" si="40"/>
        <v>712.8</v>
      </c>
      <c r="J410" s="56">
        <f t="shared" si="41"/>
        <v>534.59999999999991</v>
      </c>
      <c r="K410" s="177"/>
    </row>
    <row r="411" spans="1:11" x14ac:dyDescent="0.25">
      <c r="A411" s="24" t="s">
        <v>1183</v>
      </c>
      <c r="B411" s="30" t="s">
        <v>1492</v>
      </c>
      <c r="C411" s="266">
        <v>4</v>
      </c>
      <c r="D411" s="108">
        <v>356.4</v>
      </c>
      <c r="E411" s="48">
        <f t="shared" si="36"/>
        <v>178.2</v>
      </c>
      <c r="F411" s="41">
        <f t="shared" si="37"/>
        <v>534.59999999999991</v>
      </c>
      <c r="G411" s="53">
        <f t="shared" si="38"/>
        <v>400.94999999999993</v>
      </c>
      <c r="H411" s="54">
        <f t="shared" si="39"/>
        <v>178.2</v>
      </c>
      <c r="I411" s="55">
        <f t="shared" si="40"/>
        <v>712.8</v>
      </c>
      <c r="J411" s="56">
        <f t="shared" si="41"/>
        <v>534.59999999999991</v>
      </c>
      <c r="K411" s="177"/>
    </row>
    <row r="412" spans="1:11" x14ac:dyDescent="0.25">
      <c r="A412" s="37"/>
      <c r="B412" s="30"/>
      <c r="C412" s="267"/>
      <c r="D412" s="30"/>
      <c r="E412" s="48"/>
      <c r="F412" s="41"/>
      <c r="G412" s="53"/>
      <c r="H412" s="54"/>
      <c r="I412" s="55"/>
      <c r="J412" s="56"/>
      <c r="K412" s="177"/>
    </row>
    <row r="413" spans="1:11" x14ac:dyDescent="0.25">
      <c r="A413" s="24" t="s">
        <v>406</v>
      </c>
      <c r="B413" s="30" t="s">
        <v>1711</v>
      </c>
      <c r="C413" s="266">
        <v>4</v>
      </c>
      <c r="D413" s="108">
        <v>356.4</v>
      </c>
      <c r="E413" s="48">
        <f t="shared" si="36"/>
        <v>178.2</v>
      </c>
      <c r="F413" s="41">
        <f t="shared" si="37"/>
        <v>534.59999999999991</v>
      </c>
      <c r="G413" s="53">
        <f t="shared" si="38"/>
        <v>400.94999999999993</v>
      </c>
      <c r="H413" s="54">
        <f t="shared" si="39"/>
        <v>178.2</v>
      </c>
      <c r="I413" s="55">
        <f t="shared" si="40"/>
        <v>712.8</v>
      </c>
      <c r="J413" s="56">
        <f t="shared" si="41"/>
        <v>534.59999999999991</v>
      </c>
      <c r="K413" s="177"/>
    </row>
    <row r="414" spans="1:11" x14ac:dyDescent="0.25">
      <c r="A414" s="24" t="s">
        <v>408</v>
      </c>
      <c r="B414" s="30" t="s">
        <v>1338</v>
      </c>
      <c r="C414" s="266">
        <v>4</v>
      </c>
      <c r="D414" s="108">
        <v>356.4</v>
      </c>
      <c r="E414" s="48">
        <f t="shared" si="36"/>
        <v>178.2</v>
      </c>
      <c r="F414" s="41">
        <f t="shared" si="37"/>
        <v>534.59999999999991</v>
      </c>
      <c r="G414" s="53">
        <f t="shared" si="38"/>
        <v>400.94999999999993</v>
      </c>
      <c r="H414" s="54">
        <f t="shared" si="39"/>
        <v>178.2</v>
      </c>
      <c r="I414" s="55">
        <f t="shared" si="40"/>
        <v>712.8</v>
      </c>
      <c r="J414" s="56">
        <f t="shared" si="41"/>
        <v>534.59999999999991</v>
      </c>
      <c r="K414" s="177"/>
    </row>
    <row r="415" spans="1:11" x14ac:dyDescent="0.25">
      <c r="A415" s="24" t="s">
        <v>409</v>
      </c>
      <c r="B415" s="30" t="s">
        <v>1682</v>
      </c>
      <c r="C415" s="266">
        <v>4</v>
      </c>
      <c r="D415" s="108">
        <v>356.4</v>
      </c>
      <c r="E415" s="48">
        <f t="shared" si="36"/>
        <v>178.2</v>
      </c>
      <c r="F415" s="41">
        <f t="shared" si="37"/>
        <v>534.59999999999991</v>
      </c>
      <c r="G415" s="53">
        <f t="shared" si="38"/>
        <v>400.94999999999993</v>
      </c>
      <c r="H415" s="54">
        <f t="shared" si="39"/>
        <v>178.2</v>
      </c>
      <c r="I415" s="55">
        <f t="shared" si="40"/>
        <v>712.8</v>
      </c>
      <c r="J415" s="56">
        <f t="shared" si="41"/>
        <v>534.59999999999991</v>
      </c>
      <c r="K415" s="177"/>
    </row>
    <row r="416" spans="1:11" x14ac:dyDescent="0.25">
      <c r="A416" s="24" t="s">
        <v>410</v>
      </c>
      <c r="B416" s="30" t="s">
        <v>1682</v>
      </c>
      <c r="C416" s="266">
        <v>4</v>
      </c>
      <c r="D416" s="108">
        <v>356.4</v>
      </c>
      <c r="E416" s="48">
        <f t="shared" si="36"/>
        <v>178.2</v>
      </c>
      <c r="F416" s="41">
        <f t="shared" si="37"/>
        <v>534.59999999999991</v>
      </c>
      <c r="G416" s="53">
        <f t="shared" si="38"/>
        <v>400.94999999999993</v>
      </c>
      <c r="H416" s="54">
        <f t="shared" si="39"/>
        <v>178.2</v>
      </c>
      <c r="I416" s="55">
        <f t="shared" si="40"/>
        <v>712.8</v>
      </c>
      <c r="J416" s="56">
        <f t="shared" si="41"/>
        <v>534.59999999999991</v>
      </c>
      <c r="K416" s="177"/>
    </row>
    <row r="417" spans="1:11" x14ac:dyDescent="0.25">
      <c r="A417" s="24" t="s">
        <v>411</v>
      </c>
      <c r="B417" s="30" t="s">
        <v>1577</v>
      </c>
      <c r="C417" s="266">
        <v>4</v>
      </c>
      <c r="D417" s="108">
        <v>356.4</v>
      </c>
      <c r="E417" s="48">
        <f t="shared" si="36"/>
        <v>178.2</v>
      </c>
      <c r="F417" s="41">
        <f t="shared" si="37"/>
        <v>534.59999999999991</v>
      </c>
      <c r="G417" s="53">
        <f t="shared" si="38"/>
        <v>400.94999999999993</v>
      </c>
      <c r="H417" s="54">
        <f t="shared" si="39"/>
        <v>178.2</v>
      </c>
      <c r="I417" s="55">
        <f t="shared" si="40"/>
        <v>712.8</v>
      </c>
      <c r="J417" s="56">
        <f t="shared" si="41"/>
        <v>534.59999999999991</v>
      </c>
      <c r="K417" s="177"/>
    </row>
    <row r="418" spans="1:11" x14ac:dyDescent="0.25">
      <c r="A418" s="24" t="s">
        <v>413</v>
      </c>
      <c r="B418" s="30" t="s">
        <v>1911</v>
      </c>
      <c r="C418" s="266">
        <v>4</v>
      </c>
      <c r="D418" s="108">
        <v>356.4</v>
      </c>
      <c r="E418" s="48">
        <f t="shared" si="36"/>
        <v>178.2</v>
      </c>
      <c r="F418" s="41">
        <f t="shared" si="37"/>
        <v>534.59999999999991</v>
      </c>
      <c r="G418" s="53">
        <f t="shared" si="38"/>
        <v>400.94999999999993</v>
      </c>
      <c r="H418" s="54">
        <f t="shared" si="39"/>
        <v>178.2</v>
      </c>
      <c r="I418" s="55">
        <f t="shared" si="40"/>
        <v>712.8</v>
      </c>
      <c r="J418" s="56">
        <f t="shared" si="41"/>
        <v>534.59999999999991</v>
      </c>
      <c r="K418" s="177"/>
    </row>
    <row r="419" spans="1:11" x14ac:dyDescent="0.25">
      <c r="A419" s="159"/>
      <c r="B419" s="30"/>
      <c r="C419" s="267"/>
      <c r="D419" s="108"/>
      <c r="E419" s="48"/>
      <c r="F419" s="41"/>
      <c r="G419" s="53"/>
      <c r="H419" s="54"/>
      <c r="I419" s="55"/>
      <c r="J419" s="56"/>
      <c r="K419" s="177"/>
    </row>
    <row r="420" spans="1:11" x14ac:dyDescent="0.25">
      <c r="A420" s="24" t="s">
        <v>419</v>
      </c>
      <c r="B420" s="30" t="s">
        <v>2106</v>
      </c>
      <c r="C420" s="266">
        <v>4</v>
      </c>
      <c r="D420" s="108">
        <v>379.8</v>
      </c>
      <c r="E420" s="48">
        <f t="shared" si="36"/>
        <v>189.9</v>
      </c>
      <c r="F420" s="41">
        <f t="shared" si="37"/>
        <v>569.70000000000005</v>
      </c>
      <c r="G420" s="53">
        <f t="shared" si="38"/>
        <v>427.27500000000003</v>
      </c>
      <c r="H420" s="54">
        <f t="shared" si="39"/>
        <v>189.9</v>
      </c>
      <c r="I420" s="55">
        <f t="shared" si="40"/>
        <v>759.6</v>
      </c>
      <c r="J420" s="56">
        <f t="shared" si="41"/>
        <v>569.70000000000005</v>
      </c>
      <c r="K420" s="177"/>
    </row>
    <row r="421" spans="1:11" x14ac:dyDescent="0.25">
      <c r="A421" s="24" t="s">
        <v>420</v>
      </c>
      <c r="B421" s="30" t="s">
        <v>2106</v>
      </c>
      <c r="C421" s="266">
        <v>4</v>
      </c>
      <c r="D421" s="108">
        <v>379.8</v>
      </c>
      <c r="E421" s="48">
        <f t="shared" si="36"/>
        <v>189.9</v>
      </c>
      <c r="F421" s="41">
        <f t="shared" si="37"/>
        <v>569.70000000000005</v>
      </c>
      <c r="G421" s="53">
        <f t="shared" si="38"/>
        <v>427.27500000000003</v>
      </c>
      <c r="H421" s="54">
        <f t="shared" si="39"/>
        <v>189.9</v>
      </c>
      <c r="I421" s="55">
        <f t="shared" si="40"/>
        <v>759.6</v>
      </c>
      <c r="J421" s="56">
        <f t="shared" si="41"/>
        <v>569.70000000000005</v>
      </c>
      <c r="K421" s="177"/>
    </row>
    <row r="422" spans="1:11" x14ac:dyDescent="0.25">
      <c r="A422" s="24" t="s">
        <v>421</v>
      </c>
      <c r="B422" s="30" t="s">
        <v>2211</v>
      </c>
      <c r="C422" s="266">
        <v>4</v>
      </c>
      <c r="D422" s="108">
        <v>379.8</v>
      </c>
      <c r="E422" s="48">
        <f t="shared" si="36"/>
        <v>189.9</v>
      </c>
      <c r="F422" s="41">
        <f t="shared" si="37"/>
        <v>569.70000000000005</v>
      </c>
      <c r="G422" s="53">
        <f t="shared" si="38"/>
        <v>427.27500000000003</v>
      </c>
      <c r="H422" s="54">
        <f t="shared" si="39"/>
        <v>189.9</v>
      </c>
      <c r="I422" s="55">
        <f t="shared" si="40"/>
        <v>759.6</v>
      </c>
      <c r="J422" s="56">
        <f t="shared" si="41"/>
        <v>569.70000000000005</v>
      </c>
      <c r="K422" s="177"/>
    </row>
    <row r="423" spans="1:11" x14ac:dyDescent="0.25">
      <c r="A423" s="24" t="s">
        <v>422</v>
      </c>
      <c r="B423" s="30" t="s">
        <v>1039</v>
      </c>
      <c r="C423" s="266">
        <v>4</v>
      </c>
      <c r="D423" s="108">
        <v>379.8</v>
      </c>
      <c r="E423" s="48">
        <f t="shared" si="36"/>
        <v>189.9</v>
      </c>
      <c r="F423" s="41">
        <f t="shared" si="37"/>
        <v>569.70000000000005</v>
      </c>
      <c r="G423" s="53">
        <f t="shared" si="38"/>
        <v>427.27500000000003</v>
      </c>
      <c r="H423" s="54">
        <f t="shared" si="39"/>
        <v>189.9</v>
      </c>
      <c r="I423" s="55">
        <f t="shared" si="40"/>
        <v>759.6</v>
      </c>
      <c r="J423" s="56">
        <f t="shared" si="41"/>
        <v>569.70000000000005</v>
      </c>
      <c r="K423" s="177"/>
    </row>
    <row r="424" spans="1:11" x14ac:dyDescent="0.25">
      <c r="A424" s="24" t="s">
        <v>424</v>
      </c>
      <c r="B424" s="30" t="s">
        <v>2072</v>
      </c>
      <c r="C424" s="266">
        <v>4</v>
      </c>
      <c r="D424" s="108">
        <v>379.8</v>
      </c>
      <c r="E424" s="48">
        <f t="shared" si="36"/>
        <v>189.9</v>
      </c>
      <c r="F424" s="41">
        <f t="shared" si="37"/>
        <v>569.70000000000005</v>
      </c>
      <c r="G424" s="53">
        <f t="shared" si="38"/>
        <v>427.27500000000003</v>
      </c>
      <c r="H424" s="54">
        <f t="shared" si="39"/>
        <v>189.9</v>
      </c>
      <c r="I424" s="55">
        <f t="shared" si="40"/>
        <v>759.6</v>
      </c>
      <c r="J424" s="56">
        <f t="shared" si="41"/>
        <v>569.70000000000005</v>
      </c>
      <c r="K424" s="177"/>
    </row>
    <row r="425" spans="1:11" x14ac:dyDescent="0.25">
      <c r="A425" s="159"/>
      <c r="B425" s="30"/>
      <c r="C425" s="267"/>
      <c r="D425" s="108"/>
      <c r="E425" s="48"/>
      <c r="F425" s="41"/>
      <c r="G425" s="53"/>
      <c r="H425" s="54"/>
      <c r="I425" s="55"/>
      <c r="J425" s="56"/>
      <c r="K425" s="177"/>
    </row>
    <row r="426" spans="1:11" x14ac:dyDescent="0.25">
      <c r="A426" s="24" t="s">
        <v>434</v>
      </c>
      <c r="B426" s="30" t="s">
        <v>1800</v>
      </c>
      <c r="C426" s="266">
        <v>4</v>
      </c>
      <c r="D426" s="108">
        <v>379.8</v>
      </c>
      <c r="E426" s="48">
        <f t="shared" si="36"/>
        <v>189.9</v>
      </c>
      <c r="F426" s="41">
        <f t="shared" si="37"/>
        <v>569.70000000000005</v>
      </c>
      <c r="G426" s="53">
        <f t="shared" si="38"/>
        <v>427.27500000000003</v>
      </c>
      <c r="H426" s="54">
        <f t="shared" si="39"/>
        <v>189.9</v>
      </c>
      <c r="I426" s="55">
        <f t="shared" si="40"/>
        <v>759.6</v>
      </c>
      <c r="J426" s="56">
        <f t="shared" si="41"/>
        <v>569.70000000000005</v>
      </c>
      <c r="K426" s="177"/>
    </row>
    <row r="427" spans="1:11" x14ac:dyDescent="0.25">
      <c r="A427" s="24" t="s">
        <v>435</v>
      </c>
      <c r="B427" s="30" t="s">
        <v>1800</v>
      </c>
      <c r="C427" s="266">
        <v>4</v>
      </c>
      <c r="D427" s="108">
        <v>379.8</v>
      </c>
      <c r="E427" s="48">
        <f t="shared" si="36"/>
        <v>189.9</v>
      </c>
      <c r="F427" s="41">
        <f t="shared" si="37"/>
        <v>569.70000000000005</v>
      </c>
      <c r="G427" s="53">
        <f t="shared" si="38"/>
        <v>427.27500000000003</v>
      </c>
      <c r="H427" s="54">
        <f t="shared" si="39"/>
        <v>189.9</v>
      </c>
      <c r="I427" s="55">
        <f t="shared" si="40"/>
        <v>759.6</v>
      </c>
      <c r="J427" s="56">
        <f t="shared" si="41"/>
        <v>569.70000000000005</v>
      </c>
      <c r="K427" s="177"/>
    </row>
    <row r="428" spans="1:11" x14ac:dyDescent="0.25">
      <c r="A428" s="24" t="s">
        <v>437</v>
      </c>
      <c r="B428" s="30" t="s">
        <v>1852</v>
      </c>
      <c r="C428" s="266">
        <v>4</v>
      </c>
      <c r="D428" s="108">
        <v>379.8</v>
      </c>
      <c r="E428" s="48">
        <f t="shared" si="36"/>
        <v>189.9</v>
      </c>
      <c r="F428" s="41">
        <f t="shared" si="37"/>
        <v>569.70000000000005</v>
      </c>
      <c r="G428" s="53">
        <f t="shared" si="38"/>
        <v>427.27500000000003</v>
      </c>
      <c r="H428" s="54">
        <f t="shared" si="39"/>
        <v>189.9</v>
      </c>
      <c r="I428" s="55">
        <f t="shared" si="40"/>
        <v>759.6</v>
      </c>
      <c r="J428" s="56">
        <f t="shared" si="41"/>
        <v>569.70000000000005</v>
      </c>
      <c r="K428" s="177"/>
    </row>
    <row r="429" spans="1:11" x14ac:dyDescent="0.25">
      <c r="A429" s="24" t="s">
        <v>439</v>
      </c>
      <c r="B429" s="30" t="s">
        <v>1912</v>
      </c>
      <c r="C429" s="266">
        <v>4</v>
      </c>
      <c r="D429" s="108">
        <v>379.8</v>
      </c>
      <c r="E429" s="48">
        <f t="shared" si="36"/>
        <v>189.9</v>
      </c>
      <c r="F429" s="41">
        <f t="shared" si="37"/>
        <v>569.70000000000005</v>
      </c>
      <c r="G429" s="53">
        <f t="shared" si="38"/>
        <v>427.27500000000003</v>
      </c>
      <c r="H429" s="54">
        <f t="shared" si="39"/>
        <v>189.9</v>
      </c>
      <c r="I429" s="55">
        <f t="shared" si="40"/>
        <v>759.6</v>
      </c>
      <c r="J429" s="56">
        <f t="shared" si="41"/>
        <v>569.70000000000005</v>
      </c>
      <c r="K429" s="177"/>
    </row>
    <row r="430" spans="1:11" x14ac:dyDescent="0.25">
      <c r="A430" s="24" t="s">
        <v>1184</v>
      </c>
      <c r="B430" s="30" t="s">
        <v>2144</v>
      </c>
      <c r="C430" s="266">
        <v>4</v>
      </c>
      <c r="D430" s="108">
        <v>379.8</v>
      </c>
      <c r="E430" s="48">
        <f t="shared" si="36"/>
        <v>189.9</v>
      </c>
      <c r="F430" s="41">
        <f t="shared" si="37"/>
        <v>569.70000000000005</v>
      </c>
      <c r="G430" s="53">
        <f t="shared" si="38"/>
        <v>427.27500000000003</v>
      </c>
      <c r="H430" s="54">
        <f t="shared" si="39"/>
        <v>189.9</v>
      </c>
      <c r="I430" s="55">
        <f t="shared" si="40"/>
        <v>759.6</v>
      </c>
      <c r="J430" s="56">
        <f t="shared" si="41"/>
        <v>569.70000000000005</v>
      </c>
      <c r="K430" s="177"/>
    </row>
    <row r="431" spans="1:11" x14ac:dyDescent="0.25">
      <c r="A431" s="159"/>
      <c r="B431" s="30"/>
      <c r="C431" s="267"/>
      <c r="D431" s="108"/>
      <c r="E431" s="48"/>
      <c r="F431" s="41"/>
      <c r="G431" s="53"/>
      <c r="H431" s="54"/>
      <c r="I431" s="55"/>
      <c r="J431" s="56"/>
      <c r="K431" s="177"/>
    </row>
    <row r="432" spans="1:11" x14ac:dyDescent="0.25">
      <c r="A432" s="24" t="s">
        <v>441</v>
      </c>
      <c r="B432" s="30" t="s">
        <v>1655</v>
      </c>
      <c r="C432" s="266">
        <v>4</v>
      </c>
      <c r="D432" s="108">
        <v>379.8</v>
      </c>
      <c r="E432" s="48">
        <f t="shared" si="36"/>
        <v>189.9</v>
      </c>
      <c r="F432" s="41">
        <f t="shared" si="37"/>
        <v>569.70000000000005</v>
      </c>
      <c r="G432" s="53">
        <f t="shared" si="38"/>
        <v>427.27500000000003</v>
      </c>
      <c r="H432" s="54">
        <f t="shared" si="39"/>
        <v>189.9</v>
      </c>
      <c r="I432" s="55">
        <f t="shared" si="40"/>
        <v>759.6</v>
      </c>
      <c r="J432" s="56">
        <f t="shared" si="41"/>
        <v>569.70000000000005</v>
      </c>
      <c r="K432" s="177"/>
    </row>
    <row r="433" spans="1:11" x14ac:dyDescent="0.25">
      <c r="A433" s="24" t="s">
        <v>442</v>
      </c>
      <c r="B433" s="30" t="s">
        <v>1295</v>
      </c>
      <c r="C433" s="266">
        <v>4</v>
      </c>
      <c r="D433" s="108">
        <v>379.8</v>
      </c>
      <c r="E433" s="48">
        <f t="shared" si="36"/>
        <v>189.9</v>
      </c>
      <c r="F433" s="41">
        <f t="shared" si="37"/>
        <v>569.70000000000005</v>
      </c>
      <c r="G433" s="53">
        <f t="shared" si="38"/>
        <v>427.27500000000003</v>
      </c>
      <c r="H433" s="54">
        <f t="shared" si="39"/>
        <v>189.9</v>
      </c>
      <c r="I433" s="55">
        <f t="shared" si="40"/>
        <v>759.6</v>
      </c>
      <c r="J433" s="56">
        <f t="shared" si="41"/>
        <v>569.70000000000005</v>
      </c>
      <c r="K433" s="177"/>
    </row>
    <row r="434" spans="1:11" x14ac:dyDescent="0.25">
      <c r="A434" s="24" t="s">
        <v>443</v>
      </c>
      <c r="B434" s="30" t="s">
        <v>2243</v>
      </c>
      <c r="C434" s="266">
        <v>4</v>
      </c>
      <c r="D434" s="108">
        <v>379.8</v>
      </c>
      <c r="E434" s="48">
        <f t="shared" si="36"/>
        <v>189.9</v>
      </c>
      <c r="F434" s="41">
        <f t="shared" si="37"/>
        <v>569.70000000000005</v>
      </c>
      <c r="G434" s="53">
        <f t="shared" si="38"/>
        <v>427.27500000000003</v>
      </c>
      <c r="H434" s="54">
        <f t="shared" si="39"/>
        <v>189.9</v>
      </c>
      <c r="I434" s="55">
        <f t="shared" si="40"/>
        <v>759.6</v>
      </c>
      <c r="J434" s="56">
        <f t="shared" si="41"/>
        <v>569.70000000000005</v>
      </c>
      <c r="K434" s="177"/>
    </row>
    <row r="435" spans="1:11" x14ac:dyDescent="0.25">
      <c r="A435" s="24" t="s">
        <v>1185</v>
      </c>
      <c r="B435" s="30" t="s">
        <v>1296</v>
      </c>
      <c r="C435" s="266">
        <v>4</v>
      </c>
      <c r="D435" s="108">
        <v>379.8</v>
      </c>
      <c r="E435" s="48">
        <f t="shared" si="36"/>
        <v>189.9</v>
      </c>
      <c r="F435" s="41">
        <f t="shared" si="37"/>
        <v>569.70000000000005</v>
      </c>
      <c r="G435" s="53">
        <f t="shared" si="38"/>
        <v>427.27500000000003</v>
      </c>
      <c r="H435" s="54">
        <f t="shared" si="39"/>
        <v>189.9</v>
      </c>
      <c r="I435" s="55">
        <f t="shared" si="40"/>
        <v>759.6</v>
      </c>
      <c r="J435" s="56">
        <f t="shared" si="41"/>
        <v>569.70000000000005</v>
      </c>
      <c r="K435" s="177"/>
    </row>
    <row r="436" spans="1:11" x14ac:dyDescent="0.25">
      <c r="A436" s="24" t="s">
        <v>1186</v>
      </c>
      <c r="B436" s="30" t="s">
        <v>1296</v>
      </c>
      <c r="C436" s="266">
        <v>4</v>
      </c>
      <c r="D436" s="108">
        <v>379.8</v>
      </c>
      <c r="E436" s="48">
        <f t="shared" si="36"/>
        <v>189.9</v>
      </c>
      <c r="F436" s="41">
        <f t="shared" si="37"/>
        <v>569.70000000000005</v>
      </c>
      <c r="G436" s="53">
        <f t="shared" si="38"/>
        <v>427.27500000000003</v>
      </c>
      <c r="H436" s="54">
        <f t="shared" si="39"/>
        <v>189.9</v>
      </c>
      <c r="I436" s="55">
        <f t="shared" si="40"/>
        <v>759.6</v>
      </c>
      <c r="J436" s="56">
        <f t="shared" si="41"/>
        <v>569.70000000000005</v>
      </c>
      <c r="K436" s="177"/>
    </row>
    <row r="437" spans="1:11" x14ac:dyDescent="0.25">
      <c r="A437" s="24" t="s">
        <v>1187</v>
      </c>
      <c r="B437" s="30" t="s">
        <v>1694</v>
      </c>
      <c r="C437" s="266">
        <v>4</v>
      </c>
      <c r="D437" s="108">
        <v>379.8</v>
      </c>
      <c r="E437" s="48">
        <f t="shared" si="36"/>
        <v>189.9</v>
      </c>
      <c r="F437" s="41">
        <f t="shared" si="37"/>
        <v>569.70000000000005</v>
      </c>
      <c r="G437" s="53">
        <f t="shared" si="38"/>
        <v>427.27500000000003</v>
      </c>
      <c r="H437" s="54">
        <f t="shared" si="39"/>
        <v>189.9</v>
      </c>
      <c r="I437" s="55">
        <f t="shared" si="40"/>
        <v>759.6</v>
      </c>
      <c r="J437" s="56">
        <f t="shared" si="41"/>
        <v>569.70000000000005</v>
      </c>
      <c r="K437" s="177"/>
    </row>
    <row r="438" spans="1:11" x14ac:dyDescent="0.25">
      <c r="A438" s="24" t="s">
        <v>1188</v>
      </c>
      <c r="B438" s="30" t="s">
        <v>1694</v>
      </c>
      <c r="C438" s="266">
        <v>4</v>
      </c>
      <c r="D438" s="108">
        <v>379.8</v>
      </c>
      <c r="E438" s="48">
        <f t="shared" si="36"/>
        <v>189.9</v>
      </c>
      <c r="F438" s="41">
        <f t="shared" si="37"/>
        <v>569.70000000000005</v>
      </c>
      <c r="G438" s="53">
        <f t="shared" si="38"/>
        <v>427.27500000000003</v>
      </c>
      <c r="H438" s="54">
        <f t="shared" si="39"/>
        <v>189.9</v>
      </c>
      <c r="I438" s="55">
        <f t="shared" si="40"/>
        <v>759.6</v>
      </c>
      <c r="J438" s="56">
        <f t="shared" si="41"/>
        <v>569.70000000000005</v>
      </c>
      <c r="K438" s="177"/>
    </row>
    <row r="439" spans="1:11" x14ac:dyDescent="0.25">
      <c r="A439" s="24" t="s">
        <v>1189</v>
      </c>
      <c r="B439" s="30" t="s">
        <v>1958</v>
      </c>
      <c r="C439" s="266">
        <v>4</v>
      </c>
      <c r="D439" s="108">
        <v>379.8</v>
      </c>
      <c r="E439" s="48">
        <f t="shared" si="36"/>
        <v>189.9</v>
      </c>
      <c r="F439" s="41">
        <f t="shared" si="37"/>
        <v>569.70000000000005</v>
      </c>
      <c r="G439" s="53">
        <f t="shared" si="38"/>
        <v>427.27500000000003</v>
      </c>
      <c r="H439" s="54">
        <f t="shared" si="39"/>
        <v>189.9</v>
      </c>
      <c r="I439" s="55">
        <f t="shared" si="40"/>
        <v>759.6</v>
      </c>
      <c r="J439" s="56">
        <f t="shared" si="41"/>
        <v>569.70000000000005</v>
      </c>
      <c r="K439" s="177"/>
    </row>
    <row r="440" spans="1:11" x14ac:dyDescent="0.25">
      <c r="A440" s="24" t="s">
        <v>1190</v>
      </c>
      <c r="B440" s="30" t="s">
        <v>1605</v>
      </c>
      <c r="C440" s="266">
        <v>4</v>
      </c>
      <c r="D440" s="108">
        <v>379.8</v>
      </c>
      <c r="E440" s="48">
        <f t="shared" si="36"/>
        <v>189.9</v>
      </c>
      <c r="F440" s="41">
        <f t="shared" si="37"/>
        <v>569.70000000000005</v>
      </c>
      <c r="G440" s="53">
        <f t="shared" si="38"/>
        <v>427.27500000000003</v>
      </c>
      <c r="H440" s="54">
        <f t="shared" si="39"/>
        <v>189.9</v>
      </c>
      <c r="I440" s="55">
        <f t="shared" si="40"/>
        <v>759.6</v>
      </c>
      <c r="J440" s="56">
        <f t="shared" si="41"/>
        <v>569.70000000000005</v>
      </c>
      <c r="K440" s="177"/>
    </row>
    <row r="441" spans="1:11" x14ac:dyDescent="0.25">
      <c r="A441" s="24" t="s">
        <v>1191</v>
      </c>
      <c r="B441" s="30" t="s">
        <v>1605</v>
      </c>
      <c r="C441" s="266">
        <v>4</v>
      </c>
      <c r="D441" s="108">
        <v>379.8</v>
      </c>
      <c r="E441" s="48">
        <f t="shared" si="36"/>
        <v>189.9</v>
      </c>
      <c r="F441" s="41">
        <f t="shared" si="37"/>
        <v>569.70000000000005</v>
      </c>
      <c r="G441" s="53">
        <f t="shared" si="38"/>
        <v>427.27500000000003</v>
      </c>
      <c r="H441" s="54">
        <f t="shared" si="39"/>
        <v>189.9</v>
      </c>
      <c r="I441" s="55">
        <f t="shared" si="40"/>
        <v>759.6</v>
      </c>
      <c r="J441" s="56">
        <f t="shared" si="41"/>
        <v>569.70000000000005</v>
      </c>
      <c r="K441" s="177"/>
    </row>
    <row r="442" spans="1:11" x14ac:dyDescent="0.25">
      <c r="A442" s="163"/>
      <c r="B442" s="164"/>
      <c r="C442" s="267"/>
      <c r="D442" s="108"/>
      <c r="E442" s="48"/>
      <c r="F442" s="41"/>
      <c r="G442" s="53"/>
      <c r="H442" s="54"/>
      <c r="I442" s="55"/>
      <c r="J442" s="56"/>
      <c r="K442" s="177"/>
    </row>
    <row r="443" spans="1:11" x14ac:dyDescent="0.25">
      <c r="A443" s="24" t="s">
        <v>445</v>
      </c>
      <c r="B443" s="30" t="s">
        <v>1498</v>
      </c>
      <c r="C443" s="266">
        <v>4</v>
      </c>
      <c r="D443" s="108">
        <v>379.8</v>
      </c>
      <c r="E443" s="48">
        <f t="shared" si="36"/>
        <v>189.9</v>
      </c>
      <c r="F443" s="41">
        <f t="shared" si="37"/>
        <v>569.70000000000005</v>
      </c>
      <c r="G443" s="53">
        <f t="shared" si="38"/>
        <v>427.27500000000003</v>
      </c>
      <c r="H443" s="54">
        <f t="shared" si="39"/>
        <v>189.9</v>
      </c>
      <c r="I443" s="55">
        <f t="shared" si="40"/>
        <v>759.6</v>
      </c>
      <c r="J443" s="56">
        <f t="shared" si="41"/>
        <v>569.70000000000005</v>
      </c>
      <c r="K443" s="177"/>
    </row>
    <row r="444" spans="1:11" x14ac:dyDescent="0.25">
      <c r="A444" s="24" t="s">
        <v>447</v>
      </c>
      <c r="B444" s="30" t="s">
        <v>1498</v>
      </c>
      <c r="C444" s="266">
        <v>4</v>
      </c>
      <c r="D444" s="108">
        <v>379.8</v>
      </c>
      <c r="E444" s="48">
        <f t="shared" si="36"/>
        <v>189.9</v>
      </c>
      <c r="F444" s="41">
        <f t="shared" si="37"/>
        <v>569.70000000000005</v>
      </c>
      <c r="G444" s="53">
        <f t="shared" si="38"/>
        <v>427.27500000000003</v>
      </c>
      <c r="H444" s="54">
        <f t="shared" si="39"/>
        <v>189.9</v>
      </c>
      <c r="I444" s="55">
        <f t="shared" si="40"/>
        <v>759.6</v>
      </c>
      <c r="J444" s="56">
        <f t="shared" si="41"/>
        <v>569.70000000000005</v>
      </c>
      <c r="K444" s="177"/>
    </row>
    <row r="445" spans="1:11" x14ac:dyDescent="0.25">
      <c r="A445" s="24" t="s">
        <v>448</v>
      </c>
      <c r="B445" s="30" t="s">
        <v>1328</v>
      </c>
      <c r="C445" s="266">
        <v>4</v>
      </c>
      <c r="D445" s="108">
        <v>379.8</v>
      </c>
      <c r="E445" s="48">
        <f t="shared" si="36"/>
        <v>189.9</v>
      </c>
      <c r="F445" s="41">
        <f t="shared" si="37"/>
        <v>569.70000000000005</v>
      </c>
      <c r="G445" s="53">
        <f t="shared" si="38"/>
        <v>427.27500000000003</v>
      </c>
      <c r="H445" s="54">
        <f t="shared" si="39"/>
        <v>189.9</v>
      </c>
      <c r="I445" s="55">
        <f t="shared" si="40"/>
        <v>759.6</v>
      </c>
      <c r="J445" s="56">
        <f t="shared" si="41"/>
        <v>569.70000000000005</v>
      </c>
      <c r="K445" s="177"/>
    </row>
    <row r="446" spans="1:11" x14ac:dyDescent="0.25">
      <c r="A446" s="24" t="s">
        <v>449</v>
      </c>
      <c r="B446" s="30" t="s">
        <v>1328</v>
      </c>
      <c r="C446" s="266">
        <v>4</v>
      </c>
      <c r="D446" s="108">
        <v>379.8</v>
      </c>
      <c r="E446" s="48">
        <f t="shared" si="36"/>
        <v>189.9</v>
      </c>
      <c r="F446" s="41">
        <f t="shared" si="37"/>
        <v>569.70000000000005</v>
      </c>
      <c r="G446" s="53">
        <f t="shared" si="38"/>
        <v>427.27500000000003</v>
      </c>
      <c r="H446" s="54">
        <f t="shared" si="39"/>
        <v>189.9</v>
      </c>
      <c r="I446" s="55">
        <f t="shared" si="40"/>
        <v>759.6</v>
      </c>
      <c r="J446" s="56">
        <f t="shared" si="41"/>
        <v>569.70000000000005</v>
      </c>
      <c r="K446" s="177"/>
    </row>
    <row r="447" spans="1:11" x14ac:dyDescent="0.25">
      <c r="A447" s="24" t="s">
        <v>1192</v>
      </c>
      <c r="B447" s="30" t="s">
        <v>1480</v>
      </c>
      <c r="C447" s="266">
        <v>4</v>
      </c>
      <c r="D447" s="108">
        <v>379.8</v>
      </c>
      <c r="E447" s="48">
        <f t="shared" si="36"/>
        <v>189.9</v>
      </c>
      <c r="F447" s="41">
        <f t="shared" si="37"/>
        <v>569.70000000000005</v>
      </c>
      <c r="G447" s="53">
        <f t="shared" si="38"/>
        <v>427.27500000000003</v>
      </c>
      <c r="H447" s="54">
        <f t="shared" si="39"/>
        <v>189.9</v>
      </c>
      <c r="I447" s="55">
        <f t="shared" si="40"/>
        <v>759.6</v>
      </c>
      <c r="J447" s="56">
        <f t="shared" si="41"/>
        <v>569.70000000000005</v>
      </c>
      <c r="K447" s="177"/>
    </row>
    <row r="448" spans="1:11" x14ac:dyDescent="0.25">
      <c r="A448" s="24" t="s">
        <v>1193</v>
      </c>
      <c r="B448" s="30" t="s">
        <v>1480</v>
      </c>
      <c r="C448" s="266">
        <v>4</v>
      </c>
      <c r="D448" s="108">
        <v>379.8</v>
      </c>
      <c r="E448" s="48">
        <f t="shared" si="36"/>
        <v>189.9</v>
      </c>
      <c r="F448" s="41">
        <f t="shared" si="37"/>
        <v>569.70000000000005</v>
      </c>
      <c r="G448" s="53">
        <f t="shared" si="38"/>
        <v>427.27500000000003</v>
      </c>
      <c r="H448" s="54">
        <f t="shared" si="39"/>
        <v>189.9</v>
      </c>
      <c r="I448" s="55">
        <f t="shared" si="40"/>
        <v>759.6</v>
      </c>
      <c r="J448" s="56">
        <f t="shared" si="41"/>
        <v>569.70000000000005</v>
      </c>
      <c r="K448" s="177"/>
    </row>
    <row r="449" spans="1:11" x14ac:dyDescent="0.25">
      <c r="A449" s="159"/>
      <c r="B449" s="30"/>
      <c r="C449" s="267"/>
      <c r="D449" s="108"/>
      <c r="E449" s="48"/>
      <c r="F449" s="41"/>
      <c r="G449" s="53"/>
      <c r="H449" s="54"/>
      <c r="I449" s="55"/>
      <c r="J449" s="56"/>
      <c r="K449" s="177"/>
    </row>
    <row r="450" spans="1:11" x14ac:dyDescent="0.25">
      <c r="A450" s="24" t="s">
        <v>450</v>
      </c>
      <c r="B450" s="30" t="s">
        <v>1958</v>
      </c>
      <c r="C450" s="266">
        <v>4</v>
      </c>
      <c r="D450" s="108">
        <v>356.4</v>
      </c>
      <c r="E450" s="48">
        <f t="shared" si="36"/>
        <v>178.2</v>
      </c>
      <c r="F450" s="41">
        <f t="shared" si="37"/>
        <v>534.59999999999991</v>
      </c>
      <c r="G450" s="53">
        <f t="shared" si="38"/>
        <v>400.94999999999993</v>
      </c>
      <c r="H450" s="54">
        <f t="shared" si="39"/>
        <v>178.2</v>
      </c>
      <c r="I450" s="55">
        <f t="shared" si="40"/>
        <v>712.8</v>
      </c>
      <c r="J450" s="56">
        <f t="shared" si="41"/>
        <v>534.59999999999991</v>
      </c>
      <c r="K450" s="177"/>
    </row>
    <row r="451" spans="1:11" x14ac:dyDescent="0.25">
      <c r="A451" s="24" t="s">
        <v>451</v>
      </c>
      <c r="B451" s="30" t="s">
        <v>1474</v>
      </c>
      <c r="C451" s="266">
        <v>4</v>
      </c>
      <c r="D451" s="108">
        <v>356.4</v>
      </c>
      <c r="E451" s="48">
        <f t="shared" ref="E451:E511" si="42">D451*50%</f>
        <v>178.2</v>
      </c>
      <c r="F451" s="41">
        <f t="shared" ref="F451:F511" si="43">D451+E451</f>
        <v>534.59999999999991</v>
      </c>
      <c r="G451" s="53">
        <f t="shared" ref="G451:G511" si="44">F451-(F451*25%)</f>
        <v>400.94999999999993</v>
      </c>
      <c r="H451" s="54">
        <f t="shared" ref="H451:H511" si="45">D451*50%</f>
        <v>178.2</v>
      </c>
      <c r="I451" s="55">
        <f t="shared" ref="I451:I511" si="46">D451+(H451*2)</f>
        <v>712.8</v>
      </c>
      <c r="J451" s="56">
        <f t="shared" ref="J451:J511" si="47">I451-(I451*25%)</f>
        <v>534.59999999999991</v>
      </c>
      <c r="K451" s="177"/>
    </row>
    <row r="452" spans="1:11" x14ac:dyDescent="0.25">
      <c r="A452" s="24" t="s">
        <v>452</v>
      </c>
      <c r="B452" s="30" t="s">
        <v>2199</v>
      </c>
      <c r="C452" s="266">
        <v>4</v>
      </c>
      <c r="D452" s="108">
        <v>356.4</v>
      </c>
      <c r="E452" s="48">
        <f t="shared" si="42"/>
        <v>178.2</v>
      </c>
      <c r="F452" s="41">
        <f t="shared" si="43"/>
        <v>534.59999999999991</v>
      </c>
      <c r="G452" s="53">
        <f t="shared" si="44"/>
        <v>400.94999999999993</v>
      </c>
      <c r="H452" s="54">
        <f t="shared" si="45"/>
        <v>178.2</v>
      </c>
      <c r="I452" s="55">
        <f t="shared" si="46"/>
        <v>712.8</v>
      </c>
      <c r="J452" s="56">
        <f t="shared" si="47"/>
        <v>534.59999999999991</v>
      </c>
      <c r="K452" s="177"/>
    </row>
    <row r="453" spans="1:11" x14ac:dyDescent="0.25">
      <c r="A453" s="24" t="s">
        <v>454</v>
      </c>
      <c r="B453" s="30" t="s">
        <v>2145</v>
      </c>
      <c r="C453" s="266">
        <v>4</v>
      </c>
      <c r="D453" s="108">
        <v>356.4</v>
      </c>
      <c r="E453" s="48">
        <f t="shared" si="42"/>
        <v>178.2</v>
      </c>
      <c r="F453" s="41">
        <f t="shared" si="43"/>
        <v>534.59999999999991</v>
      </c>
      <c r="G453" s="53">
        <f t="shared" si="44"/>
        <v>400.94999999999993</v>
      </c>
      <c r="H453" s="54">
        <f t="shared" si="45"/>
        <v>178.2</v>
      </c>
      <c r="I453" s="55">
        <f t="shared" si="46"/>
        <v>712.8</v>
      </c>
      <c r="J453" s="56">
        <f t="shared" si="47"/>
        <v>534.59999999999991</v>
      </c>
      <c r="K453" s="177"/>
    </row>
    <row r="454" spans="1:11" x14ac:dyDescent="0.25">
      <c r="A454" s="24" t="s">
        <v>455</v>
      </c>
      <c r="B454" s="30" t="s">
        <v>827</v>
      </c>
      <c r="C454" s="266">
        <v>4</v>
      </c>
      <c r="D454" s="108">
        <v>356.4</v>
      </c>
      <c r="E454" s="48">
        <f t="shared" si="42"/>
        <v>178.2</v>
      </c>
      <c r="F454" s="41">
        <f t="shared" si="43"/>
        <v>534.59999999999991</v>
      </c>
      <c r="G454" s="53">
        <f t="shared" si="44"/>
        <v>400.94999999999993</v>
      </c>
      <c r="H454" s="54">
        <f t="shared" si="45"/>
        <v>178.2</v>
      </c>
      <c r="I454" s="55">
        <f t="shared" si="46"/>
        <v>712.8</v>
      </c>
      <c r="J454" s="56">
        <f t="shared" si="47"/>
        <v>534.59999999999991</v>
      </c>
      <c r="K454" s="177"/>
    </row>
    <row r="455" spans="1:11" x14ac:dyDescent="0.25">
      <c r="A455" s="24" t="s">
        <v>456</v>
      </c>
      <c r="B455" s="30" t="s">
        <v>2285</v>
      </c>
      <c r="C455" s="266">
        <v>4</v>
      </c>
      <c r="D455" s="108">
        <v>356.4</v>
      </c>
      <c r="E455" s="48">
        <f t="shared" si="42"/>
        <v>178.2</v>
      </c>
      <c r="F455" s="41">
        <f t="shared" si="43"/>
        <v>534.59999999999991</v>
      </c>
      <c r="G455" s="53">
        <f t="shared" si="44"/>
        <v>400.94999999999993</v>
      </c>
      <c r="H455" s="54">
        <f t="shared" si="45"/>
        <v>178.2</v>
      </c>
      <c r="I455" s="55">
        <f t="shared" si="46"/>
        <v>712.8</v>
      </c>
      <c r="J455" s="56">
        <f t="shared" si="47"/>
        <v>534.59999999999991</v>
      </c>
      <c r="K455" s="177"/>
    </row>
    <row r="456" spans="1:11" x14ac:dyDescent="0.25">
      <c r="A456" s="24" t="s">
        <v>457</v>
      </c>
      <c r="B456" s="30" t="s">
        <v>1297</v>
      </c>
      <c r="C456" s="266">
        <v>4</v>
      </c>
      <c r="D456" s="108">
        <v>356.4</v>
      </c>
      <c r="E456" s="48">
        <f t="shared" si="42"/>
        <v>178.2</v>
      </c>
      <c r="F456" s="41">
        <f t="shared" si="43"/>
        <v>534.59999999999991</v>
      </c>
      <c r="G456" s="53">
        <f t="shared" si="44"/>
        <v>400.94999999999993</v>
      </c>
      <c r="H456" s="54">
        <f t="shared" si="45"/>
        <v>178.2</v>
      </c>
      <c r="I456" s="55">
        <f t="shared" si="46"/>
        <v>712.8</v>
      </c>
      <c r="J456" s="56">
        <f t="shared" si="47"/>
        <v>534.59999999999991</v>
      </c>
      <c r="K456" s="177"/>
    </row>
    <row r="457" spans="1:11" x14ac:dyDescent="0.25">
      <c r="A457" s="24" t="s">
        <v>458</v>
      </c>
      <c r="B457" s="30" t="s">
        <v>1297</v>
      </c>
      <c r="C457" s="266">
        <v>4</v>
      </c>
      <c r="D457" s="108">
        <v>356.4</v>
      </c>
      <c r="E457" s="48">
        <f t="shared" si="42"/>
        <v>178.2</v>
      </c>
      <c r="F457" s="41">
        <f t="shared" si="43"/>
        <v>534.59999999999991</v>
      </c>
      <c r="G457" s="53">
        <f t="shared" si="44"/>
        <v>400.94999999999993</v>
      </c>
      <c r="H457" s="54">
        <f t="shared" si="45"/>
        <v>178.2</v>
      </c>
      <c r="I457" s="55">
        <f t="shared" si="46"/>
        <v>712.8</v>
      </c>
      <c r="J457" s="56">
        <f t="shared" si="47"/>
        <v>534.59999999999991</v>
      </c>
      <c r="K457" s="177"/>
    </row>
    <row r="458" spans="1:11" x14ac:dyDescent="0.25">
      <c r="A458" s="24" t="s">
        <v>1194</v>
      </c>
      <c r="B458" s="30" t="s">
        <v>1533</v>
      </c>
      <c r="C458" s="266">
        <v>4</v>
      </c>
      <c r="D458" s="108">
        <v>356.4</v>
      </c>
      <c r="E458" s="48">
        <f t="shared" si="42"/>
        <v>178.2</v>
      </c>
      <c r="F458" s="41">
        <f t="shared" si="43"/>
        <v>534.59999999999991</v>
      </c>
      <c r="G458" s="53">
        <f t="shared" si="44"/>
        <v>400.94999999999993</v>
      </c>
      <c r="H458" s="54">
        <f t="shared" si="45"/>
        <v>178.2</v>
      </c>
      <c r="I458" s="55">
        <f t="shared" si="46"/>
        <v>712.8</v>
      </c>
      <c r="J458" s="56">
        <f t="shared" si="47"/>
        <v>534.59999999999991</v>
      </c>
      <c r="K458" s="177"/>
    </row>
    <row r="459" spans="1:11" x14ac:dyDescent="0.25">
      <c r="A459" s="24" t="s">
        <v>1195</v>
      </c>
      <c r="B459" s="30" t="s">
        <v>1533</v>
      </c>
      <c r="C459" s="266">
        <v>4</v>
      </c>
      <c r="D459" s="108">
        <v>356.4</v>
      </c>
      <c r="E459" s="48">
        <f t="shared" si="42"/>
        <v>178.2</v>
      </c>
      <c r="F459" s="41">
        <f t="shared" si="43"/>
        <v>534.59999999999991</v>
      </c>
      <c r="G459" s="53">
        <f t="shared" si="44"/>
        <v>400.94999999999993</v>
      </c>
      <c r="H459" s="54">
        <f t="shared" si="45"/>
        <v>178.2</v>
      </c>
      <c r="I459" s="55">
        <f t="shared" si="46"/>
        <v>712.8</v>
      </c>
      <c r="J459" s="56">
        <f t="shared" si="47"/>
        <v>534.59999999999991</v>
      </c>
      <c r="K459" s="177"/>
    </row>
    <row r="460" spans="1:11" x14ac:dyDescent="0.25">
      <c r="A460" s="24" t="s">
        <v>1196</v>
      </c>
      <c r="B460" s="30" t="s">
        <v>1339</v>
      </c>
      <c r="C460" s="266">
        <v>4</v>
      </c>
      <c r="D460" s="108">
        <v>356.4</v>
      </c>
      <c r="E460" s="48">
        <f t="shared" si="42"/>
        <v>178.2</v>
      </c>
      <c r="F460" s="41">
        <f t="shared" si="43"/>
        <v>534.59999999999991</v>
      </c>
      <c r="G460" s="53">
        <f t="shared" si="44"/>
        <v>400.94999999999993</v>
      </c>
      <c r="H460" s="54">
        <f t="shared" si="45"/>
        <v>178.2</v>
      </c>
      <c r="I460" s="55">
        <f t="shared" si="46"/>
        <v>712.8</v>
      </c>
      <c r="J460" s="56">
        <f t="shared" si="47"/>
        <v>534.59999999999991</v>
      </c>
      <c r="K460" s="177"/>
    </row>
    <row r="461" spans="1:11" x14ac:dyDescent="0.25">
      <c r="A461" s="24" t="s">
        <v>1197</v>
      </c>
      <c r="B461" s="30" t="s">
        <v>1339</v>
      </c>
      <c r="C461" s="266">
        <v>4</v>
      </c>
      <c r="D461" s="108">
        <v>356.4</v>
      </c>
      <c r="E461" s="48">
        <f t="shared" si="42"/>
        <v>178.2</v>
      </c>
      <c r="F461" s="41">
        <f t="shared" si="43"/>
        <v>534.59999999999991</v>
      </c>
      <c r="G461" s="53">
        <f t="shared" si="44"/>
        <v>400.94999999999993</v>
      </c>
      <c r="H461" s="54">
        <f t="shared" si="45"/>
        <v>178.2</v>
      </c>
      <c r="I461" s="55">
        <f t="shared" si="46"/>
        <v>712.8</v>
      </c>
      <c r="J461" s="56">
        <f t="shared" si="47"/>
        <v>534.59999999999991</v>
      </c>
      <c r="K461" s="177"/>
    </row>
    <row r="462" spans="1:11" x14ac:dyDescent="0.25">
      <c r="A462" s="24" t="s">
        <v>1198</v>
      </c>
      <c r="B462" s="30" t="s">
        <v>1618</v>
      </c>
      <c r="C462" s="266">
        <v>4</v>
      </c>
      <c r="D462" s="108">
        <v>356.4</v>
      </c>
      <c r="E462" s="48">
        <f t="shared" si="42"/>
        <v>178.2</v>
      </c>
      <c r="F462" s="41">
        <f t="shared" si="43"/>
        <v>534.59999999999991</v>
      </c>
      <c r="G462" s="53">
        <f t="shared" si="44"/>
        <v>400.94999999999993</v>
      </c>
      <c r="H462" s="54">
        <f t="shared" si="45"/>
        <v>178.2</v>
      </c>
      <c r="I462" s="55">
        <f t="shared" si="46"/>
        <v>712.8</v>
      </c>
      <c r="J462" s="56">
        <f t="shared" si="47"/>
        <v>534.59999999999991</v>
      </c>
      <c r="K462" s="177"/>
    </row>
    <row r="463" spans="1:11" x14ac:dyDescent="0.25">
      <c r="A463" s="24" t="s">
        <v>1199</v>
      </c>
      <c r="B463" s="30" t="s">
        <v>1618</v>
      </c>
      <c r="C463" s="266">
        <v>4</v>
      </c>
      <c r="D463" s="108">
        <v>356.4</v>
      </c>
      <c r="E463" s="48">
        <f t="shared" si="42"/>
        <v>178.2</v>
      </c>
      <c r="F463" s="41">
        <f t="shared" si="43"/>
        <v>534.59999999999991</v>
      </c>
      <c r="G463" s="53">
        <f t="shared" si="44"/>
        <v>400.94999999999993</v>
      </c>
      <c r="H463" s="54">
        <f t="shared" si="45"/>
        <v>178.2</v>
      </c>
      <c r="I463" s="55">
        <f t="shared" si="46"/>
        <v>712.8</v>
      </c>
      <c r="J463" s="56">
        <f t="shared" si="47"/>
        <v>534.59999999999991</v>
      </c>
      <c r="K463" s="177"/>
    </row>
    <row r="464" spans="1:11" x14ac:dyDescent="0.25">
      <c r="A464" s="37"/>
      <c r="B464" s="30"/>
      <c r="C464" s="267"/>
      <c r="D464" s="30"/>
      <c r="E464" s="48"/>
      <c r="F464" s="41"/>
      <c r="G464" s="53"/>
      <c r="H464" s="54"/>
      <c r="I464" s="55"/>
      <c r="J464" s="56"/>
      <c r="K464" s="177"/>
    </row>
    <row r="465" spans="1:11" x14ac:dyDescent="0.25">
      <c r="A465" s="24" t="s">
        <v>459</v>
      </c>
      <c r="B465" s="30" t="s">
        <v>1552</v>
      </c>
      <c r="C465" s="266">
        <v>4</v>
      </c>
      <c r="D465" s="108">
        <v>356.4</v>
      </c>
      <c r="E465" s="48">
        <f t="shared" si="42"/>
        <v>178.2</v>
      </c>
      <c r="F465" s="41">
        <f t="shared" si="43"/>
        <v>534.59999999999991</v>
      </c>
      <c r="G465" s="53">
        <f t="shared" si="44"/>
        <v>400.94999999999993</v>
      </c>
      <c r="H465" s="54">
        <f t="shared" si="45"/>
        <v>178.2</v>
      </c>
      <c r="I465" s="55">
        <f t="shared" si="46"/>
        <v>712.8</v>
      </c>
      <c r="J465" s="56">
        <f t="shared" si="47"/>
        <v>534.59999999999991</v>
      </c>
      <c r="K465" s="177"/>
    </row>
    <row r="466" spans="1:11" x14ac:dyDescent="0.25">
      <c r="A466" s="24" t="s">
        <v>460</v>
      </c>
      <c r="B466" s="30" t="s">
        <v>1298</v>
      </c>
      <c r="C466" s="266">
        <v>4</v>
      </c>
      <c r="D466" s="108">
        <v>356.4</v>
      </c>
      <c r="E466" s="48">
        <f t="shared" si="42"/>
        <v>178.2</v>
      </c>
      <c r="F466" s="41">
        <f t="shared" si="43"/>
        <v>534.59999999999991</v>
      </c>
      <c r="G466" s="53">
        <f t="shared" si="44"/>
        <v>400.94999999999993</v>
      </c>
      <c r="H466" s="54">
        <f t="shared" si="45"/>
        <v>178.2</v>
      </c>
      <c r="I466" s="55">
        <f t="shared" si="46"/>
        <v>712.8</v>
      </c>
      <c r="J466" s="56">
        <f t="shared" si="47"/>
        <v>534.59999999999991</v>
      </c>
      <c r="K466" s="177"/>
    </row>
    <row r="467" spans="1:11" x14ac:dyDescent="0.25">
      <c r="A467" s="24" t="s">
        <v>461</v>
      </c>
      <c r="B467" s="30" t="s">
        <v>1298</v>
      </c>
      <c r="C467" s="266">
        <v>4</v>
      </c>
      <c r="D467" s="108">
        <v>356.4</v>
      </c>
      <c r="E467" s="48">
        <f t="shared" si="42"/>
        <v>178.2</v>
      </c>
      <c r="F467" s="41">
        <f t="shared" si="43"/>
        <v>534.59999999999991</v>
      </c>
      <c r="G467" s="53">
        <f t="shared" si="44"/>
        <v>400.94999999999993</v>
      </c>
      <c r="H467" s="54">
        <f t="shared" si="45"/>
        <v>178.2</v>
      </c>
      <c r="I467" s="55">
        <f t="shared" si="46"/>
        <v>712.8</v>
      </c>
      <c r="J467" s="56">
        <f t="shared" si="47"/>
        <v>534.59999999999991</v>
      </c>
      <c r="K467" s="177"/>
    </row>
    <row r="468" spans="1:11" x14ac:dyDescent="0.25">
      <c r="A468" s="24" t="s">
        <v>462</v>
      </c>
      <c r="B468" s="30" t="s">
        <v>1828</v>
      </c>
      <c r="C468" s="266">
        <v>4</v>
      </c>
      <c r="D468" s="108">
        <v>356.4</v>
      </c>
      <c r="E468" s="48">
        <f t="shared" si="42"/>
        <v>178.2</v>
      </c>
      <c r="F468" s="41">
        <f t="shared" si="43"/>
        <v>534.59999999999991</v>
      </c>
      <c r="G468" s="53">
        <f t="shared" si="44"/>
        <v>400.94999999999993</v>
      </c>
      <c r="H468" s="54">
        <f t="shared" si="45"/>
        <v>178.2</v>
      </c>
      <c r="I468" s="55">
        <f t="shared" si="46"/>
        <v>712.8</v>
      </c>
      <c r="J468" s="56">
        <f t="shared" si="47"/>
        <v>534.59999999999991</v>
      </c>
      <c r="K468" s="177"/>
    </row>
    <row r="469" spans="1:11" x14ac:dyDescent="0.25">
      <c r="A469" s="24" t="s">
        <v>463</v>
      </c>
      <c r="B469" s="30" t="s">
        <v>1913</v>
      </c>
      <c r="C469" s="266">
        <v>4</v>
      </c>
      <c r="D469" s="108">
        <v>356.4</v>
      </c>
      <c r="E469" s="48">
        <f t="shared" si="42"/>
        <v>178.2</v>
      </c>
      <c r="F469" s="41">
        <f t="shared" si="43"/>
        <v>534.59999999999991</v>
      </c>
      <c r="G469" s="53">
        <f t="shared" si="44"/>
        <v>400.94999999999993</v>
      </c>
      <c r="H469" s="54">
        <f t="shared" si="45"/>
        <v>178.2</v>
      </c>
      <c r="I469" s="55">
        <f t="shared" si="46"/>
        <v>712.8</v>
      </c>
      <c r="J469" s="56">
        <f t="shared" si="47"/>
        <v>534.59999999999991</v>
      </c>
      <c r="K469" s="177"/>
    </row>
    <row r="470" spans="1:11" x14ac:dyDescent="0.25">
      <c r="A470" s="24" t="s">
        <v>464</v>
      </c>
      <c r="B470" s="30" t="s">
        <v>1299</v>
      </c>
      <c r="C470" s="266">
        <v>4</v>
      </c>
      <c r="D470" s="108">
        <v>356.4</v>
      </c>
      <c r="E470" s="48">
        <f t="shared" si="42"/>
        <v>178.2</v>
      </c>
      <c r="F470" s="41">
        <f t="shared" si="43"/>
        <v>534.59999999999991</v>
      </c>
      <c r="G470" s="53">
        <f t="shared" si="44"/>
        <v>400.94999999999993</v>
      </c>
      <c r="H470" s="54">
        <f t="shared" si="45"/>
        <v>178.2</v>
      </c>
      <c r="I470" s="55">
        <f t="shared" si="46"/>
        <v>712.8</v>
      </c>
      <c r="J470" s="56">
        <f t="shared" si="47"/>
        <v>534.59999999999991</v>
      </c>
      <c r="K470" s="177"/>
    </row>
    <row r="471" spans="1:11" x14ac:dyDescent="0.25">
      <c r="A471" s="24" t="s">
        <v>1200</v>
      </c>
      <c r="B471" s="30" t="s">
        <v>1299</v>
      </c>
      <c r="C471" s="266">
        <v>4</v>
      </c>
      <c r="D471" s="108">
        <v>356.4</v>
      </c>
      <c r="E471" s="48">
        <f t="shared" si="42"/>
        <v>178.2</v>
      </c>
      <c r="F471" s="41">
        <f t="shared" si="43"/>
        <v>534.59999999999991</v>
      </c>
      <c r="G471" s="53">
        <f t="shared" si="44"/>
        <v>400.94999999999993</v>
      </c>
      <c r="H471" s="54">
        <f t="shared" si="45"/>
        <v>178.2</v>
      </c>
      <c r="I471" s="55">
        <f t="shared" si="46"/>
        <v>712.8</v>
      </c>
      <c r="J471" s="56">
        <f t="shared" si="47"/>
        <v>534.59999999999991</v>
      </c>
      <c r="K471" s="177"/>
    </row>
    <row r="472" spans="1:11" x14ac:dyDescent="0.25">
      <c r="A472" s="24" t="s">
        <v>1201</v>
      </c>
      <c r="B472" s="30" t="s">
        <v>1300</v>
      </c>
      <c r="C472" s="266">
        <v>4</v>
      </c>
      <c r="D472" s="108">
        <v>356.4</v>
      </c>
      <c r="E472" s="48">
        <f t="shared" si="42"/>
        <v>178.2</v>
      </c>
      <c r="F472" s="41">
        <f t="shared" si="43"/>
        <v>534.59999999999991</v>
      </c>
      <c r="G472" s="53">
        <f t="shared" si="44"/>
        <v>400.94999999999993</v>
      </c>
      <c r="H472" s="54">
        <f t="shared" si="45"/>
        <v>178.2</v>
      </c>
      <c r="I472" s="55">
        <f t="shared" si="46"/>
        <v>712.8</v>
      </c>
      <c r="J472" s="56">
        <f t="shared" si="47"/>
        <v>534.59999999999991</v>
      </c>
      <c r="K472" s="177"/>
    </row>
    <row r="473" spans="1:11" x14ac:dyDescent="0.25">
      <c r="A473" s="24" t="s">
        <v>1202</v>
      </c>
      <c r="B473" s="30" t="s">
        <v>1301</v>
      </c>
      <c r="C473" s="266">
        <v>4</v>
      </c>
      <c r="D473" s="108">
        <v>356.4</v>
      </c>
      <c r="E473" s="48">
        <f t="shared" si="42"/>
        <v>178.2</v>
      </c>
      <c r="F473" s="41">
        <f t="shared" si="43"/>
        <v>534.59999999999991</v>
      </c>
      <c r="G473" s="53">
        <f t="shared" si="44"/>
        <v>400.94999999999993</v>
      </c>
      <c r="H473" s="54">
        <f t="shared" si="45"/>
        <v>178.2</v>
      </c>
      <c r="I473" s="55">
        <f t="shared" si="46"/>
        <v>712.8</v>
      </c>
      <c r="J473" s="56">
        <f t="shared" si="47"/>
        <v>534.59999999999991</v>
      </c>
      <c r="K473" s="177"/>
    </row>
    <row r="474" spans="1:11" x14ac:dyDescent="0.25">
      <c r="A474" s="24" t="s">
        <v>1203</v>
      </c>
      <c r="B474" s="30" t="s">
        <v>1552</v>
      </c>
      <c r="C474" s="266">
        <v>4</v>
      </c>
      <c r="D474" s="108">
        <v>356.4</v>
      </c>
      <c r="E474" s="48">
        <f t="shared" si="42"/>
        <v>178.2</v>
      </c>
      <c r="F474" s="41">
        <f t="shared" si="43"/>
        <v>534.59999999999991</v>
      </c>
      <c r="G474" s="53">
        <f t="shared" si="44"/>
        <v>400.94999999999993</v>
      </c>
      <c r="H474" s="54">
        <f t="shared" si="45"/>
        <v>178.2</v>
      </c>
      <c r="I474" s="55">
        <f t="shared" si="46"/>
        <v>712.8</v>
      </c>
      <c r="J474" s="56">
        <f t="shared" si="47"/>
        <v>534.59999999999991</v>
      </c>
      <c r="K474" s="177"/>
    </row>
    <row r="475" spans="1:11" x14ac:dyDescent="0.25">
      <c r="A475" s="159"/>
      <c r="B475" s="30"/>
      <c r="C475" s="267"/>
      <c r="D475" s="108"/>
      <c r="E475" s="48"/>
      <c r="F475" s="41"/>
      <c r="G475" s="53"/>
      <c r="H475" s="54"/>
      <c r="I475" s="55"/>
      <c r="J475" s="56"/>
      <c r="K475" s="177"/>
    </row>
    <row r="476" spans="1:11" x14ac:dyDescent="0.25">
      <c r="A476" s="24" t="s">
        <v>466</v>
      </c>
      <c r="B476" s="30" t="s">
        <v>2270</v>
      </c>
      <c r="C476" s="266">
        <v>4</v>
      </c>
      <c r="D476" s="108">
        <v>332.88</v>
      </c>
      <c r="E476" s="48">
        <f t="shared" si="42"/>
        <v>166.44</v>
      </c>
      <c r="F476" s="41">
        <f t="shared" si="43"/>
        <v>499.32</v>
      </c>
      <c r="G476" s="53">
        <f t="shared" si="44"/>
        <v>374.49</v>
      </c>
      <c r="H476" s="54">
        <f t="shared" si="45"/>
        <v>166.44</v>
      </c>
      <c r="I476" s="55">
        <f t="shared" si="46"/>
        <v>665.76</v>
      </c>
      <c r="J476" s="56">
        <f t="shared" si="47"/>
        <v>499.32</v>
      </c>
      <c r="K476" s="177"/>
    </row>
    <row r="477" spans="1:11" x14ac:dyDescent="0.25">
      <c r="A477" s="24" t="s">
        <v>467</v>
      </c>
      <c r="B477" s="30" t="s">
        <v>2270</v>
      </c>
      <c r="C477" s="266">
        <v>4</v>
      </c>
      <c r="D477" s="108">
        <v>332.88</v>
      </c>
      <c r="E477" s="48">
        <f t="shared" si="42"/>
        <v>166.44</v>
      </c>
      <c r="F477" s="41">
        <f t="shared" si="43"/>
        <v>499.32</v>
      </c>
      <c r="G477" s="53">
        <f t="shared" si="44"/>
        <v>374.49</v>
      </c>
      <c r="H477" s="54">
        <f t="shared" si="45"/>
        <v>166.44</v>
      </c>
      <c r="I477" s="55">
        <f t="shared" si="46"/>
        <v>665.76</v>
      </c>
      <c r="J477" s="56">
        <f t="shared" si="47"/>
        <v>499.32</v>
      </c>
      <c r="K477" s="177"/>
    </row>
    <row r="478" spans="1:11" x14ac:dyDescent="0.25">
      <c r="A478" s="24" t="s">
        <v>468</v>
      </c>
      <c r="B478" s="30" t="s">
        <v>2184</v>
      </c>
      <c r="C478" s="266">
        <v>4</v>
      </c>
      <c r="D478" s="108">
        <v>332.88</v>
      </c>
      <c r="E478" s="48">
        <f t="shared" si="42"/>
        <v>166.44</v>
      </c>
      <c r="F478" s="41">
        <f t="shared" si="43"/>
        <v>499.32</v>
      </c>
      <c r="G478" s="53">
        <f t="shared" si="44"/>
        <v>374.49</v>
      </c>
      <c r="H478" s="54">
        <f t="shared" si="45"/>
        <v>166.44</v>
      </c>
      <c r="I478" s="55">
        <f t="shared" si="46"/>
        <v>665.76</v>
      </c>
      <c r="J478" s="56">
        <f t="shared" si="47"/>
        <v>499.32</v>
      </c>
      <c r="K478" s="177"/>
    </row>
    <row r="479" spans="1:11" x14ac:dyDescent="0.25">
      <c r="A479" s="24" t="s">
        <v>469</v>
      </c>
      <c r="B479" s="30" t="s">
        <v>2073</v>
      </c>
      <c r="C479" s="266">
        <v>4</v>
      </c>
      <c r="D479" s="108">
        <v>332.88</v>
      </c>
      <c r="E479" s="48">
        <f t="shared" si="42"/>
        <v>166.44</v>
      </c>
      <c r="F479" s="41">
        <f t="shared" si="43"/>
        <v>499.32</v>
      </c>
      <c r="G479" s="53">
        <f t="shared" si="44"/>
        <v>374.49</v>
      </c>
      <c r="H479" s="54">
        <f t="shared" si="45"/>
        <v>166.44</v>
      </c>
      <c r="I479" s="55">
        <f t="shared" si="46"/>
        <v>665.76</v>
      </c>
      <c r="J479" s="56">
        <f t="shared" si="47"/>
        <v>499.32</v>
      </c>
      <c r="K479" s="177"/>
    </row>
    <row r="480" spans="1:11" x14ac:dyDescent="0.25">
      <c r="A480" s="24" t="s">
        <v>1204</v>
      </c>
      <c r="B480" s="30" t="s">
        <v>1959</v>
      </c>
      <c r="C480" s="266">
        <v>4</v>
      </c>
      <c r="D480" s="108">
        <v>332.88</v>
      </c>
      <c r="E480" s="48">
        <f t="shared" si="42"/>
        <v>166.44</v>
      </c>
      <c r="F480" s="41">
        <f t="shared" si="43"/>
        <v>499.32</v>
      </c>
      <c r="G480" s="53">
        <f t="shared" si="44"/>
        <v>374.49</v>
      </c>
      <c r="H480" s="54">
        <f t="shared" si="45"/>
        <v>166.44</v>
      </c>
      <c r="I480" s="55">
        <f t="shared" si="46"/>
        <v>665.76</v>
      </c>
      <c r="J480" s="56">
        <f t="shared" si="47"/>
        <v>499.32</v>
      </c>
      <c r="K480" s="177"/>
    </row>
    <row r="481" spans="1:11" x14ac:dyDescent="0.25">
      <c r="A481" s="24" t="s">
        <v>1205</v>
      </c>
      <c r="B481" s="30" t="s">
        <v>1959</v>
      </c>
      <c r="C481" s="266">
        <v>4</v>
      </c>
      <c r="D481" s="108">
        <v>332.88</v>
      </c>
      <c r="E481" s="48">
        <f t="shared" si="42"/>
        <v>166.44</v>
      </c>
      <c r="F481" s="41">
        <f t="shared" si="43"/>
        <v>499.32</v>
      </c>
      <c r="G481" s="53">
        <f t="shared" si="44"/>
        <v>374.49</v>
      </c>
      <c r="H481" s="54">
        <f t="shared" si="45"/>
        <v>166.44</v>
      </c>
      <c r="I481" s="55">
        <f t="shared" si="46"/>
        <v>665.76</v>
      </c>
      <c r="J481" s="56">
        <f t="shared" si="47"/>
        <v>499.32</v>
      </c>
      <c r="K481" s="177"/>
    </row>
    <row r="482" spans="1:11" x14ac:dyDescent="0.25">
      <c r="A482" s="24" t="s">
        <v>1206</v>
      </c>
      <c r="B482" s="30" t="s">
        <v>1428</v>
      </c>
      <c r="C482" s="266">
        <v>4</v>
      </c>
      <c r="D482" s="108">
        <v>332.88</v>
      </c>
      <c r="E482" s="48">
        <f t="shared" si="42"/>
        <v>166.44</v>
      </c>
      <c r="F482" s="41">
        <f t="shared" si="43"/>
        <v>499.32</v>
      </c>
      <c r="G482" s="53">
        <f t="shared" si="44"/>
        <v>374.49</v>
      </c>
      <c r="H482" s="54">
        <f t="shared" si="45"/>
        <v>166.44</v>
      </c>
      <c r="I482" s="55">
        <f t="shared" si="46"/>
        <v>665.76</v>
      </c>
      <c r="J482" s="56">
        <f t="shared" si="47"/>
        <v>499.32</v>
      </c>
      <c r="K482" s="177"/>
    </row>
    <row r="483" spans="1:11" x14ac:dyDescent="0.25">
      <c r="A483" s="24" t="s">
        <v>1207</v>
      </c>
      <c r="B483" s="30" t="s">
        <v>2074</v>
      </c>
      <c r="C483" s="266">
        <v>4</v>
      </c>
      <c r="D483" s="108">
        <v>332.88</v>
      </c>
      <c r="E483" s="48">
        <f t="shared" si="42"/>
        <v>166.44</v>
      </c>
      <c r="F483" s="41">
        <f t="shared" si="43"/>
        <v>499.32</v>
      </c>
      <c r="G483" s="53">
        <f t="shared" si="44"/>
        <v>374.49</v>
      </c>
      <c r="H483" s="54">
        <f t="shared" si="45"/>
        <v>166.44</v>
      </c>
      <c r="I483" s="55">
        <f t="shared" si="46"/>
        <v>665.76</v>
      </c>
      <c r="J483" s="56">
        <f t="shared" si="47"/>
        <v>499.32</v>
      </c>
      <c r="K483" s="177"/>
    </row>
    <row r="484" spans="1:11" x14ac:dyDescent="0.25">
      <c r="A484" s="24" t="s">
        <v>1208</v>
      </c>
      <c r="B484" s="30" t="s">
        <v>2074</v>
      </c>
      <c r="C484" s="266">
        <v>4</v>
      </c>
      <c r="D484" s="108">
        <v>332.88</v>
      </c>
      <c r="E484" s="48">
        <f t="shared" si="42"/>
        <v>166.44</v>
      </c>
      <c r="F484" s="41">
        <f t="shared" si="43"/>
        <v>499.32</v>
      </c>
      <c r="G484" s="53">
        <f t="shared" si="44"/>
        <v>374.49</v>
      </c>
      <c r="H484" s="54">
        <f t="shared" si="45"/>
        <v>166.44</v>
      </c>
      <c r="I484" s="55">
        <f t="shared" si="46"/>
        <v>665.76</v>
      </c>
      <c r="J484" s="56">
        <f t="shared" si="47"/>
        <v>499.32</v>
      </c>
      <c r="K484" s="177"/>
    </row>
    <row r="485" spans="1:11" x14ac:dyDescent="0.25">
      <c r="A485" s="24" t="s">
        <v>1209</v>
      </c>
      <c r="B485" s="30" t="s">
        <v>1742</v>
      </c>
      <c r="C485" s="266">
        <v>4</v>
      </c>
      <c r="D485" s="108">
        <v>332.88</v>
      </c>
      <c r="E485" s="48">
        <f t="shared" si="42"/>
        <v>166.44</v>
      </c>
      <c r="F485" s="41">
        <f t="shared" si="43"/>
        <v>499.32</v>
      </c>
      <c r="G485" s="53">
        <f t="shared" si="44"/>
        <v>374.49</v>
      </c>
      <c r="H485" s="54">
        <f t="shared" si="45"/>
        <v>166.44</v>
      </c>
      <c r="I485" s="55">
        <f t="shared" si="46"/>
        <v>665.76</v>
      </c>
      <c r="J485" s="56">
        <f t="shared" si="47"/>
        <v>499.32</v>
      </c>
      <c r="K485" s="177"/>
    </row>
    <row r="486" spans="1:11" x14ac:dyDescent="0.25">
      <c r="A486" s="24" t="s">
        <v>1210</v>
      </c>
      <c r="B486" s="30" t="s">
        <v>2247</v>
      </c>
      <c r="C486" s="266">
        <v>4</v>
      </c>
      <c r="D486" s="108">
        <v>332.88</v>
      </c>
      <c r="E486" s="48">
        <f t="shared" si="42"/>
        <v>166.44</v>
      </c>
      <c r="F486" s="41">
        <f t="shared" si="43"/>
        <v>499.32</v>
      </c>
      <c r="G486" s="53">
        <f t="shared" si="44"/>
        <v>374.49</v>
      </c>
      <c r="H486" s="54">
        <f t="shared" si="45"/>
        <v>166.44</v>
      </c>
      <c r="I486" s="55">
        <f t="shared" si="46"/>
        <v>665.76</v>
      </c>
      <c r="J486" s="56">
        <f t="shared" si="47"/>
        <v>499.32</v>
      </c>
      <c r="K486" s="177"/>
    </row>
    <row r="487" spans="1:11" x14ac:dyDescent="0.25">
      <c r="A487" s="24" t="s">
        <v>1211</v>
      </c>
      <c r="B487" s="30" t="s">
        <v>2247</v>
      </c>
      <c r="C487" s="266">
        <v>4</v>
      </c>
      <c r="D487" s="108">
        <v>332.88</v>
      </c>
      <c r="E487" s="48">
        <f t="shared" si="42"/>
        <v>166.44</v>
      </c>
      <c r="F487" s="41">
        <f t="shared" si="43"/>
        <v>499.32</v>
      </c>
      <c r="G487" s="53">
        <f t="shared" si="44"/>
        <v>374.49</v>
      </c>
      <c r="H487" s="54">
        <f t="shared" si="45"/>
        <v>166.44</v>
      </c>
      <c r="I487" s="55">
        <f t="shared" si="46"/>
        <v>665.76</v>
      </c>
      <c r="J487" s="56">
        <f t="shared" si="47"/>
        <v>499.32</v>
      </c>
      <c r="K487" s="177"/>
    </row>
    <row r="488" spans="1:11" x14ac:dyDescent="0.25">
      <c r="A488" s="163"/>
      <c r="B488" s="164"/>
      <c r="C488" s="267"/>
      <c r="D488" s="108"/>
      <c r="E488" s="48"/>
      <c r="F488" s="41"/>
      <c r="G488" s="53"/>
      <c r="H488" s="54"/>
      <c r="I488" s="55"/>
      <c r="J488" s="56"/>
      <c r="K488" s="177"/>
    </row>
    <row r="489" spans="1:11" x14ac:dyDescent="0.25">
      <c r="A489" s="24" t="s">
        <v>470</v>
      </c>
      <c r="B489" s="30" t="s">
        <v>1302</v>
      </c>
      <c r="C489" s="266">
        <v>4</v>
      </c>
      <c r="D489" s="108">
        <v>332.88</v>
      </c>
      <c r="E489" s="48">
        <f t="shared" si="42"/>
        <v>166.44</v>
      </c>
      <c r="F489" s="41">
        <f t="shared" si="43"/>
        <v>499.32</v>
      </c>
      <c r="G489" s="53">
        <f t="shared" si="44"/>
        <v>374.49</v>
      </c>
      <c r="H489" s="54">
        <f t="shared" si="45"/>
        <v>166.44</v>
      </c>
      <c r="I489" s="55">
        <f t="shared" si="46"/>
        <v>665.76</v>
      </c>
      <c r="J489" s="56">
        <f t="shared" si="47"/>
        <v>499.32</v>
      </c>
      <c r="K489" s="177"/>
    </row>
    <row r="490" spans="1:11" x14ac:dyDescent="0.25">
      <c r="A490" s="24" t="s">
        <v>471</v>
      </c>
      <c r="B490" s="30" t="s">
        <v>1387</v>
      </c>
      <c r="C490" s="266">
        <v>4</v>
      </c>
      <c r="D490" s="108">
        <v>332.88</v>
      </c>
      <c r="E490" s="48">
        <f t="shared" si="42"/>
        <v>166.44</v>
      </c>
      <c r="F490" s="41">
        <f t="shared" si="43"/>
        <v>499.32</v>
      </c>
      <c r="G490" s="53">
        <f t="shared" si="44"/>
        <v>374.49</v>
      </c>
      <c r="H490" s="54">
        <f t="shared" si="45"/>
        <v>166.44</v>
      </c>
      <c r="I490" s="55">
        <f t="shared" si="46"/>
        <v>665.76</v>
      </c>
      <c r="J490" s="56">
        <f t="shared" si="47"/>
        <v>499.32</v>
      </c>
      <c r="K490" s="177"/>
    </row>
    <row r="491" spans="1:11" x14ac:dyDescent="0.25">
      <c r="A491" s="24" t="s">
        <v>472</v>
      </c>
      <c r="B491" s="30" t="s">
        <v>1387</v>
      </c>
      <c r="C491" s="266">
        <v>4</v>
      </c>
      <c r="D491" s="108">
        <v>332.88</v>
      </c>
      <c r="E491" s="48">
        <f t="shared" si="42"/>
        <v>166.44</v>
      </c>
      <c r="F491" s="41">
        <f t="shared" si="43"/>
        <v>499.32</v>
      </c>
      <c r="G491" s="53">
        <f t="shared" si="44"/>
        <v>374.49</v>
      </c>
      <c r="H491" s="54">
        <f t="shared" si="45"/>
        <v>166.44</v>
      </c>
      <c r="I491" s="55">
        <f t="shared" si="46"/>
        <v>665.76</v>
      </c>
      <c r="J491" s="56">
        <f t="shared" si="47"/>
        <v>499.32</v>
      </c>
      <c r="K491" s="177"/>
    </row>
    <row r="492" spans="1:11" x14ac:dyDescent="0.25">
      <c r="A492" s="24" t="s">
        <v>473</v>
      </c>
      <c r="B492" s="30" t="s">
        <v>1825</v>
      </c>
      <c r="C492" s="266">
        <v>4</v>
      </c>
      <c r="D492" s="108">
        <v>332.88</v>
      </c>
      <c r="E492" s="48">
        <f t="shared" si="42"/>
        <v>166.44</v>
      </c>
      <c r="F492" s="41">
        <f t="shared" si="43"/>
        <v>499.32</v>
      </c>
      <c r="G492" s="53">
        <f t="shared" si="44"/>
        <v>374.49</v>
      </c>
      <c r="H492" s="54">
        <f t="shared" si="45"/>
        <v>166.44</v>
      </c>
      <c r="I492" s="55">
        <f t="shared" si="46"/>
        <v>665.76</v>
      </c>
      <c r="J492" s="56">
        <f t="shared" si="47"/>
        <v>499.32</v>
      </c>
      <c r="K492" s="177"/>
    </row>
    <row r="493" spans="1:11" x14ac:dyDescent="0.25">
      <c r="A493" s="24" t="s">
        <v>474</v>
      </c>
      <c r="B493" s="30" t="s">
        <v>1303</v>
      </c>
      <c r="C493" s="266">
        <v>4</v>
      </c>
      <c r="D493" s="108">
        <v>332.88</v>
      </c>
      <c r="E493" s="48">
        <f t="shared" si="42"/>
        <v>166.44</v>
      </c>
      <c r="F493" s="41">
        <f t="shared" si="43"/>
        <v>499.32</v>
      </c>
      <c r="G493" s="53">
        <f t="shared" si="44"/>
        <v>374.49</v>
      </c>
      <c r="H493" s="54">
        <f t="shared" si="45"/>
        <v>166.44</v>
      </c>
      <c r="I493" s="55">
        <f t="shared" si="46"/>
        <v>665.76</v>
      </c>
      <c r="J493" s="56">
        <f t="shared" si="47"/>
        <v>499.32</v>
      </c>
      <c r="K493" s="177"/>
    </row>
    <row r="494" spans="1:11" x14ac:dyDescent="0.25">
      <c r="A494" s="24" t="s">
        <v>475</v>
      </c>
      <c r="B494" s="30" t="s">
        <v>1429</v>
      </c>
      <c r="C494" s="266">
        <v>4</v>
      </c>
      <c r="D494" s="108">
        <v>332.88</v>
      </c>
      <c r="E494" s="48">
        <f t="shared" si="42"/>
        <v>166.44</v>
      </c>
      <c r="F494" s="41">
        <f t="shared" si="43"/>
        <v>499.32</v>
      </c>
      <c r="G494" s="53">
        <f t="shared" si="44"/>
        <v>374.49</v>
      </c>
      <c r="H494" s="54">
        <f t="shared" si="45"/>
        <v>166.44</v>
      </c>
      <c r="I494" s="55">
        <f t="shared" si="46"/>
        <v>665.76</v>
      </c>
      <c r="J494" s="56">
        <f t="shared" si="47"/>
        <v>499.32</v>
      </c>
      <c r="K494" s="177"/>
    </row>
    <row r="495" spans="1:11" x14ac:dyDescent="0.25">
      <c r="A495" s="24" t="s">
        <v>476</v>
      </c>
      <c r="B495" s="30" t="s">
        <v>1429</v>
      </c>
      <c r="C495" s="266">
        <v>4</v>
      </c>
      <c r="D495" s="108">
        <v>332.88</v>
      </c>
      <c r="E495" s="48">
        <f t="shared" si="42"/>
        <v>166.44</v>
      </c>
      <c r="F495" s="41">
        <f t="shared" si="43"/>
        <v>499.32</v>
      </c>
      <c r="G495" s="53">
        <f t="shared" si="44"/>
        <v>374.49</v>
      </c>
      <c r="H495" s="54">
        <f t="shared" si="45"/>
        <v>166.44</v>
      </c>
      <c r="I495" s="55">
        <f t="shared" si="46"/>
        <v>665.76</v>
      </c>
      <c r="J495" s="56">
        <f t="shared" si="47"/>
        <v>499.32</v>
      </c>
      <c r="K495" s="177"/>
    </row>
    <row r="496" spans="1:11" x14ac:dyDescent="0.25">
      <c r="A496" s="24" t="s">
        <v>477</v>
      </c>
      <c r="B496" s="30" t="s">
        <v>1304</v>
      </c>
      <c r="C496" s="266">
        <v>4</v>
      </c>
      <c r="D496" s="108">
        <v>332.88</v>
      </c>
      <c r="E496" s="48">
        <f t="shared" si="42"/>
        <v>166.44</v>
      </c>
      <c r="F496" s="41">
        <f t="shared" si="43"/>
        <v>499.32</v>
      </c>
      <c r="G496" s="53">
        <f t="shared" si="44"/>
        <v>374.49</v>
      </c>
      <c r="H496" s="54">
        <f t="shared" si="45"/>
        <v>166.44</v>
      </c>
      <c r="I496" s="55">
        <f t="shared" si="46"/>
        <v>665.76</v>
      </c>
      <c r="J496" s="56">
        <f t="shared" si="47"/>
        <v>499.32</v>
      </c>
      <c r="K496" s="177"/>
    </row>
    <row r="497" spans="1:11" x14ac:dyDescent="0.25">
      <c r="A497" s="24" t="s">
        <v>1212</v>
      </c>
      <c r="B497" s="30" t="s">
        <v>1534</v>
      </c>
      <c r="C497" s="266">
        <v>4</v>
      </c>
      <c r="D497" s="108">
        <v>332.88</v>
      </c>
      <c r="E497" s="48">
        <f t="shared" si="42"/>
        <v>166.44</v>
      </c>
      <c r="F497" s="41">
        <f t="shared" si="43"/>
        <v>499.32</v>
      </c>
      <c r="G497" s="53">
        <f t="shared" si="44"/>
        <v>374.49</v>
      </c>
      <c r="H497" s="54">
        <f t="shared" si="45"/>
        <v>166.44</v>
      </c>
      <c r="I497" s="55">
        <f t="shared" si="46"/>
        <v>665.76</v>
      </c>
      <c r="J497" s="56">
        <f t="shared" si="47"/>
        <v>499.32</v>
      </c>
      <c r="K497" s="177"/>
    </row>
    <row r="498" spans="1:11" x14ac:dyDescent="0.25">
      <c r="A498" s="24" t="s">
        <v>1213</v>
      </c>
      <c r="B498" s="30" t="s">
        <v>1573</v>
      </c>
      <c r="C498" s="266">
        <v>4</v>
      </c>
      <c r="D498" s="108">
        <v>332.88</v>
      </c>
      <c r="E498" s="48">
        <f t="shared" si="42"/>
        <v>166.44</v>
      </c>
      <c r="F498" s="41">
        <f t="shared" si="43"/>
        <v>499.32</v>
      </c>
      <c r="G498" s="53">
        <f t="shared" si="44"/>
        <v>374.49</v>
      </c>
      <c r="H498" s="54">
        <f t="shared" si="45"/>
        <v>166.44</v>
      </c>
      <c r="I498" s="55">
        <f t="shared" si="46"/>
        <v>665.76</v>
      </c>
      <c r="J498" s="56">
        <f t="shared" si="47"/>
        <v>499.32</v>
      </c>
      <c r="K498" s="177"/>
    </row>
    <row r="499" spans="1:11" x14ac:dyDescent="0.25">
      <c r="A499" s="24" t="s">
        <v>1214</v>
      </c>
      <c r="B499" s="30" t="s">
        <v>2239</v>
      </c>
      <c r="C499" s="266">
        <v>4</v>
      </c>
      <c r="D499" s="108">
        <v>332.88</v>
      </c>
      <c r="E499" s="48">
        <f t="shared" si="42"/>
        <v>166.44</v>
      </c>
      <c r="F499" s="41">
        <f t="shared" si="43"/>
        <v>499.32</v>
      </c>
      <c r="G499" s="53">
        <f t="shared" si="44"/>
        <v>374.49</v>
      </c>
      <c r="H499" s="54">
        <f t="shared" si="45"/>
        <v>166.44</v>
      </c>
      <c r="I499" s="55">
        <f t="shared" si="46"/>
        <v>665.76</v>
      </c>
      <c r="J499" s="56">
        <f t="shared" si="47"/>
        <v>499.32</v>
      </c>
      <c r="K499" s="177"/>
    </row>
    <row r="500" spans="1:11" x14ac:dyDescent="0.25">
      <c r="A500" s="24" t="s">
        <v>1215</v>
      </c>
      <c r="B500" s="30" t="s">
        <v>1710</v>
      </c>
      <c r="C500" s="266">
        <v>4</v>
      </c>
      <c r="D500" s="108">
        <v>332.88</v>
      </c>
      <c r="E500" s="48">
        <f t="shared" si="42"/>
        <v>166.44</v>
      </c>
      <c r="F500" s="41">
        <f t="shared" si="43"/>
        <v>499.32</v>
      </c>
      <c r="G500" s="53">
        <f t="shared" si="44"/>
        <v>374.49</v>
      </c>
      <c r="H500" s="54">
        <f t="shared" si="45"/>
        <v>166.44</v>
      </c>
      <c r="I500" s="55">
        <f t="shared" si="46"/>
        <v>665.76</v>
      </c>
      <c r="J500" s="56">
        <f t="shared" si="47"/>
        <v>499.32</v>
      </c>
      <c r="K500" s="177"/>
    </row>
    <row r="501" spans="1:11" x14ac:dyDescent="0.25">
      <c r="A501" s="24" t="s">
        <v>1216</v>
      </c>
      <c r="B501" s="30" t="s">
        <v>1914</v>
      </c>
      <c r="C501" s="266">
        <v>4</v>
      </c>
      <c r="D501" s="108">
        <v>332.88</v>
      </c>
      <c r="E501" s="48">
        <f t="shared" si="42"/>
        <v>166.44</v>
      </c>
      <c r="F501" s="41">
        <f t="shared" si="43"/>
        <v>499.32</v>
      </c>
      <c r="G501" s="53">
        <f t="shared" si="44"/>
        <v>374.49</v>
      </c>
      <c r="H501" s="54">
        <f t="shared" si="45"/>
        <v>166.44</v>
      </c>
      <c r="I501" s="55">
        <f t="shared" si="46"/>
        <v>665.76</v>
      </c>
      <c r="J501" s="56">
        <f t="shared" si="47"/>
        <v>499.32</v>
      </c>
      <c r="K501" s="177"/>
    </row>
    <row r="502" spans="1:11" x14ac:dyDescent="0.25">
      <c r="A502" s="24" t="s">
        <v>1217</v>
      </c>
      <c r="B502" s="30" t="s">
        <v>1430</v>
      </c>
      <c r="C502" s="266">
        <v>4</v>
      </c>
      <c r="D502" s="108">
        <v>332.88</v>
      </c>
      <c r="E502" s="48">
        <f t="shared" si="42"/>
        <v>166.44</v>
      </c>
      <c r="F502" s="41">
        <f t="shared" si="43"/>
        <v>499.32</v>
      </c>
      <c r="G502" s="53">
        <f t="shared" si="44"/>
        <v>374.49</v>
      </c>
      <c r="H502" s="54">
        <f t="shared" si="45"/>
        <v>166.44</v>
      </c>
      <c r="I502" s="55">
        <f t="shared" si="46"/>
        <v>665.76</v>
      </c>
      <c r="J502" s="56">
        <f t="shared" si="47"/>
        <v>499.32</v>
      </c>
      <c r="K502" s="177"/>
    </row>
    <row r="503" spans="1:11" x14ac:dyDescent="0.25">
      <c r="A503" s="159"/>
      <c r="B503" s="30"/>
      <c r="C503" s="267"/>
      <c r="D503" s="108"/>
      <c r="E503" s="48"/>
      <c r="F503" s="41"/>
      <c r="G503" s="53"/>
      <c r="H503" s="54"/>
      <c r="I503" s="55"/>
      <c r="J503" s="56"/>
      <c r="K503" s="177"/>
    </row>
    <row r="504" spans="1:11" x14ac:dyDescent="0.25">
      <c r="A504" s="24" t="s">
        <v>478</v>
      </c>
      <c r="B504" s="30" t="s">
        <v>1381</v>
      </c>
      <c r="C504" s="266">
        <v>4</v>
      </c>
      <c r="D504" s="108">
        <v>332.88</v>
      </c>
      <c r="E504" s="48">
        <f t="shared" si="42"/>
        <v>166.44</v>
      </c>
      <c r="F504" s="41">
        <f t="shared" si="43"/>
        <v>499.32</v>
      </c>
      <c r="G504" s="53">
        <f t="shared" si="44"/>
        <v>374.49</v>
      </c>
      <c r="H504" s="54">
        <f t="shared" si="45"/>
        <v>166.44</v>
      </c>
      <c r="I504" s="55">
        <f t="shared" si="46"/>
        <v>665.76</v>
      </c>
      <c r="J504" s="56">
        <f t="shared" si="47"/>
        <v>499.32</v>
      </c>
      <c r="K504" s="177"/>
    </row>
    <row r="505" spans="1:11" x14ac:dyDescent="0.25">
      <c r="A505" s="24" t="s">
        <v>480</v>
      </c>
      <c r="B505" s="30" t="s">
        <v>1305</v>
      </c>
      <c r="C505" s="266">
        <v>4</v>
      </c>
      <c r="D505" s="108">
        <v>332.88</v>
      </c>
      <c r="E505" s="48">
        <f t="shared" si="42"/>
        <v>166.44</v>
      </c>
      <c r="F505" s="41">
        <f t="shared" si="43"/>
        <v>499.32</v>
      </c>
      <c r="G505" s="53">
        <f t="shared" si="44"/>
        <v>374.49</v>
      </c>
      <c r="H505" s="54">
        <f t="shared" si="45"/>
        <v>166.44</v>
      </c>
      <c r="I505" s="55">
        <f t="shared" si="46"/>
        <v>665.76</v>
      </c>
      <c r="J505" s="56">
        <f t="shared" si="47"/>
        <v>499.32</v>
      </c>
      <c r="K505" s="177"/>
    </row>
    <row r="506" spans="1:11" x14ac:dyDescent="0.25">
      <c r="A506" s="24" t="s">
        <v>481</v>
      </c>
      <c r="B506" s="30" t="s">
        <v>1305</v>
      </c>
      <c r="C506" s="266">
        <v>4</v>
      </c>
      <c r="D506" s="108">
        <v>332.88</v>
      </c>
      <c r="E506" s="48">
        <f t="shared" si="42"/>
        <v>166.44</v>
      </c>
      <c r="F506" s="41">
        <f t="shared" si="43"/>
        <v>499.32</v>
      </c>
      <c r="G506" s="53">
        <f t="shared" si="44"/>
        <v>374.49</v>
      </c>
      <c r="H506" s="54">
        <f t="shared" si="45"/>
        <v>166.44</v>
      </c>
      <c r="I506" s="55">
        <f t="shared" si="46"/>
        <v>665.76</v>
      </c>
      <c r="J506" s="56">
        <f t="shared" si="47"/>
        <v>499.32</v>
      </c>
      <c r="K506" s="177"/>
    </row>
    <row r="507" spans="1:11" x14ac:dyDescent="0.25">
      <c r="A507" s="24" t="s">
        <v>483</v>
      </c>
      <c r="B507" s="30" t="s">
        <v>1306</v>
      </c>
      <c r="C507" s="266">
        <v>4</v>
      </c>
      <c r="D507" s="108">
        <v>332.88</v>
      </c>
      <c r="E507" s="48">
        <f t="shared" si="42"/>
        <v>166.44</v>
      </c>
      <c r="F507" s="41">
        <f t="shared" si="43"/>
        <v>499.32</v>
      </c>
      <c r="G507" s="53">
        <f t="shared" si="44"/>
        <v>374.49</v>
      </c>
      <c r="H507" s="54">
        <f t="shared" si="45"/>
        <v>166.44</v>
      </c>
      <c r="I507" s="55">
        <f t="shared" si="46"/>
        <v>665.76</v>
      </c>
      <c r="J507" s="56">
        <f t="shared" si="47"/>
        <v>499.32</v>
      </c>
      <c r="K507" s="177"/>
    </row>
    <row r="508" spans="1:11" x14ac:dyDescent="0.25">
      <c r="A508" s="24" t="s">
        <v>484</v>
      </c>
      <c r="B508" s="30" t="s">
        <v>1940</v>
      </c>
      <c r="C508" s="266">
        <v>4</v>
      </c>
      <c r="D508" s="108">
        <v>332.88</v>
      </c>
      <c r="E508" s="48">
        <f t="shared" si="42"/>
        <v>166.44</v>
      </c>
      <c r="F508" s="41">
        <f t="shared" si="43"/>
        <v>499.32</v>
      </c>
      <c r="G508" s="53">
        <f t="shared" si="44"/>
        <v>374.49</v>
      </c>
      <c r="H508" s="54">
        <f t="shared" si="45"/>
        <v>166.44</v>
      </c>
      <c r="I508" s="55">
        <f t="shared" si="46"/>
        <v>665.76</v>
      </c>
      <c r="J508" s="56">
        <f t="shared" si="47"/>
        <v>499.32</v>
      </c>
      <c r="K508" s="177"/>
    </row>
    <row r="509" spans="1:11" x14ac:dyDescent="0.25">
      <c r="A509" s="24" t="s">
        <v>485</v>
      </c>
      <c r="B509" s="30" t="s">
        <v>1307</v>
      </c>
      <c r="C509" s="266">
        <v>4</v>
      </c>
      <c r="D509" s="108">
        <v>332.88</v>
      </c>
      <c r="E509" s="48">
        <f t="shared" si="42"/>
        <v>166.44</v>
      </c>
      <c r="F509" s="41">
        <f t="shared" si="43"/>
        <v>499.32</v>
      </c>
      <c r="G509" s="53">
        <f t="shared" si="44"/>
        <v>374.49</v>
      </c>
      <c r="H509" s="54">
        <f t="shared" si="45"/>
        <v>166.44</v>
      </c>
      <c r="I509" s="55">
        <f t="shared" si="46"/>
        <v>665.76</v>
      </c>
      <c r="J509" s="56">
        <f t="shared" si="47"/>
        <v>499.32</v>
      </c>
      <c r="K509" s="177"/>
    </row>
    <row r="510" spans="1:11" x14ac:dyDescent="0.25">
      <c r="A510" s="24" t="s">
        <v>486</v>
      </c>
      <c r="B510" s="30" t="s">
        <v>2146</v>
      </c>
      <c r="C510" s="266">
        <v>4</v>
      </c>
      <c r="D510" s="108">
        <v>332.88</v>
      </c>
      <c r="E510" s="48">
        <f t="shared" si="42"/>
        <v>166.44</v>
      </c>
      <c r="F510" s="41">
        <f t="shared" si="43"/>
        <v>499.32</v>
      </c>
      <c r="G510" s="53">
        <f t="shared" si="44"/>
        <v>374.49</v>
      </c>
      <c r="H510" s="54">
        <f t="shared" si="45"/>
        <v>166.44</v>
      </c>
      <c r="I510" s="55">
        <f t="shared" si="46"/>
        <v>665.76</v>
      </c>
      <c r="J510" s="56">
        <f t="shared" si="47"/>
        <v>499.32</v>
      </c>
      <c r="K510" s="177"/>
    </row>
    <row r="511" spans="1:11" x14ac:dyDescent="0.25">
      <c r="A511" s="24" t="s">
        <v>487</v>
      </c>
      <c r="B511" s="30" t="s">
        <v>1868</v>
      </c>
      <c r="C511" s="266">
        <v>4</v>
      </c>
      <c r="D511" s="108">
        <v>332.88</v>
      </c>
      <c r="E511" s="48">
        <f t="shared" si="42"/>
        <v>166.44</v>
      </c>
      <c r="F511" s="41">
        <f t="shared" si="43"/>
        <v>499.32</v>
      </c>
      <c r="G511" s="53">
        <f t="shared" si="44"/>
        <v>374.49</v>
      </c>
      <c r="H511" s="54">
        <f t="shared" si="45"/>
        <v>166.44</v>
      </c>
      <c r="I511" s="55">
        <f t="shared" si="46"/>
        <v>665.76</v>
      </c>
      <c r="J511" s="56">
        <f t="shared" si="47"/>
        <v>499.32</v>
      </c>
      <c r="K511" s="177"/>
    </row>
    <row r="512" spans="1:11" s="22" customFormat="1" x14ac:dyDescent="0.25">
      <c r="A512" s="24"/>
      <c r="B512" s="68" t="s">
        <v>1327</v>
      </c>
      <c r="C512" s="269">
        <f>SUM(C5:C511)</f>
        <v>1860</v>
      </c>
      <c r="D512" s="25"/>
      <c r="E512" s="25"/>
      <c r="F512" s="25"/>
      <c r="G512" s="25"/>
      <c r="H512" s="134"/>
      <c r="I512" s="270">
        <f t="shared" ref="I512:J512" si="48">SUM(I5:I511)</f>
        <v>328659.83999999752</v>
      </c>
      <c r="J512" s="270">
        <f t="shared" si="48"/>
        <v>246494.88000000207</v>
      </c>
      <c r="K512" s="192"/>
    </row>
    <row r="513" spans="1:10" x14ac:dyDescent="0.25">
      <c r="A513" s="165"/>
      <c r="F513" s="81"/>
      <c r="G513" s="81"/>
      <c r="H513" s="92"/>
      <c r="I513" s="92"/>
      <c r="J513" s="31"/>
    </row>
  </sheetData>
  <printOptions horizontalCentered="1"/>
  <pageMargins left="0.19685039370078741" right="0.19685039370078741" top="0.51181102362204722" bottom="0.51181102362204722" header="0.31496062992125984" footer="0.31496062992125984"/>
  <pageSetup paperSize="14" orientation="landscape" horizontalDpi="0" verticalDpi="0" r:id="rId1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Sheet2</vt:lpstr>
      <vt:lpstr>GROUND FLOOR </vt:lpstr>
      <vt:lpstr>post2post</vt:lpstr>
      <vt:lpstr>carenderia</vt:lpstr>
      <vt:lpstr>fresh fruit</vt:lpstr>
      <vt:lpstr>dry good I</vt:lpstr>
      <vt:lpstr>dry goods II</vt:lpstr>
      <vt:lpstr>checheria</vt:lpstr>
      <vt:lpstr>dried fish</vt:lpstr>
      <vt:lpstr>meat &amp; chicken</vt:lpstr>
      <vt:lpstr>maritatas</vt:lpstr>
      <vt:lpstr>sari-sari 1</vt:lpstr>
      <vt:lpstr>sari-sari 2</vt:lpstr>
      <vt:lpstr>fresh fish</vt:lpstr>
      <vt:lpstr>pavenas (2)</vt:lpstr>
      <vt:lpstr>Sheet1</vt:lpstr>
      <vt:lpstr>'dry good I'!Print_Area</vt:lpstr>
      <vt:lpstr>checheria!Print_Titles</vt:lpstr>
      <vt:lpstr>'dried fish'!Print_Titles</vt:lpstr>
      <vt:lpstr>'dry good I'!Print_Titles</vt:lpstr>
      <vt:lpstr>'dry goods II'!Print_Titles</vt:lpstr>
      <vt:lpstr>'fresh fish'!Print_Titles</vt:lpstr>
      <vt:lpstr>'GROUND FLOOR '!Print_Titles</vt:lpstr>
      <vt:lpstr>maritatas!Print_Titles</vt:lpstr>
      <vt:lpstr>'meat &amp; chicken'!Print_Titles</vt:lpstr>
      <vt:lpstr>'pavenas (2)'!Print_Titles</vt:lpstr>
      <vt:lpstr>'sari-sari 1'!Print_Titles</vt:lpstr>
      <vt:lpstr>'sari-sari 2'!Print_Titles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Jess</cp:lastModifiedBy>
  <cp:lastPrinted>2025-09-29T04:43:59Z</cp:lastPrinted>
  <dcterms:created xsi:type="dcterms:W3CDTF">2011-12-21T07:29:30Z</dcterms:created>
  <dcterms:modified xsi:type="dcterms:W3CDTF">2025-10-03T08:17:48Z</dcterms:modified>
</cp:coreProperties>
</file>